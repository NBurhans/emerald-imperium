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Checkpoints" sheetId="3" state="visible" r:id="rId5"/>
    <sheet name="Valuation" sheetId="4" state="visible" r:id="rId6"/>
    <sheet name="Validation" sheetId="5" state="visible" r:id="rId7"/>
    <sheet name="Integrity" sheetId="6" state="visible" r:id="rId8"/>
    <sheet name="Char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<sst xmlns="http://schemas.openxmlformats.org/spreadsheetml/2006/main" count="4286" uniqueCount="1615">
  <si>
    <t xml:space="preserve">Pokémon Emerald Imperium — Phase 4 Valuation</t>
  </si>
  <si>
    <t xml:space="preserve">Parse date</t>
  </si>
  <si>
    <t xml:space="preserve">2026-09-01</t>
  </si>
  <si>
    <t xml:space="preserve">Run settings</t>
  </si>
  <si>
    <t xml:space="preserve">NORMAL difficulty; Minimal Grinding Mode OFF; level caps enforced; standard playthrough, no breeding (RUN_CONFIG.md)</t>
  </si>
  <si>
    <t xml:space="preserve">Damage engine</t>
  </si>
  <si>
    <t xml:space="preserve">RadicalRedShowdown/damage-calc @ 7f35400, @smogon/calc/adaptable, driven by a custom Imperium data layer</t>
  </si>
  <si>
    <t xml:space="preserve">Level cap ladder</t>
  </si>
  <si>
    <t xml:space="preserve">MEASURED from Boss_Battles.xlsx!Main rows 9-27, supplied 2026-09-01. Supersedes the earlier reconstruction, which was right on 18 of 19 caps (cp09 was interpolated at 53; it is 56).</t>
  </si>
  <si>
    <t xml:space="preserve">Generation pinned</t>
  </si>
  <si>
    <t xml:space="preserve">9 — Inferred. Evidence: Tera Blast/Ivy Cudgel/Armor Cannon present; all 18 types carry both physical and special moves (per-move split)</t>
  </si>
  <si>
    <t xml:space="preserve">Engine verification</t>
  </si>
  <si>
    <t xml:space="preserve">14/14 damage calcs match an independent hand implementation of the formula. Discrepancy rate 0.0%</t>
  </si>
  <si>
    <t xml:space="preserve">Source files</t>
  </si>
  <si>
    <t xml:space="preserve">rows</t>
  </si>
  <si>
    <t xml:space="preserve">01_species.tsv (Phase 1)</t>
  </si>
  <si>
    <t xml:space="preserve">02_world.tsv (Phase 2)</t>
  </si>
  <si>
    <t xml:space="preserve">03_trainers.tsv (Phase 3)</t>
  </si>
  <si>
    <t xml:space="preserve">03_trainer_slots.tsv (Phase 3)</t>
  </si>
  <si>
    <t xml:space="preserve">imperium_layer.json</t>
  </si>
  <si>
    <t xml:space="preserve">1,534 species / 937 moves / 18-type chart / 327 abilities</t>
  </si>
  <si>
    <t xml:space="preserve">Rows scored</t>
  </si>
  <si>
    <t xml:space="preserve">42,026 = 1,311 obtainable forms x 19 checkpoints x {floor, ceiling}</t>
  </si>
  <si>
    <t xml:space="preserve">Scoring errors</t>
  </si>
  <si>
    <t xml:space="preserve">DATA INTEGRITY LOG</t>
  </si>
  <si>
    <t xml:space="preserve">see the Integrity sheet</t>
  </si>
  <si>
    <t xml:space="preserve">Colour key</t>
  </si>
  <si>
    <t xml:space="preserve">BLUE = hardcoded input you may change  |  BLACK = formula  |  GREEN = link to another sheet  |  YELLOW = key assumption</t>
  </si>
  <si>
    <t xml:space="preserve">COMPOSITE VALUE WEIGHTS — change these and the whole workbook recalculates</t>
  </si>
  <si>
    <t xml:space="preserve">Component</t>
  </si>
  <si>
    <t xml:space="preserve">Weight</t>
  </si>
  <si>
    <t xml:space="preserve">Why this weight</t>
  </si>
  <si>
    <t xml:space="preserve">w_offense</t>
  </si>
  <si>
    <t xml:space="preserve">Computed from actual damage rolls; the most load-bearing axis</t>
  </si>
  <si>
    <t xml:space="preserve">w_defense</t>
  </si>
  <si>
    <t xml:space="preserve">Single-hit survival, also from damage rolls</t>
  </si>
  <si>
    <t xml:space="preserve">w_sustain</t>
  </si>
  <si>
    <t xml:space="preserve">Sweep depth on one lifebar with recovery, screens and hazard chip, minus the same species with no kit. 0.24 for defensive roles</t>
  </si>
  <si>
    <t xml:space="preserve">w_speed</t>
  </si>
  <si>
    <t xml:space="preserve">Roster outsped. 0.04 for defensive roles, which do not want the stat</t>
  </si>
  <si>
    <t xml:space="preserve">w_utility</t>
  </si>
  <si>
    <t xml:space="preserve">Breadth of non-damage tools; a cheaper measure, weighted lower</t>
  </si>
  <si>
    <t xml:space="preserve">w_typing</t>
  </si>
  <si>
    <t xml:space="preserve">Resistance profile against THIS boss's actual attacking types</t>
  </si>
  <si>
    <t xml:space="preserve">w_niche</t>
  </si>
  <si>
    <t xml:space="preserve">Best archetype fit, so a good specialist is not flattened by averaging</t>
  </si>
  <si>
    <t xml:space="preserve">SUM (must be 1.00)</t>
  </si>
  <si>
    <t xml:space="preserve">w_sustain (defensive roles)</t>
  </si>
  <si>
    <t xml:space="preserve">Walls, clerics, hazard setters and removers, pivots, tanks, trappers, status spreaders and screen setters use this instead of B5</t>
  </si>
  <si>
    <t xml:space="preserve">w_speed (defensive roles)</t>
  </si>
  <si>
    <t xml:space="preserve">A wall paying 0.12 on a stat it does not want was a 12-point penalty for doing its job</t>
  </si>
  <si>
    <t xml:space="preserve">defensive SUM (must be 1.00)</t>
  </si>
  <si>
    <t xml:space="preserve">TIER THRESHOLDS on mean VORP (ceiling)</t>
  </si>
  <si>
    <t xml:space="preserve">Tier</t>
  </si>
  <si>
    <t xml:space="preserve">Min VORP</t>
  </si>
  <si>
    <t xml:space="preserve">Note</t>
  </si>
  <si>
    <t xml:space="preserve">S+</t>
  </si>
  <si>
    <t xml:space="preserve">S</t>
  </si>
  <si>
    <t xml:space="preserve">A</t>
  </si>
  <si>
    <t xml:space="preserve">B</t>
  </si>
  <si>
    <t xml:space="preserve">C</t>
  </si>
  <si>
    <t xml:space="preserve">D</t>
  </si>
  <si>
    <t xml:space="preserve">F</t>
  </si>
  <si>
    <t xml:space="preserve">Not curve-forced. If the hack genuinely has many S-tier options, that is the finding.</t>
  </si>
  <si>
    <t xml:space="preserve">INVESTMENT COST COMPONENTS</t>
  </si>
  <si>
    <t xml:space="preserve">Charge</t>
  </si>
  <si>
    <t xml:space="preserve">Why</t>
  </si>
  <si>
    <t xml:space="preserve">Non-neutral nature</t>
  </si>
  <si>
    <t xml:space="preserve">Mint or breeding needed</t>
  </si>
  <si>
    <t xml:space="preserve">Held item required</t>
  </si>
  <si>
    <t xml:space="preserve">Ceiling uses an item Phase 2 gates</t>
  </si>
  <si>
    <t xml:space="preserve">Ability differs from common</t>
  </si>
  <si>
    <t xml:space="preserve">Ability Capsule / Patch</t>
  </si>
  <si>
    <t xml:space="preserve">Species needs an evolution item</t>
  </si>
  <si>
    <t xml:space="preserve">From availability_basis</t>
  </si>
  <si>
    <t xml:space="preserve">Per gated TM used (cap 2.0)</t>
  </si>
  <si>
    <t xml:space="preserve">TM competition and cost</t>
  </si>
  <si>
    <t xml:space="preserve">Any egg move used</t>
  </si>
  <si>
    <t xml:space="preserve">RUN_CONFIG says breeding is NOT used in this run, so an egg-move ceiling is out of reach, not free</t>
  </si>
  <si>
    <t xml:space="preserve">Floor</t>
  </si>
  <si>
    <t xml:space="preserve">So ROI never divides by zero</t>
  </si>
  <si>
    <t xml:space="preserve">EXCLUDED from cost</t>
  </si>
  <si>
    <t xml:space="preserve">EV-training time and breeding, per RUN_CONFIG: the eight unconfirmable fields were dropped in Phase 1. ROI here is therefore NOT comparable to a version of this analysis with a full cost model.</t>
  </si>
  <si>
    <t xml:space="preserve">checkpoint</t>
  </si>
  <si>
    <t xml:space="preserve">checkpoint_label</t>
  </si>
  <si>
    <t xml:space="preserve">level_cap</t>
  </si>
  <si>
    <t xml:space="preserve">cap_basis</t>
  </si>
  <si>
    <t xml:space="preserve">roster_basis</t>
  </si>
  <si>
    <t xml:space="preserve">n_anchors</t>
  </si>
  <si>
    <t xml:space="preserve">n_roster_slots</t>
  </si>
  <si>
    <t xml:space="preserve">pool_size</t>
  </si>
  <si>
    <t xml:space="preserve">tms_available</t>
  </si>
  <si>
    <t xml:space="preserve">items_available</t>
  </si>
  <si>
    <t xml:space="preserve">anchor_trainers</t>
  </si>
  <si>
    <t xml:space="preserve">cap &gt; previous?</t>
  </si>
  <si>
    <t xml:space="preserve">01_Pre-Roxanne</t>
  </si>
  <si>
    <t xml:space="preserve">measured</t>
  </si>
  <si>
    <t xml:space="preserve">anchor_fight</t>
  </si>
  <si>
    <t xml:space="preserve">Hoenn Leaders:ROXANNE:1</t>
  </si>
  <si>
    <t xml:space="preserve">02_Pre-Rustboro-Rival</t>
  </si>
  <si>
    <t xml:space="preserve">Rivals:DAWN:16</t>
  </si>
  <si>
    <t xml:space="preserve">03_Pre-Brawly</t>
  </si>
  <si>
    <t xml:space="preserve">Hoenn Leaders:BRAWLY:13</t>
  </si>
  <si>
    <t xml:space="preserve">04_Pre-Aqua-Museum</t>
  </si>
  <si>
    <t xml:space="preserve">Team Aqua:BACK TO BACK:24;Team Aqua:GRUNT1:24</t>
  </si>
  <si>
    <t xml:space="preserve">05_Pre-Route110-Rival</t>
  </si>
  <si>
    <t xml:space="preserve">Rivals:WALLY:99</t>
  </si>
  <si>
    <t xml:space="preserve">06_Pre-Wattson</t>
  </si>
  <si>
    <t xml:space="preserve">Hoenn Leaders:WATTSON:26</t>
  </si>
  <si>
    <t xml:space="preserve">07_Pre-MtChimney-Magma</t>
  </si>
  <si>
    <t xml:space="preserve">Team Magma:MAXIE:25</t>
  </si>
  <si>
    <t xml:space="preserve">08_Pre-Flannery</t>
  </si>
  <si>
    <t xml:space="preserve">Hoenn Leaders:FLANNERY:39</t>
  </si>
  <si>
    <t xml:space="preserve">09_Pre-TrickHouse</t>
  </si>
  <si>
    <t xml:space="preserve">trick_house_sheet_substituted</t>
  </si>
  <si>
    <t xml:space="preserve">NONE</t>
  </si>
  <si>
    <t xml:space="preserve">10_Pre-Norman</t>
  </si>
  <si>
    <t xml:space="preserve">Hoenn Leaders:NORMAN:51</t>
  </si>
  <si>
    <t xml:space="preserve">11_Pre-Route119-Rival</t>
  </si>
  <si>
    <t xml:space="preserve">Team Aqua:GRUNT 2:37;Team Aqua:ADMIN MATT:37</t>
  </si>
  <si>
    <t xml:space="preserve">12_Pre-Winona</t>
  </si>
  <si>
    <t xml:space="preserve">Hoenn Leaders:WINONA:63</t>
  </si>
  <si>
    <t xml:space="preserve">13_Pre-Dawn-Lilycove</t>
  </si>
  <si>
    <t xml:space="preserve">Rivals:DAWN:171</t>
  </si>
  <si>
    <t xml:space="preserve">14_Pre-Archie-AquaHideout</t>
  </si>
  <si>
    <t xml:space="preserve">Team Aqua:ARCHIE:62</t>
  </si>
  <si>
    <t xml:space="preserve">15_Pre-Tate-and-Liza</t>
  </si>
  <si>
    <t xml:space="preserve">Hoenn Leaders:TATE:75;Hoenn Leaders:LIZA:75</t>
  </si>
  <si>
    <t xml:space="preserve">16_Pre-Seafloor-Cavern</t>
  </si>
  <si>
    <t xml:space="preserve">Team Aqua:ARCHIE:88;Team Magma:MAXIE:51</t>
  </si>
  <si>
    <t xml:space="preserve">17_Pre-Juan</t>
  </si>
  <si>
    <t xml:space="preserve">Hoenn Leaders:JUAN:87</t>
  </si>
  <si>
    <t xml:space="preserve">18_Pre-Wally-VictoryRoad</t>
  </si>
  <si>
    <t xml:space="preserve">Victory Road:WALLY:0</t>
  </si>
  <si>
    <t xml:space="preserve">19_Pre-Champion</t>
  </si>
  <si>
    <t xml:space="preserve">Elite 4:ELITE FOUR SIDNEY:13;Elite 4:ELITE FOUR PHOEBE:38;Elite 4:ELITE FOUR GLACIA:63;Elite 4:ELITE FOUR DRAKE:1;Elite 4:ELITE FOUR CYNTHIA:88;Elite 4:CHAMPION WALLACE:101;Elite 4:CHAMPION STEVEN:101</t>
  </si>
  <si>
    <t xml:space="preserve">All 19 caps are MEASURED from Boss_Battles.xlsx!Main. The anchor_trainers column names the fight each checkpoint is scored against; cp09 Pre-Trick House has no single boss, so its threat pool is the 46 Trick House sheet slots.</t>
  </si>
  <si>
    <t xml:space="preserve">Species form</t>
  </si>
  <si>
    <t xml:space="preserve">BST</t>
  </si>
  <si>
    <t xml:space="preserve">Tier (formula)</t>
  </si>
  <si>
    <t xml:space="preserve">Primary niche</t>
  </si>
  <si>
    <t xml:space="preserve">First cp</t>
  </si>
  <si>
    <t xml:space="preserve">Stat S</t>
  </si>
  <si>
    <t xml:space="preserve">Tool T</t>
  </si>
  <si>
    <t xml:space="preserve">Type Y</t>
  </si>
  <si>
    <t xml:space="preserve">Niche fit</t>
  </si>
  <si>
    <t xml:space="preserve">Floor value</t>
  </si>
  <si>
    <t xml:space="preserve">Ceiling value</t>
  </si>
  <si>
    <t xml:space="preserve">Invest cost</t>
  </si>
  <si>
    <t xml:space="preserve">VORP (formula)</t>
  </si>
  <si>
    <t xml:space="preserve">ROI (formula)</t>
  </si>
  <si>
    <t xml:space="preserve"># cps</t>
  </si>
  <si>
    <t xml:space="preserve">Can't miss</t>
  </si>
  <si>
    <t xml:space="preserve">Confidence</t>
  </si>
  <si>
    <t xml:space="preserve">Offense</t>
  </si>
  <si>
    <t xml:space="preserve">Defense</t>
  </si>
  <si>
    <t xml:space="preserve">Speed (ceiling)</t>
  </si>
  <si>
    <t xml:space="preserve">Utility</t>
  </si>
  <si>
    <t xml:space="preserve">Typing</t>
  </si>
  <si>
    <t xml:space="preserve">Replacement</t>
  </si>
  <si>
    <t xml:space="preserve">Sustain (kit)</t>
  </si>
  <si>
    <t xml:space="preserve">Niche fit (mean)</t>
  </si>
  <si>
    <t xml:space="preserve">Composite (formula)</t>
  </si>
  <si>
    <t xml:space="preserve">Def role?</t>
  </si>
  <si>
    <t xml:space="preserve">Toxapex</t>
  </si>
  <si>
    <t xml:space="preserve">mixed_wall</t>
  </si>
  <si>
    <t xml:space="preserve">Inferred</t>
  </si>
  <si>
    <t xml:space="preserve">Orbeetle-Mega</t>
  </si>
  <si>
    <t xml:space="preserve">Ho-Oh</t>
  </si>
  <si>
    <t xml:space="preserve">hazard_remover</t>
  </si>
  <si>
    <t xml:space="preserve">Bronzong</t>
  </si>
  <si>
    <t xml:space="preserve">trapper</t>
  </si>
  <si>
    <t xml:space="preserve">Uxie</t>
  </si>
  <si>
    <t xml:space="preserve">status_spreader</t>
  </si>
  <si>
    <t xml:space="preserve">Zekrom</t>
  </si>
  <si>
    <t xml:space="preserve">weather_terrain_setter</t>
  </si>
  <si>
    <t xml:space="preserve">Mesprit</t>
  </si>
  <si>
    <t xml:space="preserve">Glalie-Mega</t>
  </si>
  <si>
    <t xml:space="preserve">suicide_lead</t>
  </si>
  <si>
    <t xml:space="preserve">Audino-Mega</t>
  </si>
  <si>
    <t xml:space="preserve">cleric</t>
  </si>
  <si>
    <t xml:space="preserve">Ting-Lu</t>
  </si>
  <si>
    <t xml:space="preserve">Lugia</t>
  </si>
  <si>
    <t xml:space="preserve">special_wall</t>
  </si>
  <si>
    <t xml:space="preserve">Tapu Fini-Tapu-Fini</t>
  </si>
  <si>
    <t xml:space="preserve">Archaludon</t>
  </si>
  <si>
    <t xml:space="preserve">hazard_setter</t>
  </si>
  <si>
    <t xml:space="preserve">Volbeat</t>
  </si>
  <si>
    <t xml:space="preserve">speed_control</t>
  </si>
  <si>
    <t xml:space="preserve">Aerodactyl-Mega</t>
  </si>
  <si>
    <t xml:space="preserve">physical_sweeper</t>
  </si>
  <si>
    <t xml:space="preserve">Cresselia</t>
  </si>
  <si>
    <t xml:space="preserve">Gallade-Mega</t>
  </si>
  <si>
    <t xml:space="preserve">Suicune</t>
  </si>
  <si>
    <t xml:space="preserve">Shuckle</t>
  </si>
  <si>
    <t xml:space="preserve">Tapu Koko-Tapu-Koko</t>
  </si>
  <si>
    <t xml:space="preserve">Mew</t>
  </si>
  <si>
    <t xml:space="preserve">special_sweeper</t>
  </si>
  <si>
    <t xml:space="preserve">Mewtwo</t>
  </si>
  <si>
    <t xml:space="preserve">Slowking</t>
  </si>
  <si>
    <t xml:space="preserve">bulky_pivot</t>
  </si>
  <si>
    <t xml:space="preserve">Unresolved</t>
  </si>
  <si>
    <t xml:space="preserve">Regieleki</t>
  </si>
  <si>
    <t xml:space="preserve">revenge_killer</t>
  </si>
  <si>
    <t xml:space="preserve">Clefable</t>
  </si>
  <si>
    <t xml:space="preserve">Regirock</t>
  </si>
  <si>
    <t xml:space="preserve">physical_wall</t>
  </si>
  <si>
    <t xml:space="preserve">Registeel</t>
  </si>
  <si>
    <t xml:space="preserve">tank</t>
  </si>
  <si>
    <t xml:space="preserve">Jirachi</t>
  </si>
  <si>
    <t xml:space="preserve">Claydol</t>
  </si>
  <si>
    <t xml:space="preserve">Aggron-Mega</t>
  </si>
  <si>
    <t xml:space="preserve">Slowbro-Mega</t>
  </si>
  <si>
    <t xml:space="preserve">Overqwil</t>
  </si>
  <si>
    <t xml:space="preserve">Audino</t>
  </si>
  <si>
    <t xml:space="preserve">Tentacruel</t>
  </si>
  <si>
    <t xml:space="preserve">Forretress</t>
  </si>
  <si>
    <t xml:space="preserve">Metagross-Mega</t>
  </si>
  <si>
    <t xml:space="preserve">physical_wallbreaker</t>
  </si>
  <si>
    <t xml:space="preserve">Volcanion</t>
  </si>
  <si>
    <t xml:space="preserve">Vaporeon</t>
  </si>
  <si>
    <t xml:space="preserve">Carbink</t>
  </si>
  <si>
    <t xml:space="preserve">Latias-Mega</t>
  </si>
  <si>
    <t xml:space="preserve">Dusknoir-Mega</t>
  </si>
  <si>
    <t xml:space="preserve">Corviknight</t>
  </si>
  <si>
    <t xml:space="preserve">Sandy Shocks</t>
  </si>
  <si>
    <t xml:space="preserve">Wyrdeer</t>
  </si>
  <si>
    <t xml:space="preserve">Solgaleo</t>
  </si>
  <si>
    <t xml:space="preserve">mixed_attacker</t>
  </si>
  <si>
    <t xml:space="preserve">Reuniclus</t>
  </si>
  <si>
    <t xml:space="preserve">Ferrothorn</t>
  </si>
  <si>
    <t xml:space="preserve">Araquanid-Totem</t>
  </si>
  <si>
    <t xml:space="preserve">Snorlax</t>
  </si>
  <si>
    <t xml:space="preserve">Diancie-Mega</t>
  </si>
  <si>
    <t xml:space="preserve">Florges-Red</t>
  </si>
  <si>
    <t xml:space="preserve">Pachirisu</t>
  </si>
  <si>
    <t xml:space="preserve">Lunatone</t>
  </si>
  <si>
    <t xml:space="preserve">screen_setter</t>
  </si>
  <si>
    <t xml:space="preserve">Oranguru</t>
  </si>
  <si>
    <t xml:space="preserve">Klefki</t>
  </si>
  <si>
    <t xml:space="preserve">Raikou</t>
  </si>
  <si>
    <t xml:space="preserve">Lapras</t>
  </si>
  <si>
    <t xml:space="preserve">Comfey</t>
  </si>
  <si>
    <t xml:space="preserve">Araquanid</t>
  </si>
  <si>
    <t xml:space="preserve">Starmie</t>
  </si>
  <si>
    <t xml:space="preserve">Minior-Meteor-Red</t>
  </si>
  <si>
    <t xml:space="preserve">Snorlax-Mega</t>
  </si>
  <si>
    <t xml:space="preserve">trick_room_attacker</t>
  </si>
  <si>
    <t xml:space="preserve">Pidgeot-Mega</t>
  </si>
  <si>
    <t xml:space="preserve">Necrozma</t>
  </si>
  <si>
    <t xml:space="preserve">Alomomola</t>
  </si>
  <si>
    <t xml:space="preserve">Slowbro</t>
  </si>
  <si>
    <t xml:space="preserve">Reshiram</t>
  </si>
  <si>
    <t xml:space="preserve">special_wallbreaker</t>
  </si>
  <si>
    <t xml:space="preserve">Slaking-Mega</t>
  </si>
  <si>
    <t xml:space="preserve">Mr. Mime-Mr-Mime</t>
  </si>
  <si>
    <t xml:space="preserve">Beedrill-Mega</t>
  </si>
  <si>
    <t xml:space="preserve">Celebi</t>
  </si>
  <si>
    <t xml:space="preserve">Musharna</t>
  </si>
  <si>
    <t xml:space="preserve">Decidueye</t>
  </si>
  <si>
    <t xml:space="preserve">Azelf</t>
  </si>
  <si>
    <t xml:space="preserve">Aromatisse</t>
  </si>
  <si>
    <t xml:space="preserve">Revavroom</t>
  </si>
  <si>
    <t xml:space="preserve">Gliscor</t>
  </si>
  <si>
    <t xml:space="preserve">Solrock</t>
  </si>
  <si>
    <t xml:space="preserve">Zapdos</t>
  </si>
  <si>
    <t xml:space="preserve">Aerodactyl</t>
  </si>
  <si>
    <t xml:space="preserve">Hydreigon</t>
  </si>
  <si>
    <t xml:space="preserve">Garganacl</t>
  </si>
  <si>
    <t xml:space="preserve">Nihilego</t>
  </si>
  <si>
    <t xml:space="preserve">Goodra-Hisui</t>
  </si>
  <si>
    <t xml:space="preserve">Skarmory</t>
  </si>
  <si>
    <t xml:space="preserve">Magearna</t>
  </si>
  <si>
    <t xml:space="preserve">Medicham-Mega</t>
  </si>
  <si>
    <t xml:space="preserve">Landorus-Incarnate</t>
  </si>
  <si>
    <t xml:space="preserve">Swampert-Mega</t>
  </si>
  <si>
    <t xml:space="preserve">Silvally-Normal</t>
  </si>
  <si>
    <t xml:space="preserve">Rayquaza</t>
  </si>
  <si>
    <t xml:space="preserve">Froslass</t>
  </si>
  <si>
    <t xml:space="preserve">Tadbulb</t>
  </si>
  <si>
    <t xml:space="preserve">Genesect</t>
  </si>
  <si>
    <t xml:space="preserve">Hatterene</t>
  </si>
  <si>
    <t xml:space="preserve">Coalossal</t>
  </si>
  <si>
    <t xml:space="preserve">Wo-Chien</t>
  </si>
  <si>
    <t xml:space="preserve">Slowking-Galar</t>
  </si>
  <si>
    <t xml:space="preserve">Raging Bolt</t>
  </si>
  <si>
    <t xml:space="preserve">Keldeo-Ordinary</t>
  </si>
  <si>
    <t xml:space="preserve">Cobalion</t>
  </si>
  <si>
    <t xml:space="preserve">Torterra-Mega</t>
  </si>
  <si>
    <t xml:space="preserve">Manaphy</t>
  </si>
  <si>
    <t xml:space="preserve">Flygon</t>
  </si>
  <si>
    <t xml:space="preserve">Zeraora</t>
  </si>
  <si>
    <t xml:space="preserve">Muk</t>
  </si>
  <si>
    <t xml:space="preserve">Gardevoir-Mega</t>
  </si>
  <si>
    <t xml:space="preserve">Seviper</t>
  </si>
  <si>
    <t xml:space="preserve">Farfetch'd-Farfetchd</t>
  </si>
  <si>
    <t xml:space="preserve">Mandibuzz</t>
  </si>
  <si>
    <t xml:space="preserve">Machamp-Mega</t>
  </si>
  <si>
    <t xml:space="preserve">Jolteon</t>
  </si>
  <si>
    <t xml:space="preserve">Articuno-Galar</t>
  </si>
  <si>
    <t xml:space="preserve">Scream Tail</t>
  </si>
  <si>
    <t xml:space="preserve">Cofagrigus</t>
  </si>
  <si>
    <t xml:space="preserve">Hippowdon</t>
  </si>
  <si>
    <t xml:space="preserve">Salamence-Mega</t>
  </si>
  <si>
    <t xml:space="preserve">Wailord</t>
  </si>
  <si>
    <t xml:space="preserve">Blastoise-Mega</t>
  </si>
  <si>
    <t xml:space="preserve">Crustle</t>
  </si>
  <si>
    <t xml:space="preserve">Corsola</t>
  </si>
  <si>
    <t xml:space="preserve">Gallade</t>
  </si>
  <si>
    <t xml:space="preserve">Electivire</t>
  </si>
  <si>
    <t xml:space="preserve">Eelektross</t>
  </si>
  <si>
    <t xml:space="preserve">Latios-Mega</t>
  </si>
  <si>
    <t xml:space="preserve">Terrakion</t>
  </si>
  <si>
    <t xml:space="preserve">Manectric-Mega</t>
  </si>
  <si>
    <t xml:space="preserve">Glalie</t>
  </si>
  <si>
    <t xml:space="preserve">Dragonite</t>
  </si>
  <si>
    <t xml:space="preserve">Eldegoss</t>
  </si>
  <si>
    <t xml:space="preserve">Articuno</t>
  </si>
  <si>
    <t xml:space="preserve">Hypno</t>
  </si>
  <si>
    <t xml:space="preserve">Grimmsnarl</t>
  </si>
  <si>
    <t xml:space="preserve">Thundurus-Incarnate</t>
  </si>
  <si>
    <t xml:space="preserve">Gouging Fire</t>
  </si>
  <si>
    <t xml:space="preserve">Iron Boulder</t>
  </si>
  <si>
    <t xml:space="preserve">Dondozo</t>
  </si>
  <si>
    <t xml:space="preserve">Orbeetle</t>
  </si>
  <si>
    <t xml:space="preserve">Garchomp-Mega</t>
  </si>
  <si>
    <t xml:space="preserve">Tinkaton</t>
  </si>
  <si>
    <t xml:space="preserve">Drampa</t>
  </si>
  <si>
    <t xml:space="preserve">Gyarados-Mega</t>
  </si>
  <si>
    <t xml:space="preserve">Deoxys-Normal</t>
  </si>
  <si>
    <t xml:space="preserve">Lickilicky</t>
  </si>
  <si>
    <t xml:space="preserve">Marshadow</t>
  </si>
  <si>
    <t xml:space="preserve">Ceruledge</t>
  </si>
  <si>
    <t xml:space="preserve">Kyurem</t>
  </si>
  <si>
    <t xml:space="preserve">Stonjourner</t>
  </si>
  <si>
    <t xml:space="preserve">Pecharunt</t>
  </si>
  <si>
    <t xml:space="preserve">Cradily</t>
  </si>
  <si>
    <t xml:space="preserve">Grumpig</t>
  </si>
  <si>
    <t xml:space="preserve">Whiscash</t>
  </si>
  <si>
    <t xml:space="preserve">Grimmsnarl-Mega</t>
  </si>
  <si>
    <t xml:space="preserve">Latias</t>
  </si>
  <si>
    <t xml:space="preserve">Dragapult</t>
  </si>
  <si>
    <t xml:space="preserve">Bastiodon</t>
  </si>
  <si>
    <t xml:space="preserve">Mamoswine</t>
  </si>
  <si>
    <t xml:space="preserve">Steelix-Mega</t>
  </si>
  <si>
    <t xml:space="preserve">Sneasler</t>
  </si>
  <si>
    <t xml:space="preserve">Sceptile-Mega</t>
  </si>
  <si>
    <t xml:space="preserve">Iron Crown</t>
  </si>
  <si>
    <t xml:space="preserve">Garchomp</t>
  </si>
  <si>
    <t xml:space="preserve">Inteleon</t>
  </si>
  <si>
    <t xml:space="preserve">Mantine</t>
  </si>
  <si>
    <t xml:space="preserve">Iron Thorns</t>
  </si>
  <si>
    <t xml:space="preserve">Sudowoodo</t>
  </si>
  <si>
    <t xml:space="preserve">Runerigus</t>
  </si>
  <si>
    <t xml:space="preserve">Slowbro-Galar</t>
  </si>
  <si>
    <t xml:space="preserve">Kingler-Mega</t>
  </si>
  <si>
    <t xml:space="preserve">Metagross</t>
  </si>
  <si>
    <t xml:space="preserve">Coalossal-Mega</t>
  </si>
  <si>
    <t xml:space="preserve">Lucario-Mega</t>
  </si>
  <si>
    <t xml:space="preserve">Swalot</t>
  </si>
  <si>
    <t xml:space="preserve">Skeledirge</t>
  </si>
  <si>
    <t xml:space="preserve">Miltank</t>
  </si>
  <si>
    <t xml:space="preserve">Meloetta-Aria</t>
  </si>
  <si>
    <t xml:space="preserve">Jigglypuff</t>
  </si>
  <si>
    <t xml:space="preserve">Infernape-Mega</t>
  </si>
  <si>
    <t xml:space="preserve">Togekiss</t>
  </si>
  <si>
    <t xml:space="preserve">Gimmighoul-Chest</t>
  </si>
  <si>
    <t xml:space="preserve">Slaking</t>
  </si>
  <si>
    <t xml:space="preserve">Arcanine</t>
  </si>
  <si>
    <t xml:space="preserve">Appletun</t>
  </si>
  <si>
    <t xml:space="preserve">Piloswine</t>
  </si>
  <si>
    <t xml:space="preserve">Ampharos-Mega</t>
  </si>
  <si>
    <t xml:space="preserve">Quagsire</t>
  </si>
  <si>
    <t xml:space="preserve">Primarina</t>
  </si>
  <si>
    <t xml:space="preserve">Arctovish</t>
  </si>
  <si>
    <t xml:space="preserve">Umbreon</t>
  </si>
  <si>
    <t xml:space="preserve">Dracovish</t>
  </si>
  <si>
    <t xml:space="preserve">Lunala</t>
  </si>
  <si>
    <t xml:space="preserve">Regice</t>
  </si>
  <si>
    <t xml:space="preserve">Gengar-Mega</t>
  </si>
  <si>
    <t xml:space="preserve">Venusaur-Mega</t>
  </si>
  <si>
    <t xml:space="preserve">Milotic</t>
  </si>
  <si>
    <t xml:space="preserve">Meganium</t>
  </si>
  <si>
    <t xml:space="preserve">Alakazam-Mega</t>
  </si>
  <si>
    <t xml:space="preserve">Latios</t>
  </si>
  <si>
    <t xml:space="preserve">Tornadus-Incarnate</t>
  </si>
  <si>
    <t xml:space="preserve">Altaria-Mega</t>
  </si>
  <si>
    <t xml:space="preserve">Flutter Mane</t>
  </si>
  <si>
    <t xml:space="preserve">Steelix</t>
  </si>
  <si>
    <t xml:space="preserve">Spidops</t>
  </si>
  <si>
    <t xml:space="preserve">Blastoise</t>
  </si>
  <si>
    <t xml:space="preserve">Melmetal</t>
  </si>
  <si>
    <t xml:space="preserve">Regigigas</t>
  </si>
  <si>
    <t xml:space="preserve">Scizor-Mega</t>
  </si>
  <si>
    <t xml:space="preserve">Fezandipiti</t>
  </si>
  <si>
    <t xml:space="preserve">Virizion</t>
  </si>
  <si>
    <t xml:space="preserve">Cloyster</t>
  </si>
  <si>
    <t xml:space="preserve">Iron Treads</t>
  </si>
  <si>
    <t xml:space="preserve">Aegislash-Shield</t>
  </si>
  <si>
    <t xml:space="preserve">Kabutops</t>
  </si>
  <si>
    <t xml:space="preserve">Xurkitree</t>
  </si>
  <si>
    <t xml:space="preserve">Stunfisk-Galar</t>
  </si>
  <si>
    <t xml:space="preserve">Pidgeot</t>
  </si>
  <si>
    <t xml:space="preserve">Talonflame</t>
  </si>
  <si>
    <t xml:space="preserve">Nidoqueen</t>
  </si>
  <si>
    <t xml:space="preserve">Weezing</t>
  </si>
  <si>
    <t xml:space="preserve">Electrode-Hisui</t>
  </si>
  <si>
    <t xml:space="preserve">Sableye-Mega</t>
  </si>
  <si>
    <t xml:space="preserve">Beedrill</t>
  </si>
  <si>
    <t xml:space="preserve">Abomasnow-Mega</t>
  </si>
  <si>
    <t xml:space="preserve">Weezing-Galar</t>
  </si>
  <si>
    <t xml:space="preserve">Samurott</t>
  </si>
  <si>
    <t xml:space="preserve">Emolga</t>
  </si>
  <si>
    <t xml:space="preserve">Mienshao</t>
  </si>
  <si>
    <t xml:space="preserve">Altaria</t>
  </si>
  <si>
    <t xml:space="preserve">Torterra</t>
  </si>
  <si>
    <t xml:space="preserve">Gigalith</t>
  </si>
  <si>
    <t xml:space="preserve">Iron Valiant</t>
  </si>
  <si>
    <t xml:space="preserve">Lapras-Mega</t>
  </si>
  <si>
    <t xml:space="preserve">Annihilape</t>
  </si>
  <si>
    <t xml:space="preserve">Raichu</t>
  </si>
  <si>
    <t xml:space="preserve">Qwilfish-Hisui</t>
  </si>
  <si>
    <t xml:space="preserve">Absol-Mega</t>
  </si>
  <si>
    <t xml:space="preserve">Mr. Rime-Mr-Rime</t>
  </si>
  <si>
    <t xml:space="preserve">Zebstrika</t>
  </si>
  <si>
    <t xml:space="preserve">Turtonator</t>
  </si>
  <si>
    <t xml:space="preserve">Hawlucha</t>
  </si>
  <si>
    <t xml:space="preserve">Drednaw-Mega</t>
  </si>
  <si>
    <t xml:space="preserve">Banette-Mega</t>
  </si>
  <si>
    <t xml:space="preserve">Cyclizar</t>
  </si>
  <si>
    <t xml:space="preserve">Kleavor</t>
  </si>
  <si>
    <t xml:space="preserve">Blissey</t>
  </si>
  <si>
    <t xml:space="preserve">Delphox</t>
  </si>
  <si>
    <t xml:space="preserve">Guzzlord</t>
  </si>
  <si>
    <t xml:space="preserve">Dustox</t>
  </si>
  <si>
    <t xml:space="preserve">Squirtle</t>
  </si>
  <si>
    <t xml:space="preserve">Ogerpon-Teal</t>
  </si>
  <si>
    <t xml:space="preserve">Zapdos-Galar</t>
  </si>
  <si>
    <t xml:space="preserve">Meowstic-M</t>
  </si>
  <si>
    <t xml:space="preserve">Swampert</t>
  </si>
  <si>
    <t xml:space="preserve">Basculegion-M</t>
  </si>
  <si>
    <t xml:space="preserve">Kilowattrel</t>
  </si>
  <si>
    <t xml:space="preserve">Seismitoad</t>
  </si>
  <si>
    <t xml:space="preserve">Garbodor-Mega</t>
  </si>
  <si>
    <t xml:space="preserve">Phione</t>
  </si>
  <si>
    <t xml:space="preserve">Whimsicott</t>
  </si>
  <si>
    <t xml:space="preserve">Entei</t>
  </si>
  <si>
    <t xml:space="preserve">Carracosta</t>
  </si>
  <si>
    <t xml:space="preserve">Jellicent</t>
  </si>
  <si>
    <t xml:space="preserve">Staraptor</t>
  </si>
  <si>
    <t xml:space="preserve">Groudon</t>
  </si>
  <si>
    <t xml:space="preserve">Jumpluff</t>
  </si>
  <si>
    <t xml:space="preserve">Exeggutor</t>
  </si>
  <si>
    <t xml:space="preserve">Roserade-Mega</t>
  </si>
  <si>
    <t xml:space="preserve">Blaziken-Mega</t>
  </si>
  <si>
    <t xml:space="preserve">Heliolisk</t>
  </si>
  <si>
    <t xml:space="preserve">Tapu Lele-Tapu-Lele</t>
  </si>
  <si>
    <t xml:space="preserve">Spritzee</t>
  </si>
  <si>
    <t xml:space="preserve">Mareanie</t>
  </si>
  <si>
    <t xml:space="preserve">Electrode</t>
  </si>
  <si>
    <t xml:space="preserve">Exeggutor-Alola</t>
  </si>
  <si>
    <t xml:space="preserve">Galvantula</t>
  </si>
  <si>
    <t xml:space="preserve">Electabuzz</t>
  </si>
  <si>
    <t xml:space="preserve">Empoleon</t>
  </si>
  <si>
    <t xml:space="preserve">Gyarados</t>
  </si>
  <si>
    <t xml:space="preserve">Machamp</t>
  </si>
  <si>
    <t xml:space="preserve">Polteageist-Phony</t>
  </si>
  <si>
    <t xml:space="preserve">Chimecho</t>
  </si>
  <si>
    <t xml:space="preserve">Vikavolt</t>
  </si>
  <si>
    <t xml:space="preserve">Vikavolt-Totem</t>
  </si>
  <si>
    <t xml:space="preserve">Victreebel</t>
  </si>
  <si>
    <t xml:space="preserve">Salamence</t>
  </si>
  <si>
    <t xml:space="preserve">Golem</t>
  </si>
  <si>
    <t xml:space="preserve">Cursola</t>
  </si>
  <si>
    <t xml:space="preserve">Darkrai</t>
  </si>
  <si>
    <t xml:space="preserve">Granbull</t>
  </si>
  <si>
    <t xml:space="preserve">Scizor</t>
  </si>
  <si>
    <t xml:space="preserve">Nidoking</t>
  </si>
  <si>
    <t xml:space="preserve">Gardevoir</t>
  </si>
  <si>
    <t xml:space="preserve">Pineco</t>
  </si>
  <si>
    <t xml:space="preserve">Tentacool</t>
  </si>
  <si>
    <t xml:space="preserve">Venusaur</t>
  </si>
  <si>
    <t xml:space="preserve">Kangaskhan</t>
  </si>
  <si>
    <t xml:space="preserve">Mawile-Mega</t>
  </si>
  <si>
    <t xml:space="preserve">Tapu Bulu-Tapu-Bulu</t>
  </si>
  <si>
    <t xml:space="preserve">Qwilfish</t>
  </si>
  <si>
    <t xml:space="preserve">Volcarona</t>
  </si>
  <si>
    <t xml:space="preserve">Slowpoke-Galar</t>
  </si>
  <si>
    <t xml:space="preserve">Celesteela</t>
  </si>
  <si>
    <t xml:space="preserve">Illumise</t>
  </si>
  <si>
    <t xml:space="preserve">Basculin-White-Striped</t>
  </si>
  <si>
    <t xml:space="preserve">Kyogre</t>
  </si>
  <si>
    <t xml:space="preserve">Basculin-Red-Striped</t>
  </si>
  <si>
    <t xml:space="preserve">Bellibolt</t>
  </si>
  <si>
    <t xml:space="preserve">Basculin-Blue-Striped</t>
  </si>
  <si>
    <t xml:space="preserve">Type: Null</t>
  </si>
  <si>
    <t xml:space="preserve">Shiinotic</t>
  </si>
  <si>
    <t xml:space="preserve">Braviary</t>
  </si>
  <si>
    <t xml:space="preserve">Ampharos</t>
  </si>
  <si>
    <t xml:space="preserve">Amoonguss</t>
  </si>
  <si>
    <t xml:space="preserve">Probopass</t>
  </si>
  <si>
    <t xml:space="preserve">Omastar</t>
  </si>
  <si>
    <t xml:space="preserve">Castform-Normal</t>
  </si>
  <si>
    <t xml:space="preserve">Basculegion-F</t>
  </si>
  <si>
    <t xml:space="preserve">Braviary-Hisui</t>
  </si>
  <si>
    <t xml:space="preserve">Raichu-Alola</t>
  </si>
  <si>
    <t xml:space="preserve">Skuntank</t>
  </si>
  <si>
    <t xml:space="preserve">Appletun-Mega</t>
  </si>
  <si>
    <t xml:space="preserve">Veluza</t>
  </si>
  <si>
    <t xml:space="preserve">Munkidori</t>
  </si>
  <si>
    <t xml:space="preserve">Vespiquen</t>
  </si>
  <si>
    <t xml:space="preserve">Pinsir-Mega</t>
  </si>
  <si>
    <t xml:space="preserve">Roaring Moon</t>
  </si>
  <si>
    <t xml:space="preserve">Victini</t>
  </si>
  <si>
    <t xml:space="preserve">Feraligatr</t>
  </si>
  <si>
    <t xml:space="preserve">Noivern</t>
  </si>
  <si>
    <t xml:space="preserve">Rhyperior</t>
  </si>
  <si>
    <t xml:space="preserve">Shaymin-Sky</t>
  </si>
  <si>
    <t xml:space="preserve">Gothitelle</t>
  </si>
  <si>
    <t xml:space="preserve">Slowpoke</t>
  </si>
  <si>
    <t xml:space="preserve">Mismagius</t>
  </si>
  <si>
    <t xml:space="preserve">Lanturn</t>
  </si>
  <si>
    <t xml:space="preserve">Sandaconda-Mega</t>
  </si>
  <si>
    <t xml:space="preserve">Espathra</t>
  </si>
  <si>
    <t xml:space="preserve">Armarouge</t>
  </si>
  <si>
    <t xml:space="preserve">Naganadel</t>
  </si>
  <si>
    <t xml:space="preserve">Copperajah</t>
  </si>
  <si>
    <t xml:space="preserve">Archeops</t>
  </si>
  <si>
    <t xml:space="preserve">Kartana</t>
  </si>
  <si>
    <t xml:space="preserve">Iron Hands</t>
  </si>
  <si>
    <t xml:space="preserve">Scrafty</t>
  </si>
  <si>
    <t xml:space="preserve">Minun</t>
  </si>
  <si>
    <t xml:space="preserve">Slither Wing</t>
  </si>
  <si>
    <t xml:space="preserve">Moltres-Galar</t>
  </si>
  <si>
    <t xml:space="preserve">Torkoal</t>
  </si>
  <si>
    <t xml:space="preserve">Quaquaval</t>
  </si>
  <si>
    <t xml:space="preserve">Bombirdier</t>
  </si>
  <si>
    <t xml:space="preserve">Golduck</t>
  </si>
  <si>
    <t xml:space="preserve">Camerupt</t>
  </si>
  <si>
    <t xml:space="preserve">Samurott-Hisui</t>
  </si>
  <si>
    <t xml:space="preserve">Girafarig</t>
  </si>
  <si>
    <t xml:space="preserve">Flareon</t>
  </si>
  <si>
    <t xml:space="preserve">Gligar</t>
  </si>
  <si>
    <t xml:space="preserve">Quilladin</t>
  </si>
  <si>
    <t xml:space="preserve">Gorebyss</t>
  </si>
  <si>
    <t xml:space="preserve">Drapion</t>
  </si>
  <si>
    <t xml:space="preserve">Mr. Mime-Mr-Mime-Galar</t>
  </si>
  <si>
    <t xml:space="preserve">Purugly</t>
  </si>
  <si>
    <t xml:space="preserve">Zangoose</t>
  </si>
  <si>
    <t xml:space="preserve">Pyukumuku</t>
  </si>
  <si>
    <t xml:space="preserve">Sylveon</t>
  </si>
  <si>
    <t xml:space="preserve">Lopunny-Mega</t>
  </si>
  <si>
    <t xml:space="preserve">Stunfisk</t>
  </si>
  <si>
    <t xml:space="preserve">Infernape</t>
  </si>
  <si>
    <t xml:space="preserve">Glastrier</t>
  </si>
  <si>
    <t xml:space="preserve">Sigilyph</t>
  </si>
  <si>
    <t xml:space="preserve">Tsareena</t>
  </si>
  <si>
    <t xml:space="preserve">Luxray</t>
  </si>
  <si>
    <t xml:space="preserve">Toedscruel</t>
  </si>
  <si>
    <t xml:space="preserve">Zarude</t>
  </si>
  <si>
    <t xml:space="preserve">Clefairy</t>
  </si>
  <si>
    <t xml:space="preserve">Magnezone</t>
  </si>
  <si>
    <t xml:space="preserve">Hydrapple</t>
  </si>
  <si>
    <t xml:space="preserve">Weavile</t>
  </si>
  <si>
    <t xml:space="preserve">Gholdengo</t>
  </si>
  <si>
    <t xml:space="preserve">Sawsbuck-Spring</t>
  </si>
  <si>
    <t xml:space="preserve">Rotom</t>
  </si>
  <si>
    <t xml:space="preserve">Duraludon</t>
  </si>
  <si>
    <t xml:space="preserve">Beheeyem</t>
  </si>
  <si>
    <t xml:space="preserve">Shaymin-Land</t>
  </si>
  <si>
    <t xml:space="preserve">Rabsca</t>
  </si>
  <si>
    <t xml:space="preserve">Drowzee</t>
  </si>
  <si>
    <t xml:space="preserve">Chesnaught</t>
  </si>
  <si>
    <t xml:space="preserve">Slurpuff</t>
  </si>
  <si>
    <t xml:space="preserve">Regidrago</t>
  </si>
  <si>
    <t xml:space="preserve">Vullaby</t>
  </si>
  <si>
    <t xml:space="preserve">Centiskorch-Mega</t>
  </si>
  <si>
    <t xml:space="preserve">Greninja</t>
  </si>
  <si>
    <t xml:space="preserve">Staryu</t>
  </si>
  <si>
    <t xml:space="preserve">Golurk</t>
  </si>
  <si>
    <t xml:space="preserve">Sandslash</t>
  </si>
  <si>
    <t xml:space="preserve">Spiritomb</t>
  </si>
  <si>
    <t xml:space="preserve">Tangrowth</t>
  </si>
  <si>
    <t xml:space="preserve">Armaldo</t>
  </si>
  <si>
    <t xml:space="preserve">Clodsire</t>
  </si>
  <si>
    <t xml:space="preserve">Marowak</t>
  </si>
  <si>
    <t xml:space="preserve">Poliwrath</t>
  </si>
  <si>
    <t xml:space="preserve">Sirfetch'd-Sirfetchd</t>
  </si>
  <si>
    <t xml:space="preserve">Mudsdale</t>
  </si>
  <si>
    <t xml:space="preserve">Palossand</t>
  </si>
  <si>
    <t xml:space="preserve">Togedemaru</t>
  </si>
  <si>
    <t xml:space="preserve">Lickitung</t>
  </si>
  <si>
    <t xml:space="preserve">Blaziken</t>
  </si>
  <si>
    <t xml:space="preserve">Walking Wake</t>
  </si>
  <si>
    <t xml:space="preserve">Glimmora</t>
  </si>
  <si>
    <t xml:space="preserve">Rapidash</t>
  </si>
  <si>
    <t xml:space="preserve">Spectrier</t>
  </si>
  <si>
    <t xml:space="preserve">Charizard</t>
  </si>
  <si>
    <t xml:space="preserve">Trevenant</t>
  </si>
  <si>
    <t xml:space="preserve">Haxorus</t>
  </si>
  <si>
    <t xml:space="preserve">Metang</t>
  </si>
  <si>
    <t xml:space="preserve">Lilligant</t>
  </si>
  <si>
    <t xml:space="preserve">Great Tusk</t>
  </si>
  <si>
    <t xml:space="preserve">Mimikyu-Disguised</t>
  </si>
  <si>
    <t xml:space="preserve">Chansey</t>
  </si>
  <si>
    <t xml:space="preserve">Xatu</t>
  </si>
  <si>
    <t xml:space="preserve">Pawmot</t>
  </si>
  <si>
    <t xml:space="preserve">Kangaskhan-Mega</t>
  </si>
  <si>
    <t xml:space="preserve">Eelektrik</t>
  </si>
  <si>
    <t xml:space="preserve">Tauros</t>
  </si>
  <si>
    <t xml:space="preserve">Stoutland</t>
  </si>
  <si>
    <t xml:space="preserve">Squawkabilly-Green</t>
  </si>
  <si>
    <t xml:space="preserve">Wigglytuff</t>
  </si>
  <si>
    <t xml:space="preserve">Watchog</t>
  </si>
  <si>
    <t xml:space="preserve">Stakataka</t>
  </si>
  <si>
    <t xml:space="preserve">Cutiefly</t>
  </si>
  <si>
    <t xml:space="preserve">Sunflora</t>
  </si>
  <si>
    <t xml:space="preserve">Sceptile</t>
  </si>
  <si>
    <t xml:space="preserve">Ursaluna</t>
  </si>
  <si>
    <t xml:space="preserve">Druddigon</t>
  </si>
  <si>
    <t xml:space="preserve">Klawf</t>
  </si>
  <si>
    <t xml:space="preserve">Ferroseed</t>
  </si>
  <si>
    <t xml:space="preserve">Gastrodon-East</t>
  </si>
  <si>
    <t xml:space="preserve">Diancie</t>
  </si>
  <si>
    <t xml:space="preserve">Cetitan</t>
  </si>
  <si>
    <t xml:space="preserve">Emboar</t>
  </si>
  <si>
    <t xml:space="preserve">Enamorus-Incarnate</t>
  </si>
  <si>
    <t xml:space="preserve">Kecleon</t>
  </si>
  <si>
    <t xml:space="preserve">Duosion</t>
  </si>
  <si>
    <t xml:space="preserve">Furfrou-La-Reine-Trim</t>
  </si>
  <si>
    <t xml:space="preserve">Furfrou-Star-Trim</t>
  </si>
  <si>
    <t xml:space="preserve">Furfrou-Kabuki-Trim</t>
  </si>
  <si>
    <t xml:space="preserve">Furfrou-Matron-Trim</t>
  </si>
  <si>
    <t xml:space="preserve">Furfrou-Heart-Trim</t>
  </si>
  <si>
    <t xml:space="preserve">Furfrou-Debutante-Trim</t>
  </si>
  <si>
    <t xml:space="preserve">Furfrou-Diamond-Trim</t>
  </si>
  <si>
    <t xml:space="preserve">Furfrou-Pharaoh-Trim</t>
  </si>
  <si>
    <t xml:space="preserve">Furfrou-Dandy-Trim</t>
  </si>
  <si>
    <t xml:space="preserve">Furfrou-Natural</t>
  </si>
  <si>
    <t xml:space="preserve">Medicham</t>
  </si>
  <si>
    <t xml:space="preserve">Scyther</t>
  </si>
  <si>
    <t xml:space="preserve">Iron Jugulis</t>
  </si>
  <si>
    <t xml:space="preserve">Orthworm</t>
  </si>
  <si>
    <t xml:space="preserve">Ludicolo</t>
  </si>
  <si>
    <t xml:space="preserve">Koffing</t>
  </si>
  <si>
    <t xml:space="preserve">Crobat</t>
  </si>
  <si>
    <t xml:space="preserve">Leafeon</t>
  </si>
  <si>
    <t xml:space="preserve">Tauros-Paldea-Aqua</t>
  </si>
  <si>
    <t xml:space="preserve">Manectric</t>
  </si>
  <si>
    <t xml:space="preserve">Muk-Alola</t>
  </si>
  <si>
    <t xml:space="preserve">Stantler</t>
  </si>
  <si>
    <t xml:space="preserve">Durant</t>
  </si>
  <si>
    <t xml:space="preserve">Iron Leaves</t>
  </si>
  <si>
    <t xml:space="preserve">Kommo-o-Kommo-O-Totem</t>
  </si>
  <si>
    <t xml:space="preserve">Gengar</t>
  </si>
  <si>
    <t xml:space="preserve">Copperajah-Mega</t>
  </si>
  <si>
    <t xml:space="preserve">Hattrem</t>
  </si>
  <si>
    <t xml:space="preserve">Passimian</t>
  </si>
  <si>
    <t xml:space="preserve">Cinccino</t>
  </si>
  <si>
    <t xml:space="preserve">Arbok</t>
  </si>
  <si>
    <t xml:space="preserve">Lucario</t>
  </si>
  <si>
    <t xml:space="preserve">Plusle</t>
  </si>
  <si>
    <t xml:space="preserve">Espeon</t>
  </si>
  <si>
    <t xml:space="preserve">Pyroar</t>
  </si>
  <si>
    <t xml:space="preserve">Farigiraf</t>
  </si>
  <si>
    <t xml:space="preserve">Blacephalon</t>
  </si>
  <si>
    <t xml:space="preserve">Gastrodon-West</t>
  </si>
  <si>
    <t xml:space="preserve">Alcremie-Berry-Lemon-Cream</t>
  </si>
  <si>
    <t xml:space="preserve">Alcremie-Berry-Caramel-Swirl</t>
  </si>
  <si>
    <t xml:space="preserve">Alcremie-Clover-Caramel-Swirl</t>
  </si>
  <si>
    <t xml:space="preserve">Alcremie-Clover-Lemon-Cream</t>
  </si>
  <si>
    <t xml:space="preserve">Alcremie-Strawberry-Vanilla-Cream</t>
  </si>
  <si>
    <t xml:space="preserve">Alcremie-Strawberry-Salted-Cream</t>
  </si>
  <si>
    <t xml:space="preserve">Alcremie-Berry-Matcha-Cream</t>
  </si>
  <si>
    <t xml:space="preserve">Alcremie-Love-Vanilla-Cream</t>
  </si>
  <si>
    <t xml:space="preserve">Alcremie-Love-Mint-Cream</t>
  </si>
  <si>
    <t xml:space="preserve">Alcremie-Love-Lemon-Cream</t>
  </si>
  <si>
    <t xml:space="preserve">Alcremie-Vanilla-Cream</t>
  </si>
  <si>
    <t xml:space="preserve">Alcremie-Matcha-Cream</t>
  </si>
  <si>
    <t xml:space="preserve">Alcremie-Ruby-Swirl</t>
  </si>
  <si>
    <t xml:space="preserve">Alcremie-Strawberry-Ruby-Swirl</t>
  </si>
  <si>
    <t xml:space="preserve">Alcremie-Ribbon-Vanilla-Cream</t>
  </si>
  <si>
    <t xml:space="preserve">Alcremie-Ruby-Cream</t>
  </si>
  <si>
    <t xml:space="preserve">Alcremie-Star-Matcha-Cream</t>
  </si>
  <si>
    <t xml:space="preserve">Alcremie-Ribbon-Salted-Cream</t>
  </si>
  <si>
    <t xml:space="preserve">Alcremie-Ribbon-Caramel-Swirl</t>
  </si>
  <si>
    <t xml:space="preserve">Alcremie-Mint-Cream</t>
  </si>
  <si>
    <t xml:space="preserve">Alcremie-Star-Vanilla-Cream</t>
  </si>
  <si>
    <t xml:space="preserve">Alcremie-Strawberry-Caramel-Swirl</t>
  </si>
  <si>
    <t xml:space="preserve">Alcremie-Strawberry-Lemon-Cream</t>
  </si>
  <si>
    <t xml:space="preserve">Alcremie-Rainbow-Swirl</t>
  </si>
  <si>
    <t xml:space="preserve">Alcremie-Star-Lemon-Cream</t>
  </si>
  <si>
    <t xml:space="preserve">Alcremie-Berry-Ruby-Cream</t>
  </si>
  <si>
    <t xml:space="preserve">Alcremie-Lemon-Cream</t>
  </si>
  <si>
    <t xml:space="preserve">Alcremie-Berry-Rainbow-Swirl</t>
  </si>
  <si>
    <t xml:space="preserve">Alcremie-Star-Ruby-Cream</t>
  </si>
  <si>
    <t xml:space="preserve">Alcremie-Star-Rainbow-Swirl</t>
  </si>
  <si>
    <t xml:space="preserve">Alcremie-Star-Mint-Cream</t>
  </si>
  <si>
    <t xml:space="preserve">Alcremie-Star-Ruby-Swirl</t>
  </si>
  <si>
    <t xml:space="preserve">Alcremie-Berry-Vanilla-Cream</t>
  </si>
  <si>
    <t xml:space="preserve">Alcremie-Love-Salted-Cream</t>
  </si>
  <si>
    <t xml:space="preserve">Alcremie-Caramel-Swirl</t>
  </si>
  <si>
    <t xml:space="preserve">Alcremie-Berry-Ruby-Swirl</t>
  </si>
  <si>
    <t xml:space="preserve">Alcremie-Berry-Salted-Cream</t>
  </si>
  <si>
    <t xml:space="preserve">Alcremie-Clover-Rainbow-Swirl</t>
  </si>
  <si>
    <t xml:space="preserve">Alcremie-Clover-Mint-Cream</t>
  </si>
  <si>
    <t xml:space="preserve">Alcremie-Clover-Matcha-Cream</t>
  </si>
  <si>
    <t xml:space="preserve">Camerupt-Mega</t>
  </si>
  <si>
    <t xml:space="preserve">Alcremie-Ribbon-Matcha-Cream</t>
  </si>
  <si>
    <t xml:space="preserve">Alcremie-Love-Caramel-Swirl</t>
  </si>
  <si>
    <t xml:space="preserve">Alcremie-Love-Matcha-Cream</t>
  </si>
  <si>
    <t xml:space="preserve">Alcremie-Love-Ruby-Swirl</t>
  </si>
  <si>
    <t xml:space="preserve">Shiftry</t>
  </si>
  <si>
    <t xml:space="preserve">Alcremie-Star-Caramel-Swirl</t>
  </si>
  <si>
    <t xml:space="preserve">Alcremie-Ribbon-Lemon-Cream</t>
  </si>
  <si>
    <t xml:space="preserve">Alcremie-Strawberry-Matcha-Cream</t>
  </si>
  <si>
    <t xml:space="preserve">Alcremie-Strawberry-Mint-Cream</t>
  </si>
  <si>
    <t xml:space="preserve">Alcremie-Strawberry-Ruby-Cream</t>
  </si>
  <si>
    <t xml:space="preserve">Alcremie-Strawberry-Rainbow-Swirl</t>
  </si>
  <si>
    <t xml:space="preserve">Alcremie-Ribbon-Rainbow-Swirl</t>
  </si>
  <si>
    <t xml:space="preserve">Alcremie-Star-Salted-Cream</t>
  </si>
  <si>
    <t xml:space="preserve">Alcremie-Ribbon-Ruby-Cream</t>
  </si>
  <si>
    <t xml:space="preserve">Alcremie-Ribbon-Ruby-Swirl</t>
  </si>
  <si>
    <t xml:space="preserve">Alcremie-Salted-Cream</t>
  </si>
  <si>
    <t xml:space="preserve">Alcremie-Love-Ruby-Cream</t>
  </si>
  <si>
    <t xml:space="preserve">Alcremie-Love-Rainbow-Swirl</t>
  </si>
  <si>
    <t xml:space="preserve">Alcremie-Clover-Ruby-Cream</t>
  </si>
  <si>
    <t xml:space="preserve">Alcremie-Clover-Salted-Cream</t>
  </si>
  <si>
    <t xml:space="preserve">Alcremie-Clover-Ruby-Swirl</t>
  </si>
  <si>
    <t xml:space="preserve">Alcremie-Clover-Vanilla-Cream</t>
  </si>
  <si>
    <t xml:space="preserve">Alcremie-Ribbon-Mint-Cream</t>
  </si>
  <si>
    <t xml:space="preserve">Alcremie-Berry-Mint-Cream</t>
  </si>
  <si>
    <t xml:space="preserve">Chi-Yu</t>
  </si>
  <si>
    <t xml:space="preserve">Meowstic-F</t>
  </si>
  <si>
    <t xml:space="preserve">Golisopod</t>
  </si>
  <si>
    <t xml:space="preserve">Oinkologne-F</t>
  </si>
  <si>
    <t xml:space="preserve">Heracross-Mega</t>
  </si>
  <si>
    <t xml:space="preserve">Chien-Pao</t>
  </si>
  <si>
    <t xml:space="preserve">Nosepass</t>
  </si>
  <si>
    <t xml:space="preserve">Floatzel</t>
  </si>
  <si>
    <t xml:space="preserve">Alakazam</t>
  </si>
  <si>
    <t xml:space="preserve">Politoed</t>
  </si>
  <si>
    <t xml:space="preserve">Heatmor</t>
  </si>
  <si>
    <t xml:space="preserve">Sableye</t>
  </si>
  <si>
    <t xml:space="preserve">Relicanth</t>
  </si>
  <si>
    <t xml:space="preserve">Unfezant</t>
  </si>
  <si>
    <t xml:space="preserve">Swanna</t>
  </si>
  <si>
    <t xml:space="preserve">Donphan</t>
  </si>
  <si>
    <t xml:space="preserve">Kommo-o-Kommo-O</t>
  </si>
  <si>
    <t xml:space="preserve">Rillaboom</t>
  </si>
  <si>
    <t xml:space="preserve">Dedenne</t>
  </si>
  <si>
    <t xml:space="preserve">Scolipede</t>
  </si>
  <si>
    <t xml:space="preserve">Urshifu-Rapid-Strike</t>
  </si>
  <si>
    <t xml:space="preserve">Goodra</t>
  </si>
  <si>
    <t xml:space="preserve">Tangela</t>
  </si>
  <si>
    <t xml:space="preserve">Lilligant-Hisui</t>
  </si>
  <si>
    <t xml:space="preserve">Garbodor</t>
  </si>
  <si>
    <t xml:space="preserve">Sandslash-Alola</t>
  </si>
  <si>
    <t xml:space="preserve">Bouffalant</t>
  </si>
  <si>
    <t xml:space="preserve">Pelipper</t>
  </si>
  <si>
    <t xml:space="preserve">Dachsbun</t>
  </si>
  <si>
    <t xml:space="preserve">Tropius</t>
  </si>
  <si>
    <t xml:space="preserve">Hoopa-Confined</t>
  </si>
  <si>
    <t xml:space="preserve">Brambleghast</t>
  </si>
  <si>
    <t xml:space="preserve">Spinda</t>
  </si>
  <si>
    <t xml:space="preserve">Pinsir</t>
  </si>
  <si>
    <t xml:space="preserve">Komala</t>
  </si>
  <si>
    <t xml:space="preserve">Vileplume</t>
  </si>
  <si>
    <t xml:space="preserve">Okidogi</t>
  </si>
  <si>
    <t xml:space="preserve">Chespin</t>
  </si>
  <si>
    <t xml:space="preserve">Honchkrow</t>
  </si>
  <si>
    <t xml:space="preserve">Sneasel-Hisui</t>
  </si>
  <si>
    <t xml:space="preserve">Graveler-Alola</t>
  </si>
  <si>
    <t xml:space="preserve">Walrein</t>
  </si>
  <si>
    <t xml:space="preserve">Munchlax</t>
  </si>
  <si>
    <t xml:space="preserve">Cryogonal</t>
  </si>
  <si>
    <t xml:space="preserve">Dodrio</t>
  </si>
  <si>
    <t xml:space="preserve">Krookodile</t>
  </si>
  <si>
    <t xml:space="preserve">Azumarill</t>
  </si>
  <si>
    <t xml:space="preserve">Magneton</t>
  </si>
  <si>
    <t xml:space="preserve">Carkol</t>
  </si>
  <si>
    <t xml:space="preserve">Bellossom</t>
  </si>
  <si>
    <t xml:space="preserve">Sharpedo-Mega</t>
  </si>
  <si>
    <t xml:space="preserve">Lumineon</t>
  </si>
  <si>
    <t xml:space="preserve">Sinistcha-Unremarkable</t>
  </si>
  <si>
    <t xml:space="preserve">Serperior</t>
  </si>
  <si>
    <t xml:space="preserve">Scovillain</t>
  </si>
  <si>
    <t xml:space="preserve">Hitmonlee</t>
  </si>
  <si>
    <t xml:space="preserve">Abomasnow</t>
  </si>
  <si>
    <t xml:space="preserve">Darmanitan-Galar-Standard</t>
  </si>
  <si>
    <t xml:space="preserve">Primeape</t>
  </si>
  <si>
    <t xml:space="preserve">Barraskewda</t>
  </si>
  <si>
    <t xml:space="preserve">Buzzwole</t>
  </si>
  <si>
    <t xml:space="preserve">Houndoom-Mega</t>
  </si>
  <si>
    <t xml:space="preserve">Typhlosion</t>
  </si>
  <si>
    <t xml:space="preserve">Decidueye-Hisui</t>
  </si>
  <si>
    <t xml:space="preserve">Cinderace</t>
  </si>
  <si>
    <t xml:space="preserve">Drednaw</t>
  </si>
  <si>
    <t xml:space="preserve">Bronzor</t>
  </si>
  <si>
    <t xml:space="preserve">Dewgong</t>
  </si>
  <si>
    <t xml:space="preserve">Shelmet</t>
  </si>
  <si>
    <t xml:space="preserve">Diggersby</t>
  </si>
  <si>
    <t xml:space="preserve">Kingdra</t>
  </si>
  <si>
    <t xml:space="preserve">Baxcalibur</t>
  </si>
  <si>
    <t xml:space="preserve">Jynx</t>
  </si>
  <si>
    <t xml:space="preserve">Baltoy</t>
  </si>
  <si>
    <t xml:space="preserve">Excadrill</t>
  </si>
  <si>
    <t xml:space="preserve">Ribombee-Totem</t>
  </si>
  <si>
    <t xml:space="preserve">Ribombee</t>
  </si>
  <si>
    <t xml:space="preserve">Onix</t>
  </si>
  <si>
    <t xml:space="preserve">Lycanroc-Dusk</t>
  </si>
  <si>
    <t xml:space="preserve">Rapidash-Galar</t>
  </si>
  <si>
    <t xml:space="preserve">Dudunsparce-Three-Segment</t>
  </si>
  <si>
    <t xml:space="preserve">Cramorant</t>
  </si>
  <si>
    <t xml:space="preserve">Conkeldurr</t>
  </si>
  <si>
    <t xml:space="preserve">Dhelmise</t>
  </si>
  <si>
    <t xml:space="preserve">Dunsparce</t>
  </si>
  <si>
    <t xml:space="preserve">Heracross</t>
  </si>
  <si>
    <t xml:space="preserve">Oricorio-Pom-Pom</t>
  </si>
  <si>
    <t xml:space="preserve">Flamigo</t>
  </si>
  <si>
    <t xml:space="preserve">Tyranitar-Mega</t>
  </si>
  <si>
    <t xml:space="preserve">Marowak-Alola</t>
  </si>
  <si>
    <t xml:space="preserve">Grafaiai</t>
  </si>
  <si>
    <t xml:space="preserve">Oinkologne-M</t>
  </si>
  <si>
    <t xml:space="preserve">Toxtricity-Mega</t>
  </si>
  <si>
    <t xml:space="preserve">Swoobat</t>
  </si>
  <si>
    <t xml:space="preserve">Shellder</t>
  </si>
  <si>
    <t xml:space="preserve">Golbat</t>
  </si>
  <si>
    <t xml:space="preserve">Dusknoir</t>
  </si>
  <si>
    <t xml:space="preserve">Machoke</t>
  </si>
  <si>
    <t xml:space="preserve">Noctowl</t>
  </si>
  <si>
    <t xml:space="preserve">Tauros-Paldea-Blaze</t>
  </si>
  <si>
    <t xml:space="preserve">Toucannon</t>
  </si>
  <si>
    <t xml:space="preserve">Lycanroc-Midday</t>
  </si>
  <si>
    <t xml:space="preserve">Houndstone</t>
  </si>
  <si>
    <t xml:space="preserve">Darmanitan-Standard</t>
  </si>
  <si>
    <t xml:space="preserve">Malamar</t>
  </si>
  <si>
    <t xml:space="preserve">Shellos-West</t>
  </si>
  <si>
    <t xml:space="preserve">Shellos-East</t>
  </si>
  <si>
    <t xml:space="preserve">Palafin-Zero</t>
  </si>
  <si>
    <t xml:space="preserve">Wooper-Paldea</t>
  </si>
  <si>
    <t xml:space="preserve">Leavanny</t>
  </si>
  <si>
    <t xml:space="preserve">Dudunsparce-Two-Segment</t>
  </si>
  <si>
    <t xml:space="preserve">Murkrow</t>
  </si>
  <si>
    <t xml:space="preserve">Urshifu-Single-Strike</t>
  </si>
  <si>
    <t xml:space="preserve">Voltorb</t>
  </si>
  <si>
    <t xml:space="preserve">Pincurchin</t>
  </si>
  <si>
    <t xml:space="preserve">Ninetales-Alola</t>
  </si>
  <si>
    <t xml:space="preserve">Pangoro</t>
  </si>
  <si>
    <t xml:space="preserve">Doublade</t>
  </si>
  <si>
    <t xml:space="preserve">Ledian</t>
  </si>
  <si>
    <t xml:space="preserve">Trubbish</t>
  </si>
  <si>
    <t xml:space="preserve">Ambipom</t>
  </si>
  <si>
    <t xml:space="preserve">Avalugg</t>
  </si>
  <si>
    <t xml:space="preserve">Boldore</t>
  </si>
  <si>
    <t xml:space="preserve">Glaceon</t>
  </si>
  <si>
    <t xml:space="preserve">Kricketune</t>
  </si>
  <si>
    <t xml:space="preserve">Rolycoly</t>
  </si>
  <si>
    <t xml:space="preserve">Beartic</t>
  </si>
  <si>
    <t xml:space="preserve">Dwebble</t>
  </si>
  <si>
    <t xml:space="preserve">Magmar</t>
  </si>
  <si>
    <t xml:space="preserve">Roserade</t>
  </si>
  <si>
    <t xml:space="preserve">Heatran</t>
  </si>
  <si>
    <t xml:space="preserve">Dottler</t>
  </si>
  <si>
    <t xml:space="preserve">Corsola-Galar</t>
  </si>
  <si>
    <t xml:space="preserve">Drifblim</t>
  </si>
  <si>
    <t xml:space="preserve">Iron Bundle</t>
  </si>
  <si>
    <t xml:space="preserve">Hariyama</t>
  </si>
  <si>
    <t xml:space="preserve">Bibarel</t>
  </si>
  <si>
    <t xml:space="preserve">Gogoat</t>
  </si>
  <si>
    <t xml:space="preserve">Togepi</t>
  </si>
  <si>
    <t xml:space="preserve">Vivillon-Sun</t>
  </si>
  <si>
    <t xml:space="preserve">Vivillon-Archipelago</t>
  </si>
  <si>
    <t xml:space="preserve">Vivillon-Meadow</t>
  </si>
  <si>
    <t xml:space="preserve">Vivillon-Polar</t>
  </si>
  <si>
    <t xml:space="preserve">Vivillon-River</t>
  </si>
  <si>
    <t xml:space="preserve">Vivillon-Sandstorm</t>
  </si>
  <si>
    <t xml:space="preserve">Vivillon-Savanna</t>
  </si>
  <si>
    <t xml:space="preserve">Vivillon-Garden</t>
  </si>
  <si>
    <t xml:space="preserve">Vivillon-Fancy</t>
  </si>
  <si>
    <t xml:space="preserve">Vivillon-Elegant</t>
  </si>
  <si>
    <t xml:space="preserve">Vivillon-Modern</t>
  </si>
  <si>
    <t xml:space="preserve">Vivillon-Jungle</t>
  </si>
  <si>
    <t xml:space="preserve">Vivillon-Continental</t>
  </si>
  <si>
    <t xml:space="preserve">Vivillon-Monsoon</t>
  </si>
  <si>
    <t xml:space="preserve">Vivillon-High-Plains</t>
  </si>
  <si>
    <t xml:space="preserve">Vivillon-Icy-Snow</t>
  </si>
  <si>
    <t xml:space="preserve">Vivillon-Ocean</t>
  </si>
  <si>
    <t xml:space="preserve">Vivillon-Pokeball</t>
  </si>
  <si>
    <t xml:space="preserve">Vivillon-Tundra</t>
  </si>
  <si>
    <t xml:space="preserve">Vivillon-Marine</t>
  </si>
  <si>
    <t xml:space="preserve">Throh</t>
  </si>
  <si>
    <t xml:space="preserve">Rhydon</t>
  </si>
  <si>
    <t xml:space="preserve">Pheromosa</t>
  </si>
  <si>
    <t xml:space="preserve">Accelgor</t>
  </si>
  <si>
    <t xml:space="preserve">Marowak-Alola-Totem</t>
  </si>
  <si>
    <t xml:space="preserve">Marshtomp</t>
  </si>
  <si>
    <t xml:space="preserve">Solosis</t>
  </si>
  <si>
    <t xml:space="preserve">Chinchou</t>
  </si>
  <si>
    <t xml:space="preserve">Butterfree-Mega</t>
  </si>
  <si>
    <t xml:space="preserve">Boltund</t>
  </si>
  <si>
    <t xml:space="preserve">Incineroar</t>
  </si>
  <si>
    <t xml:space="preserve">Bonsly</t>
  </si>
  <si>
    <t xml:space="preserve">Sandaconda</t>
  </si>
  <si>
    <t xml:space="preserve">Meowscarada</t>
  </si>
  <si>
    <t xml:space="preserve">Magmortar</t>
  </si>
  <si>
    <t xml:space="preserve">Hitmonchan</t>
  </si>
  <si>
    <t xml:space="preserve">Bewear</t>
  </si>
  <si>
    <t xml:space="preserve">Tinkatuff</t>
  </si>
  <si>
    <t xml:space="preserve">Seaking</t>
  </si>
  <si>
    <t xml:space="preserve">Golem-Alola</t>
  </si>
  <si>
    <t xml:space="preserve">Tauros-Paldea-Combat</t>
  </si>
  <si>
    <t xml:space="preserve">Arcanine-Hisui</t>
  </si>
  <si>
    <t xml:space="preserve">Gourgeist-Average</t>
  </si>
  <si>
    <t xml:space="preserve">Dragalge</t>
  </si>
  <si>
    <t xml:space="preserve">Bruxish</t>
  </si>
  <si>
    <t xml:space="preserve">Tyrantrum</t>
  </si>
  <si>
    <t xml:space="preserve">Graveler</t>
  </si>
  <si>
    <t xml:space="preserve">Gossifleur</t>
  </si>
  <si>
    <t xml:space="preserve">Wartortle</t>
  </si>
  <si>
    <t xml:space="preserve">Ursaluna-Bloodmoon</t>
  </si>
  <si>
    <t xml:space="preserve">Ursaring</t>
  </si>
  <si>
    <t xml:space="preserve">Iron Moth</t>
  </si>
  <si>
    <t xml:space="preserve">Frosmoth</t>
  </si>
  <si>
    <t xml:space="preserve">Kingler</t>
  </si>
  <si>
    <t xml:space="preserve">Hitmontop</t>
  </si>
  <si>
    <t xml:space="preserve">Simipour</t>
  </si>
  <si>
    <t xml:space="preserve">Escavalier</t>
  </si>
  <si>
    <t xml:space="preserve">Indeedee-F</t>
  </si>
  <si>
    <t xml:space="preserve">Simisage</t>
  </si>
  <si>
    <t xml:space="preserve">Arboliva</t>
  </si>
  <si>
    <t xml:space="preserve">Fuecoco</t>
  </si>
  <si>
    <t xml:space="preserve">Sawk</t>
  </si>
  <si>
    <t xml:space="preserve">Toxicroak</t>
  </si>
  <si>
    <t xml:space="preserve">Braixen</t>
  </si>
  <si>
    <t xml:space="preserve">Dubwool</t>
  </si>
  <si>
    <t xml:space="preserve">Moltres</t>
  </si>
  <si>
    <t xml:space="preserve">Obstagoon</t>
  </si>
  <si>
    <t xml:space="preserve">Exeggcute</t>
  </si>
  <si>
    <t xml:space="preserve">Eiscue-Ice</t>
  </si>
  <si>
    <t xml:space="preserve">Voltorb-Hisui</t>
  </si>
  <si>
    <t xml:space="preserve">Floette-Red</t>
  </si>
  <si>
    <t xml:space="preserve">Sneasel</t>
  </si>
  <si>
    <t xml:space="preserve">Wooper</t>
  </si>
  <si>
    <t xml:space="preserve">Centiskorch</t>
  </si>
  <si>
    <t xml:space="preserve">Clawitzer</t>
  </si>
  <si>
    <t xml:space="preserve">Simisear</t>
  </si>
  <si>
    <t xml:space="preserve">Morgrem</t>
  </si>
  <si>
    <t xml:space="preserve">Octillery</t>
  </si>
  <si>
    <t xml:space="preserve">Hippopotas</t>
  </si>
  <si>
    <t xml:space="preserve">Crocalor</t>
  </si>
  <si>
    <t xml:space="preserve">Tatsugiri-Curly</t>
  </si>
  <si>
    <t xml:space="preserve">Kingambit</t>
  </si>
  <si>
    <t xml:space="preserve">Thievul</t>
  </si>
  <si>
    <t xml:space="preserve">Nidorina</t>
  </si>
  <si>
    <t xml:space="preserve">Gothorita</t>
  </si>
  <si>
    <t xml:space="preserve">Dartrix</t>
  </si>
  <si>
    <t xml:space="preserve">Toxtricity-Amped</t>
  </si>
  <si>
    <t xml:space="preserve">Toxtricity-Low-Key</t>
  </si>
  <si>
    <t xml:space="preserve">Maractus</t>
  </si>
  <si>
    <t xml:space="preserve">Dragonair</t>
  </si>
  <si>
    <t xml:space="preserve">Ninjask</t>
  </si>
  <si>
    <t xml:space="preserve">Wailmer</t>
  </si>
  <si>
    <t xml:space="preserve">Luvdisc</t>
  </si>
  <si>
    <t xml:space="preserve">Lycanroc-Midnight</t>
  </si>
  <si>
    <t xml:space="preserve">Elekid</t>
  </si>
  <si>
    <t xml:space="preserve">Swellow</t>
  </si>
  <si>
    <t xml:space="preserve">Persian-Alola</t>
  </si>
  <si>
    <t xml:space="preserve">Gurdurr</t>
  </si>
  <si>
    <t xml:space="preserve">Rampardos</t>
  </si>
  <si>
    <t xml:space="preserve">Vigoroth</t>
  </si>
  <si>
    <t xml:space="preserve">Drizzile</t>
  </si>
  <si>
    <t xml:space="preserve">Morpeko-Full-Belly</t>
  </si>
  <si>
    <t xml:space="preserve">Sharpedo</t>
  </si>
  <si>
    <t xml:space="preserve">Fearow</t>
  </si>
  <si>
    <t xml:space="preserve">Amaura</t>
  </si>
  <si>
    <t xml:space="preserve">Misdreavus</t>
  </si>
  <si>
    <t xml:space="preserve">Lopunny</t>
  </si>
  <si>
    <t xml:space="preserve">Chatot</t>
  </si>
  <si>
    <t xml:space="preserve">Fennekin</t>
  </si>
  <si>
    <t xml:space="preserve">Grubbin</t>
  </si>
  <si>
    <t xml:space="preserve">Tyranitar</t>
  </si>
  <si>
    <t xml:space="preserve">Yanmega</t>
  </si>
  <si>
    <t xml:space="preserve">Seedot</t>
  </si>
  <si>
    <t xml:space="preserve">Charjabug</t>
  </si>
  <si>
    <t xml:space="preserve">Klang</t>
  </si>
  <si>
    <t xml:space="preserve">Oricorio-Sensu</t>
  </si>
  <si>
    <t xml:space="preserve">Furret</t>
  </si>
  <si>
    <t xml:space="preserve">Turtwig</t>
  </si>
  <si>
    <t xml:space="preserve">Togetic</t>
  </si>
  <si>
    <t xml:space="preserve">Persian</t>
  </si>
  <si>
    <t xml:space="preserve">Joltik</t>
  </si>
  <si>
    <t xml:space="preserve">Flapple</t>
  </si>
  <si>
    <t xml:space="preserve">Brute Bonnet</t>
  </si>
  <si>
    <t xml:space="preserve">Typhlosion-Hisui</t>
  </si>
  <si>
    <t xml:space="preserve">Spoink</t>
  </si>
  <si>
    <t xml:space="preserve">Maushold-Four</t>
  </si>
  <si>
    <t xml:space="preserve">Maushold-Three</t>
  </si>
  <si>
    <t xml:space="preserve">Dracozolt</t>
  </si>
  <si>
    <t xml:space="preserve">Tyrunt</t>
  </si>
  <si>
    <t xml:space="preserve">Meditite</t>
  </si>
  <si>
    <t xml:space="preserve">Igglybuff</t>
  </si>
  <si>
    <t xml:space="preserve">Varoom</t>
  </si>
  <si>
    <t xml:space="preserve">Dugtrio</t>
  </si>
  <si>
    <t xml:space="preserve">Barbaracle</t>
  </si>
  <si>
    <t xml:space="preserve">Snubbull</t>
  </si>
  <si>
    <t xml:space="preserve">Carnivine</t>
  </si>
  <si>
    <t xml:space="preserve">Venomoth</t>
  </si>
  <si>
    <t xml:space="preserve">Swirlix</t>
  </si>
  <si>
    <t xml:space="preserve">Dugtrio-Alola</t>
  </si>
  <si>
    <t xml:space="preserve">Psyduck</t>
  </si>
  <si>
    <t xml:space="preserve">Oricorio-Baile</t>
  </si>
  <si>
    <t xml:space="preserve">Geodude-Alola</t>
  </si>
  <si>
    <t xml:space="preserve">Arctozolt</t>
  </si>
  <si>
    <t xml:space="preserve">Gumshoos</t>
  </si>
  <si>
    <t xml:space="preserve">Lokix</t>
  </si>
  <si>
    <t xml:space="preserve">Absol</t>
  </si>
  <si>
    <t xml:space="preserve">Fletchinder</t>
  </si>
  <si>
    <t xml:space="preserve">Ivysaur</t>
  </si>
  <si>
    <t xml:space="preserve">Mawile</t>
  </si>
  <si>
    <t xml:space="preserve">Masquerain</t>
  </si>
  <si>
    <t xml:space="preserve">Ponyta</t>
  </si>
  <si>
    <t xml:space="preserve">Delibird</t>
  </si>
  <si>
    <t xml:space="preserve">Vanilluxe</t>
  </si>
  <si>
    <t xml:space="preserve">Raticate</t>
  </si>
  <si>
    <t xml:space="preserve">Mothim-Plant</t>
  </si>
  <si>
    <t xml:space="preserve">Aggron</t>
  </si>
  <si>
    <t xml:space="preserve">Cubone</t>
  </si>
  <si>
    <t xml:space="preserve">Frillish</t>
  </si>
  <si>
    <t xml:space="preserve">Exploud</t>
  </si>
  <si>
    <t xml:space="preserve">Nidorino</t>
  </si>
  <si>
    <t xml:space="preserve">Naclstack</t>
  </si>
  <si>
    <t xml:space="preserve">Mienfoo</t>
  </si>
  <si>
    <t xml:space="preserve">Huntail</t>
  </si>
  <si>
    <t xml:space="preserve">Chandelure</t>
  </si>
  <si>
    <t xml:space="preserve">Dusclops</t>
  </si>
  <si>
    <t xml:space="preserve">Gulpin</t>
  </si>
  <si>
    <t xml:space="preserve">Grapploct</t>
  </si>
  <si>
    <t xml:space="preserve">Cacturne</t>
  </si>
  <si>
    <t xml:space="preserve">Raticate-Alola</t>
  </si>
  <si>
    <t xml:space="preserve">Kadabra</t>
  </si>
  <si>
    <t xml:space="preserve">Aron</t>
  </si>
  <si>
    <t xml:space="preserve">Mime Jr.-Mime-Jr</t>
  </si>
  <si>
    <t xml:space="preserve">Fraxure</t>
  </si>
  <si>
    <t xml:space="preserve">Palpitoad</t>
  </si>
  <si>
    <t xml:space="preserve">Dewott</t>
  </si>
  <si>
    <t xml:space="preserve">Geodude</t>
  </si>
  <si>
    <t xml:space="preserve">Dewpider</t>
  </si>
  <si>
    <t xml:space="preserve">Liepard</t>
  </si>
  <si>
    <t xml:space="preserve">Dipplin</t>
  </si>
  <si>
    <t xml:space="preserve">Mabosstiff</t>
  </si>
  <si>
    <t xml:space="preserve">Ninetales</t>
  </si>
  <si>
    <t xml:space="preserve">Roselia</t>
  </si>
  <si>
    <t xml:space="preserve">Yamask</t>
  </si>
  <si>
    <t xml:space="preserve">Lurantis-Totem</t>
  </si>
  <si>
    <t xml:space="preserve">Bayleef</t>
  </si>
  <si>
    <t xml:space="preserve">Grimer-Alola</t>
  </si>
  <si>
    <t xml:space="preserve">Parasect</t>
  </si>
  <si>
    <t xml:space="preserve">Oricorio-Pau</t>
  </si>
  <si>
    <t xml:space="preserve">Weepinbell</t>
  </si>
  <si>
    <t xml:space="preserve">Zoroark-Hisui</t>
  </si>
  <si>
    <t xml:space="preserve">Grimer</t>
  </si>
  <si>
    <t xml:space="preserve">Linoone</t>
  </si>
  <si>
    <t xml:space="preserve">Seadra</t>
  </si>
  <si>
    <t xml:space="preserve">Nidoran♂-Nidoran-M</t>
  </si>
  <si>
    <t xml:space="preserve">Skrelp</t>
  </si>
  <si>
    <t xml:space="preserve">Pidgeotto</t>
  </si>
  <si>
    <t xml:space="preserve">Poliwhirl</t>
  </si>
  <si>
    <t xml:space="preserve">Whirlipede</t>
  </si>
  <si>
    <t xml:space="preserve">Mightyena</t>
  </si>
  <si>
    <t xml:space="preserve">Ariados</t>
  </si>
  <si>
    <t xml:space="preserve">Houndoom</t>
  </si>
  <si>
    <t xml:space="preserve">Avalugg-Hisui</t>
  </si>
  <si>
    <t xml:space="preserve">Cherrim-Overcast</t>
  </si>
  <si>
    <t xml:space="preserve">Aurorus</t>
  </si>
  <si>
    <t xml:space="preserve">Seel</t>
  </si>
  <si>
    <t xml:space="preserve">Crawdaunt</t>
  </si>
  <si>
    <t xml:space="preserve">Wugtrio</t>
  </si>
  <si>
    <t xml:space="preserve">Prinplup</t>
  </si>
  <si>
    <t xml:space="preserve">Steenee</t>
  </si>
  <si>
    <t xml:space="preserve">Breloom</t>
  </si>
  <si>
    <t xml:space="preserve">Tirtouga</t>
  </si>
  <si>
    <t xml:space="preserve">Shieldon</t>
  </si>
  <si>
    <t xml:space="preserve">Klinklang</t>
  </si>
  <si>
    <t xml:space="preserve">Haunter</t>
  </si>
  <si>
    <t xml:space="preserve">Frogadier</t>
  </si>
  <si>
    <t xml:space="preserve">Porygon</t>
  </si>
  <si>
    <t xml:space="preserve">Perrserker</t>
  </si>
  <si>
    <t xml:space="preserve">Butterfree</t>
  </si>
  <si>
    <t xml:space="preserve">Skiploom</t>
  </si>
  <si>
    <t xml:space="preserve">Torracat</t>
  </si>
  <si>
    <t xml:space="preserve">Piplup</t>
  </si>
  <si>
    <t xml:space="preserve">Tranquill</t>
  </si>
  <si>
    <t xml:space="preserve">Sliggoo-Hisui</t>
  </si>
  <si>
    <t xml:space="preserve">Tinkatink</t>
  </si>
  <si>
    <t xml:space="preserve">Scraggy</t>
  </si>
  <si>
    <t xml:space="preserve">Hatenna</t>
  </si>
  <si>
    <t xml:space="preserve">Eevee</t>
  </si>
  <si>
    <t xml:space="preserve">Archen</t>
  </si>
  <si>
    <t xml:space="preserve">Monferno</t>
  </si>
  <si>
    <t xml:space="preserve">Kabuto</t>
  </si>
  <si>
    <t xml:space="preserve">Falinks</t>
  </si>
  <si>
    <t xml:space="preserve">Silicobra</t>
  </si>
  <si>
    <t xml:space="preserve">Raticate-Alola-Totem</t>
  </si>
  <si>
    <t xml:space="preserve">Calyrex</t>
  </si>
  <si>
    <t xml:space="preserve">Sandygast</t>
  </si>
  <si>
    <t xml:space="preserve">Grotle</t>
  </si>
  <si>
    <t xml:space="preserve">Magnemite</t>
  </si>
  <si>
    <t xml:space="preserve">Flaaffy</t>
  </si>
  <si>
    <t xml:space="preserve">Honedge</t>
  </si>
  <si>
    <t xml:space="preserve">Venonat</t>
  </si>
  <si>
    <t xml:space="preserve">Crabominable</t>
  </si>
  <si>
    <t xml:space="preserve">Bisharp</t>
  </si>
  <si>
    <t xml:space="preserve">Riolu</t>
  </si>
  <si>
    <t xml:space="preserve">Munna</t>
  </si>
  <si>
    <t xml:space="preserve">Pikachu</t>
  </si>
  <si>
    <t xml:space="preserve">Nidoran♀-Nidoran-F</t>
  </si>
  <si>
    <t xml:space="preserve">Mareep</t>
  </si>
  <si>
    <t xml:space="preserve">Lurantis</t>
  </si>
  <si>
    <t xml:space="preserve">Croconaw</t>
  </si>
  <si>
    <t xml:space="preserve">Herdier</t>
  </si>
  <si>
    <t xml:space="preserve">Mudbray</t>
  </si>
  <si>
    <t xml:space="preserve">Charmeleon</t>
  </si>
  <si>
    <t xml:space="preserve">Cleffa</t>
  </si>
  <si>
    <t xml:space="preserve">Chikorita</t>
  </si>
  <si>
    <t xml:space="preserve">Ponyta-Galar</t>
  </si>
  <si>
    <t xml:space="preserve">Magby</t>
  </si>
  <si>
    <t xml:space="preserve">Gabite</t>
  </si>
  <si>
    <t xml:space="preserve">Marill</t>
  </si>
  <si>
    <t xml:space="preserve">Elgyem</t>
  </si>
  <si>
    <t xml:space="preserve">Farfetch'd-Farfetchd-Galar</t>
  </si>
  <si>
    <t xml:space="preserve">Happiny</t>
  </si>
  <si>
    <t xml:space="preserve">Roggenrola</t>
  </si>
  <si>
    <t xml:space="preserve">Combusken</t>
  </si>
  <si>
    <t xml:space="preserve">Magcargo</t>
  </si>
  <si>
    <t xml:space="preserve">Buizel</t>
  </si>
  <si>
    <t xml:space="preserve">Linoone-Galar</t>
  </si>
  <si>
    <t xml:space="preserve">Gloom</t>
  </si>
  <si>
    <t xml:space="preserve">Banette</t>
  </si>
  <si>
    <t xml:space="preserve">Goldeen</t>
  </si>
  <si>
    <t xml:space="preserve">Anorith</t>
  </si>
  <si>
    <t xml:space="preserve">Espurr</t>
  </si>
  <si>
    <t xml:space="preserve">Jangmo-o-Jangmo-O</t>
  </si>
  <si>
    <t xml:space="preserve">Salazzle</t>
  </si>
  <si>
    <t xml:space="preserve">Quaxwell</t>
  </si>
  <si>
    <t xml:space="preserve">Drifloon</t>
  </si>
  <si>
    <t xml:space="preserve">Sealeo</t>
  </si>
  <si>
    <t xml:space="preserve">Staravia</t>
  </si>
  <si>
    <t xml:space="preserve">Shroodle</t>
  </si>
  <si>
    <t xml:space="preserve">Deerling-Spring</t>
  </si>
  <si>
    <t xml:space="preserve">Krokorok</t>
  </si>
  <si>
    <t xml:space="preserve">Mankey</t>
  </si>
  <si>
    <t xml:space="preserve">Lileep</t>
  </si>
  <si>
    <t xml:space="preserve">Rowlet</t>
  </si>
  <si>
    <t xml:space="preserve">Indeedee-M</t>
  </si>
  <si>
    <t xml:space="preserve">Glimmet</t>
  </si>
  <si>
    <t xml:space="preserve">Inkay</t>
  </si>
  <si>
    <t xml:space="preserve">Delcatty</t>
  </si>
  <si>
    <t xml:space="preserve">Sandshrew</t>
  </si>
  <si>
    <t xml:space="preserve">Nincada</t>
  </si>
  <si>
    <t xml:space="preserve">Growlithe</t>
  </si>
  <si>
    <t xml:space="preserve">Mantyke</t>
  </si>
  <si>
    <t xml:space="preserve">Pawmo</t>
  </si>
  <si>
    <t xml:space="preserve">Spheal</t>
  </si>
  <si>
    <t xml:space="preserve">Skiddo</t>
  </si>
  <si>
    <t xml:space="preserve">Salazzle-Totem</t>
  </si>
  <si>
    <t xml:space="preserve">Flabébé-Flabebe-Red</t>
  </si>
  <si>
    <t xml:space="preserve">Bulbasaur</t>
  </si>
  <si>
    <t xml:space="preserve">Grovyle</t>
  </si>
  <si>
    <t xml:space="preserve">Pignite</t>
  </si>
  <si>
    <t xml:space="preserve">Larvesta</t>
  </si>
  <si>
    <t xml:space="preserve">Helioptile</t>
  </si>
  <si>
    <t xml:space="preserve">Swablu</t>
  </si>
  <si>
    <t xml:space="preserve">Raboot</t>
  </si>
  <si>
    <t xml:space="preserve">Servine</t>
  </si>
  <si>
    <t xml:space="preserve">Machop</t>
  </si>
  <si>
    <t xml:space="preserve">Swinub</t>
  </si>
  <si>
    <t xml:space="preserve">Snivy</t>
  </si>
  <si>
    <t xml:space="preserve">Zweilous</t>
  </si>
  <si>
    <t xml:space="preserve">Phanpy</t>
  </si>
  <si>
    <t xml:space="preserve">Goomy</t>
  </si>
  <si>
    <t xml:space="preserve">Wingull</t>
  </si>
  <si>
    <t xml:space="preserve">Axew</t>
  </si>
  <si>
    <t xml:space="preserve">Pancham</t>
  </si>
  <si>
    <t xml:space="preserve">Lairon</t>
  </si>
  <si>
    <t xml:space="preserve">Darumaka</t>
  </si>
  <si>
    <t xml:space="preserve">Rufflet</t>
  </si>
  <si>
    <t xml:space="preserve">Diglett</t>
  </si>
  <si>
    <t xml:space="preserve">Wattrel</t>
  </si>
  <si>
    <t xml:space="preserve">Stunky</t>
  </si>
  <si>
    <t xml:space="preserve">Corvisquire</t>
  </si>
  <si>
    <t xml:space="preserve">Wiglett</t>
  </si>
  <si>
    <t xml:space="preserve">Toedscool</t>
  </si>
  <si>
    <t xml:space="preserve">Natu</t>
  </si>
  <si>
    <t xml:space="preserve">Drilbur</t>
  </si>
  <si>
    <t xml:space="preserve">Snover</t>
  </si>
  <si>
    <t xml:space="preserve">Dratini</t>
  </si>
  <si>
    <t xml:space="preserve">Hakamo-o-Hakamo-O</t>
  </si>
  <si>
    <t xml:space="preserve">Ducklett</t>
  </si>
  <si>
    <t xml:space="preserve">Zoroark</t>
  </si>
  <si>
    <t xml:space="preserve">Cetoddle</t>
  </si>
  <si>
    <t xml:space="preserve">Pikipek</t>
  </si>
  <si>
    <t xml:space="preserve">Snorunt</t>
  </si>
  <si>
    <t xml:space="preserve">Gothita</t>
  </si>
  <si>
    <t xml:space="preserve">Yamper</t>
  </si>
  <si>
    <t xml:space="preserve">Blitzle</t>
  </si>
  <si>
    <t xml:space="preserve">Cottonee</t>
  </si>
  <si>
    <t xml:space="preserve">Timburr</t>
  </si>
  <si>
    <t xml:space="preserve">Duskull</t>
  </si>
  <si>
    <t xml:space="preserve">Doduo</t>
  </si>
  <si>
    <t xml:space="preserve">Bellsprout</t>
  </si>
  <si>
    <t xml:space="preserve">Nuzleaf</t>
  </si>
  <si>
    <t xml:space="preserve">Growlithe-Hisui</t>
  </si>
  <si>
    <t xml:space="preserve">Remoraid</t>
  </si>
  <si>
    <t xml:space="preserve">Lombre</t>
  </si>
  <si>
    <t xml:space="preserve">Finneon</t>
  </si>
  <si>
    <t xml:space="preserve">Sandile</t>
  </si>
  <si>
    <t xml:space="preserve">Phantump</t>
  </si>
  <si>
    <t xml:space="preserve">Kubfu</t>
  </si>
  <si>
    <t xml:space="preserve">Shelgon</t>
  </si>
  <si>
    <t xml:space="preserve">Tarountula</t>
  </si>
  <si>
    <t xml:space="preserve">Barboach</t>
  </si>
  <si>
    <t xml:space="preserve">Cacnea</t>
  </si>
  <si>
    <t xml:space="preserve">Diglett-Alola</t>
  </si>
  <si>
    <t xml:space="preserve">Floragato</t>
  </si>
  <si>
    <t xml:space="preserve">Brionne</t>
  </si>
  <si>
    <t xml:space="preserve">Trumbeak</t>
  </si>
  <si>
    <t xml:space="preserve">Thwackey</t>
  </si>
  <si>
    <t xml:space="preserve">Corphish</t>
  </si>
  <si>
    <t xml:space="preserve">Rattata-Alola</t>
  </si>
  <si>
    <t xml:space="preserve">Treecko</t>
  </si>
  <si>
    <t xml:space="preserve">Drakloak</t>
  </si>
  <si>
    <t xml:space="preserve">Sandshrew-Alola</t>
  </si>
  <si>
    <t xml:space="preserve">Maschiff</t>
  </si>
  <si>
    <t xml:space="preserve">Omanyte</t>
  </si>
  <si>
    <t xml:space="preserve">Beautifly</t>
  </si>
  <si>
    <t xml:space="preserve">Bagon</t>
  </si>
  <si>
    <t xml:space="preserve">Woobat</t>
  </si>
  <si>
    <t xml:space="preserve">Yanma</t>
  </si>
  <si>
    <t xml:space="preserve">Sewaddle</t>
  </si>
  <si>
    <t xml:space="preserve">Rattata</t>
  </si>
  <si>
    <t xml:space="preserve">Sliggoo</t>
  </si>
  <si>
    <t xml:space="preserve">Totodile</t>
  </si>
  <si>
    <t xml:space="preserve">Poipole</t>
  </si>
  <si>
    <t xml:space="preserve">Hoppip</t>
  </si>
  <si>
    <t xml:space="preserve">Bunnelby</t>
  </si>
  <si>
    <t xml:space="preserve">Krabby</t>
  </si>
  <si>
    <t xml:space="preserve">Quaxly</t>
  </si>
  <si>
    <t xml:space="preserve">Cranidos</t>
  </si>
  <si>
    <t xml:space="preserve">Taillow</t>
  </si>
  <si>
    <t xml:space="preserve">Vanillite</t>
  </si>
  <si>
    <t xml:space="preserve">Litten</t>
  </si>
  <si>
    <t xml:space="preserve">Oddish</t>
  </si>
  <si>
    <t xml:space="preserve">Chimchar</t>
  </si>
  <si>
    <t xml:space="preserve">Arctibax</t>
  </si>
  <si>
    <t xml:space="preserve">Sobble</t>
  </si>
  <si>
    <t xml:space="preserve">Fidough</t>
  </si>
  <si>
    <t xml:space="preserve">Croagunk</t>
  </si>
  <si>
    <t xml:space="preserve">Swadloon</t>
  </si>
  <si>
    <t xml:space="preserve">Finizen</t>
  </si>
  <si>
    <t xml:space="preserve">Carvanha</t>
  </si>
  <si>
    <t xml:space="preserve">Aipom</t>
  </si>
  <si>
    <t xml:space="preserve">Tandemaus</t>
  </si>
  <si>
    <t xml:space="preserve">Darumaka-Galar</t>
  </si>
  <si>
    <t xml:space="preserve">Litleo</t>
  </si>
  <si>
    <t xml:space="preserve">Smoochum</t>
  </si>
  <si>
    <t xml:space="preserve">Numel</t>
  </si>
  <si>
    <t xml:space="preserve">Charmander</t>
  </si>
  <si>
    <t xml:space="preserve">Nacli</t>
  </si>
  <si>
    <t xml:space="preserve">Vibrava</t>
  </si>
  <si>
    <t xml:space="preserve">Froakie</t>
  </si>
  <si>
    <t xml:space="preserve">Slakoth</t>
  </si>
  <si>
    <t xml:space="preserve">Trapinch</t>
  </si>
  <si>
    <t xml:space="preserve">Loudred</t>
  </si>
  <si>
    <t xml:space="preserve">Horsea</t>
  </si>
  <si>
    <t xml:space="preserve">Golett</t>
  </si>
  <si>
    <t xml:space="preserve">Surskit</t>
  </si>
  <si>
    <t xml:space="preserve">Skorupi</t>
  </si>
  <si>
    <t xml:space="preserve">Luxio</t>
  </si>
  <si>
    <t xml:space="preserve">Buneary</t>
  </si>
  <si>
    <t xml:space="preserve">Zorua-Hisui</t>
  </si>
  <si>
    <t xml:space="preserve">Pumpkaboo-Average</t>
  </si>
  <si>
    <t xml:space="preserve">Pidgey</t>
  </si>
  <si>
    <t xml:space="preserve">Fletchling</t>
  </si>
  <si>
    <t xml:space="preserve">Pansage</t>
  </si>
  <si>
    <t xml:space="preserve">Gastly</t>
  </si>
  <si>
    <t xml:space="preserve">Gible</t>
  </si>
  <si>
    <t xml:space="preserve">Purrloin</t>
  </si>
  <si>
    <t xml:space="preserve">Budew</t>
  </si>
  <si>
    <t xml:space="preserve">Kirlia</t>
  </si>
  <si>
    <t xml:space="preserve">Crabrawler</t>
  </si>
  <si>
    <t xml:space="preserve">Poliwag</t>
  </si>
  <si>
    <t xml:space="preserve">Popplio</t>
  </si>
  <si>
    <t xml:space="preserve">Abra</t>
  </si>
  <si>
    <t xml:space="preserve">Yamask-Galar</t>
  </si>
  <si>
    <t xml:space="preserve">Panpour</t>
  </si>
  <si>
    <t xml:space="preserve">Pawniard</t>
  </si>
  <si>
    <t xml:space="preserve">Quilava</t>
  </si>
  <si>
    <t xml:space="preserve">Bounsweet</t>
  </si>
  <si>
    <t xml:space="preserve">Hoothoot</t>
  </si>
  <si>
    <t xml:space="preserve">Pichu</t>
  </si>
  <si>
    <t xml:space="preserve">Stufful</t>
  </si>
  <si>
    <t xml:space="preserve">Starly</t>
  </si>
  <si>
    <t xml:space="preserve">Makuhita</t>
  </si>
  <si>
    <t xml:space="preserve">Ekans</t>
  </si>
  <si>
    <t xml:space="preserve">Yungoos</t>
  </si>
  <si>
    <t xml:space="preserve">Poltchageist-Counterfeit</t>
  </si>
  <si>
    <t xml:space="preserve">Gimmighoul-Roaming</t>
  </si>
  <si>
    <t xml:space="preserve">Electrike</t>
  </si>
  <si>
    <t xml:space="preserve">Spearow</t>
  </si>
  <si>
    <t xml:space="preserve">Paras</t>
  </si>
  <si>
    <t xml:space="preserve">Glameow</t>
  </si>
  <si>
    <t xml:space="preserve">Sinistea-Phony</t>
  </si>
  <si>
    <t xml:space="preserve">Arrokuda</t>
  </si>
  <si>
    <t xml:space="preserve">Shedinja</t>
  </si>
  <si>
    <t xml:space="preserve">Vanillish</t>
  </si>
  <si>
    <t xml:space="preserve">Klink</t>
  </si>
  <si>
    <t xml:space="preserve">Tynamo</t>
  </si>
  <si>
    <t xml:space="preserve">Dolliv</t>
  </si>
  <si>
    <t xml:space="preserve">Teddiursa</t>
  </si>
  <si>
    <t xml:space="preserve">Shuppet</t>
  </si>
  <si>
    <t xml:space="preserve">Tepig</t>
  </si>
  <si>
    <t xml:space="preserve">Rookidee</t>
  </si>
  <si>
    <t xml:space="preserve">Morelull</t>
  </si>
  <si>
    <t xml:space="preserve">Cubchoo</t>
  </si>
  <si>
    <t xml:space="preserve">Impidimp</t>
  </si>
  <si>
    <t xml:space="preserve">Deino</t>
  </si>
  <si>
    <t xml:space="preserve">Greavard</t>
  </si>
  <si>
    <t xml:space="preserve">Feebas</t>
  </si>
  <si>
    <t xml:space="preserve">Pupitar</t>
  </si>
  <si>
    <t xml:space="preserve">Cufant</t>
  </si>
  <si>
    <t xml:space="preserve">Pansear</t>
  </si>
  <si>
    <t xml:space="preserve">Foongus</t>
  </si>
  <si>
    <t xml:space="preserve">Fomantis</t>
  </si>
  <si>
    <t xml:space="preserve">Shinx</t>
  </si>
  <si>
    <t xml:space="preserve">Meltan</t>
  </si>
  <si>
    <t xml:space="preserve">Meowth</t>
  </si>
  <si>
    <t xml:space="preserve">Vulpix-Alola</t>
  </si>
  <si>
    <t xml:space="preserve">Pawmi</t>
  </si>
  <si>
    <t xml:space="preserve">Lampent</t>
  </si>
  <si>
    <t xml:space="preserve">Clobbopus</t>
  </si>
  <si>
    <t xml:space="preserve">Mudkip</t>
  </si>
  <si>
    <t xml:space="preserve">Minccino</t>
  </si>
  <si>
    <t xml:space="preserve">Pidove</t>
  </si>
  <si>
    <t xml:space="preserve">Zorua</t>
  </si>
  <si>
    <t xml:space="preserve">Skitty</t>
  </si>
  <si>
    <t xml:space="preserve">Lillipup</t>
  </si>
  <si>
    <t xml:space="preserve">Capsakid</t>
  </si>
  <si>
    <t xml:space="preserve">Wimpod</t>
  </si>
  <si>
    <t xml:space="preserve">Noibat</t>
  </si>
  <si>
    <t xml:space="preserve">Zubat</t>
  </si>
  <si>
    <t xml:space="preserve">Vulpix</t>
  </si>
  <si>
    <t xml:space="preserve">Grookey</t>
  </si>
  <si>
    <t xml:space="preserve">Wormadam-Plant</t>
  </si>
  <si>
    <t xml:space="preserve">Flittle</t>
  </si>
  <si>
    <t xml:space="preserve">Ledyba</t>
  </si>
  <si>
    <t xml:space="preserve">Sentret</t>
  </si>
  <si>
    <t xml:space="preserve">Scorbunny</t>
  </si>
  <si>
    <t xml:space="preserve">Clamperl</t>
  </si>
  <si>
    <t xml:space="preserve">Cherubi</t>
  </si>
  <si>
    <t xml:space="preserve">Rockruff</t>
  </si>
  <si>
    <t xml:space="preserve">Shroomish</t>
  </si>
  <si>
    <t xml:space="preserve">Toxel</t>
  </si>
  <si>
    <t xml:space="preserve">Houndour</t>
  </si>
  <si>
    <t xml:space="preserve">Rhyhorn</t>
  </si>
  <si>
    <t xml:space="preserve">Clauncher</t>
  </si>
  <si>
    <t xml:space="preserve">Bramblin</t>
  </si>
  <si>
    <t xml:space="preserve">Frigibax</t>
  </si>
  <si>
    <t xml:space="preserve">Larvitar</t>
  </si>
  <si>
    <t xml:space="preserve">Slugma</t>
  </si>
  <si>
    <t xml:space="preserve">Oshawott</t>
  </si>
  <si>
    <t xml:space="preserve">Spinarak</t>
  </si>
  <si>
    <t xml:space="preserve">Azurill</t>
  </si>
  <si>
    <t xml:space="preserve">Chingling</t>
  </si>
  <si>
    <t xml:space="preserve">Lechonk</t>
  </si>
  <si>
    <t xml:space="preserve">Milcery</t>
  </si>
  <si>
    <t xml:space="preserve">Binacle</t>
  </si>
  <si>
    <t xml:space="preserve">Meowth-Galar</t>
  </si>
  <si>
    <t xml:space="preserve">Salandit</t>
  </si>
  <si>
    <t xml:space="preserve">Sprigatito</t>
  </si>
  <si>
    <t xml:space="preserve">Ralts</t>
  </si>
  <si>
    <t xml:space="preserve">Petilil</t>
  </si>
  <si>
    <t xml:space="preserve">Lotad</t>
  </si>
  <si>
    <t xml:space="preserve">Torchic</t>
  </si>
  <si>
    <t xml:space="preserve">Bidoof</t>
  </si>
  <si>
    <t xml:space="preserve">Tympole</t>
  </si>
  <si>
    <t xml:space="preserve">Zigzagoon-Galar</t>
  </si>
  <si>
    <t xml:space="preserve">Bergmite</t>
  </si>
  <si>
    <t xml:space="preserve">Meowth-Alola</t>
  </si>
  <si>
    <t xml:space="preserve">Wishiwashi-Solo</t>
  </si>
  <si>
    <t xml:space="preserve">Whismur</t>
  </si>
  <si>
    <t xml:space="preserve">Venipede</t>
  </si>
  <si>
    <t xml:space="preserve">Beldum</t>
  </si>
  <si>
    <t xml:space="preserve">Wooloo</t>
  </si>
  <si>
    <t xml:space="preserve">Chewtle</t>
  </si>
  <si>
    <t xml:space="preserve">Dreepy</t>
  </si>
  <si>
    <t xml:space="preserve">Cyndaquil</t>
  </si>
  <si>
    <t xml:space="preserve">Patrat</t>
  </si>
  <si>
    <t xml:space="preserve">Karrablast</t>
  </si>
  <si>
    <t xml:space="preserve">Poochyena</t>
  </si>
  <si>
    <t xml:space="preserve">Unown-K</t>
  </si>
  <si>
    <t xml:space="preserve">Unown-B</t>
  </si>
  <si>
    <t xml:space="preserve">Unown-U</t>
  </si>
  <si>
    <t xml:space="preserve">Unown-P</t>
  </si>
  <si>
    <t xml:space="preserve">Unown-Q</t>
  </si>
  <si>
    <t xml:space="preserve">Unown-Question</t>
  </si>
  <si>
    <t xml:space="preserve">Unown-Exclamation</t>
  </si>
  <si>
    <t xml:space="preserve">Unown</t>
  </si>
  <si>
    <t xml:space="preserve">Unown-C</t>
  </si>
  <si>
    <t xml:space="preserve">Unown-D</t>
  </si>
  <si>
    <t xml:space="preserve">Unown-O</t>
  </si>
  <si>
    <t xml:space="preserve">Unown-T</t>
  </si>
  <si>
    <t xml:space="preserve">Unown-S</t>
  </si>
  <si>
    <t xml:space="preserve">Unown-V</t>
  </si>
  <si>
    <t xml:space="preserve">Unown-Y</t>
  </si>
  <si>
    <t xml:space="preserve">Unown-X</t>
  </si>
  <si>
    <t xml:space="preserve">Unown-W</t>
  </si>
  <si>
    <t xml:space="preserve">Unown-Z</t>
  </si>
  <si>
    <t xml:space="preserve">Unown-G</t>
  </si>
  <si>
    <t xml:space="preserve">Unown-F</t>
  </si>
  <si>
    <t xml:space="preserve">Unown-E</t>
  </si>
  <si>
    <t xml:space="preserve">Unown-N</t>
  </si>
  <si>
    <t xml:space="preserve">Unown-R</t>
  </si>
  <si>
    <t xml:space="preserve">Unown-I</t>
  </si>
  <si>
    <t xml:space="preserve">Unown-H</t>
  </si>
  <si>
    <t xml:space="preserve">Unown-L</t>
  </si>
  <si>
    <t xml:space="preserve">Unown-J</t>
  </si>
  <si>
    <t xml:space="preserve">Unown-M</t>
  </si>
  <si>
    <t xml:space="preserve">Rellor</t>
  </si>
  <si>
    <t xml:space="preserve">Charcadet</t>
  </si>
  <si>
    <t xml:space="preserve">Litwick</t>
  </si>
  <si>
    <t xml:space="preserve">Smoliv</t>
  </si>
  <si>
    <t xml:space="preserve">Blipbug</t>
  </si>
  <si>
    <t xml:space="preserve">Zigzagoon</t>
  </si>
  <si>
    <t xml:space="preserve">Sizzlipede</t>
  </si>
  <si>
    <t xml:space="preserve">Nickit</t>
  </si>
  <si>
    <t xml:space="preserve">Snom</t>
  </si>
  <si>
    <t xml:space="preserve">Tyrogue</t>
  </si>
  <si>
    <t xml:space="preserve">Sunkern</t>
  </si>
  <si>
    <t xml:space="preserve">Nymble</t>
  </si>
  <si>
    <t xml:space="preserve">Weedle</t>
  </si>
  <si>
    <t xml:space="preserve">Burmy-Plant</t>
  </si>
  <si>
    <t xml:space="preserve">Caterpie</t>
  </si>
  <si>
    <t xml:space="preserve">Cascoon</t>
  </si>
  <si>
    <t xml:space="preserve">Silcoon</t>
  </si>
  <si>
    <t xml:space="preserve">Wurmple</t>
  </si>
  <si>
    <t xml:space="preserve">Wobbuffet</t>
  </si>
  <si>
    <t xml:space="preserve">Kakuna</t>
  </si>
  <si>
    <t xml:space="preserve">Spewpa-Jungle</t>
  </si>
  <si>
    <t xml:space="preserve">Spewpa-River</t>
  </si>
  <si>
    <t xml:space="preserve">Spewpa-High-Plains</t>
  </si>
  <si>
    <t xml:space="preserve">Spewpa-Icy-Snow</t>
  </si>
  <si>
    <t xml:space="preserve">Spewpa-Polar</t>
  </si>
  <si>
    <t xml:space="preserve">Spewpa-Garden</t>
  </si>
  <si>
    <t xml:space="preserve">Spewpa-Tundra</t>
  </si>
  <si>
    <t xml:space="preserve">Spewpa-Sun</t>
  </si>
  <si>
    <t xml:space="preserve">Spewpa-Ocean</t>
  </si>
  <si>
    <t xml:space="preserve">Spewpa-Pokeball</t>
  </si>
  <si>
    <t xml:space="preserve">Spewpa-Monsoon</t>
  </si>
  <si>
    <t xml:space="preserve">Spewpa-Marine</t>
  </si>
  <si>
    <t xml:space="preserve">Spewpa-Fancy</t>
  </si>
  <si>
    <t xml:space="preserve">Spewpa-Savanna</t>
  </si>
  <si>
    <t xml:space="preserve">Spewpa-Sandstorm</t>
  </si>
  <si>
    <t xml:space="preserve">Spewpa-Archipelago</t>
  </si>
  <si>
    <t xml:space="preserve">Spewpa-Elegant</t>
  </si>
  <si>
    <t xml:space="preserve">Spewpa-Continental</t>
  </si>
  <si>
    <t xml:space="preserve">Spewpa-Modern</t>
  </si>
  <si>
    <t xml:space="preserve">Spewpa-Meadow</t>
  </si>
  <si>
    <t xml:space="preserve">Metapod</t>
  </si>
  <si>
    <t xml:space="preserve">Scatterbug-Polar</t>
  </si>
  <si>
    <t xml:space="preserve">Scatterbug-Marine</t>
  </si>
  <si>
    <t xml:space="preserve">Scatterbug-River</t>
  </si>
  <si>
    <t xml:space="preserve">Scatterbug-Pokeball</t>
  </si>
  <si>
    <t xml:space="preserve">Scatterbug-Sandstorm</t>
  </si>
  <si>
    <t xml:space="preserve">Scatterbug-Ocean</t>
  </si>
  <si>
    <t xml:space="preserve">Scatterbug-Monsoon</t>
  </si>
  <si>
    <t xml:space="preserve">Scatterbug-Modern</t>
  </si>
  <si>
    <t xml:space="preserve">Scatterbug-Meadow</t>
  </si>
  <si>
    <t xml:space="preserve">Scatterbug-Continental</t>
  </si>
  <si>
    <t xml:space="preserve">Scatterbug-Elegant</t>
  </si>
  <si>
    <t xml:space="preserve">Scatterbug-Fancy</t>
  </si>
  <si>
    <t xml:space="preserve">Scatterbug-Archipelago</t>
  </si>
  <si>
    <t xml:space="preserve">Scatterbug-Garden</t>
  </si>
  <si>
    <t xml:space="preserve">Scatterbug-Tundra</t>
  </si>
  <si>
    <t xml:space="preserve">Scatterbug-Savanna</t>
  </si>
  <si>
    <t xml:space="preserve">Scatterbug-Sun</t>
  </si>
  <si>
    <t xml:space="preserve">Scatterbug-Icy-Snow</t>
  </si>
  <si>
    <t xml:space="preserve">Scatterbug-Jungle</t>
  </si>
  <si>
    <t xml:space="preserve">Scatterbug-High-Plains</t>
  </si>
  <si>
    <t xml:space="preserve">Applin</t>
  </si>
  <si>
    <t xml:space="preserve">Wynaut</t>
  </si>
  <si>
    <t xml:space="preserve">Cosmoem</t>
  </si>
  <si>
    <t xml:space="preserve">Combee</t>
  </si>
  <si>
    <t xml:space="preserve">Magikarp</t>
  </si>
  <si>
    <t xml:space="preserve">Kricketot</t>
  </si>
  <si>
    <t xml:space="preserve">Smeargle</t>
  </si>
  <si>
    <t xml:space="preserve">Ditto</t>
  </si>
  <si>
    <t xml:space="preserve">Cosmog</t>
  </si>
  <si>
    <t xml:space="preserve">phase</t>
  </si>
  <si>
    <t xml:space="preserve">check</t>
  </si>
  <si>
    <t xml:space="preserve">result</t>
  </si>
  <si>
    <t xml:space="preserve">severity</t>
  </si>
  <si>
    <t xml:space="preserve">affected</t>
  </si>
  <si>
    <t xml:space="preserve">effect</t>
  </si>
  <si>
    <t xml:space="preserve">Checkpoint ladder monotonic, 15-&gt;85</t>
  </si>
  <si>
    <t xml:space="preserve">19 checkpoints, strictly increasing</t>
  </si>
  <si>
    <t xml:space="preserve">—</t>
  </si>
  <si>
    <t xml:space="preserve">pass</t>
  </si>
  <si>
    <t xml:space="preserve">19 of 19 MEASURED from Boss_Battles.xlsx!Main</t>
  </si>
  <si>
    <t xml:space="preserve">supersedes the reconstruction, which was right on 18 of 19</t>
  </si>
  <si>
    <t xml:space="preserve">Reconstructed vs measured caps</t>
  </si>
  <si>
    <t xml:space="preserve">18 of 19 exact; cp09 was 53, is 56</t>
  </si>
  <si>
    <t xml:space="preserve">Material</t>
  </si>
  <si>
    <t xml:space="preserve">cp09 pool 1255-&gt;1257; all cp09 scores re-run</t>
  </si>
  <si>
    <t xml:space="preserve">Boss_Battles sheets vs Phase 3 parse</t>
  </si>
  <si>
    <t xml:space="preserve">695 source Ability: lines vs 678 parsed slots</t>
  </si>
  <si>
    <t xml:space="preserve">the 17-row gap is exactly the 17 mega post-transformation ability lines, folded into mega_ability. Nothing missing</t>
  </si>
  <si>
    <t xml:space="preserve">RUN_CONFIG anchor counts re-measured</t>
  </si>
  <si>
    <t xml:space="preserve">695/45/9/576/39 all match exactly</t>
  </si>
  <si>
    <t xml:space="preserve">source file identical to what Phase 3 read</t>
  </si>
  <si>
    <t xml:space="preserve">Battle_Rewards.xlsx vs 02_world</t>
  </si>
  <si>
    <t xml:space="preserve">17 of 17 rows present with matching locations</t>
  </si>
  <si>
    <t xml:space="preserve">supersede claim was correct; reward_trainer column added</t>
  </si>
  <si>
    <t xml:space="preserve">Checkpoints with no boss roster</t>
  </si>
  <si>
    <t xml:space="preserve">1 (cp09 Pre-TrickHouse)</t>
  </si>
  <si>
    <t xml:space="preserve">the checkpoint IS the Trick House, so its 46 sheet slots are the correct threat pool; downgraded from Unresolved</t>
  </si>
  <si>
    <t xml:space="preserve">Damage engine vs independent hand implementation</t>
  </si>
  <si>
    <t xml:space="preserve">14/14 exact match on rolls, stats and max HP</t>
  </si>
  <si>
    <t xml:space="preserve">discrepancy rate 0.0%</t>
  </si>
  <si>
    <t xml:space="preserve">Scoring run errors</t>
  </si>
  <si>
    <t xml:space="preserve">0 of 42,026 rows</t>
  </si>
  <si>
    <t xml:space="preserve">BST correlation BEFORE rebalance (validation 1)</t>
  </si>
  <si>
    <t xml:space="preserve">floor 0.705 / ceiling 0.745</t>
  </si>
  <si>
    <t xml:space="preserve">FAILED the ~0.7 threshold; framework rebalanced</t>
  </si>
  <si>
    <t xml:space="preserve">v2 SUSTAIN axis: raw sweep depth vs BST</t>
  </si>
  <si>
    <t xml:space="preserve">r=0.809 — REJECTED as a stat proxy</t>
  </si>
  <si>
    <t xml:space="preserve">replaced by the kit delta (with-kit minus no-kit), r=0.463 at row level; zero for the 27% of rows with no sustain kit</t>
  </si>
  <si>
    <t xml:space="preserve">v2: mean VORP vs BST, like-for-like</t>
  </si>
  <si>
    <t xml:space="preserve">v1 r=0.841 -&gt; v2 r=0.785</t>
  </si>
  <si>
    <t xml:space="preserve">moved the right way</t>
  </si>
  <si>
    <t xml:space="preserve">v2: tier thresholds recalibrated</t>
  </si>
  <si>
    <t xml:space="preserve">affine map of the published cutoffs onto the new scale</t>
  </si>
  <si>
    <t xml:space="preserve">median VORP shifted -0.010 -&gt; +0.045 and sd widened 1.09x; without recalibration 878 of 1,311 would change tier on scale drift alone. Band populations are NOT forced and do not match (S+ 2 -&gt; 10)</t>
  </si>
  <si>
    <t xml:space="preserve">v2: defensive ceiling spread chosen</t>
  </si>
  <si>
    <t xml:space="preserve">9,712 of 21,015 species-checkpoint pairs</t>
  </si>
  <si>
    <t xml:space="preserve">75% of screen setters, 72% of hazard removers, 66% of special walls</t>
  </si>
  <si>
    <t xml:space="preserve">BST correlation AFTER rebalance (validation 1)</t>
  </si>
  <si>
    <t xml:space="preserve">floor 0.366 / ceiling 0.476</t>
  </si>
  <si>
    <t xml:space="preserve">pass; n=61012</t>
  </si>
  <si>
    <t xml:space="preserve">Gate bite (validation 3)</t>
  </si>
  <si>
    <t xml:space="preserve">every gate eliminates 43.7%-98.4%</t>
  </si>
  <si>
    <t xml:space="preserve">no vacuous gate</t>
  </si>
  <si>
    <t xml:space="preserve">Low-BST representation (validation 2)</t>
  </si>
  <si>
    <t xml:space="preserve">18 of 21 archetypes have a bottom-half-BST species in their top 10</t>
  </si>
  <si>
    <t xml:space="preserve">special_wallbreaker, suicide_lead, trick_room_attacker are stat-hungry</t>
  </si>
  <si>
    <t xml:space="preserve">Intuition spot-check (validation 4)</t>
  </si>
  <si>
    <t xml:space="preserve">expected role in top-3 for 9/12; exact primary for 6/12</t>
  </si>
  <si>
    <t xml:space="preserve">Ferrothorn, Aerodactyl, Cloyster disagree; see README</t>
  </si>
  <si>
    <t xml:space="preserve">Weight sensitivity +-0.10 (validation 5)</t>
  </si>
  <si>
    <t xml:space="preserve">primary_niche unchanged 92.9% / 92.2%</t>
  </si>
  <si>
    <t xml:space="preserve">labels stable; churn is adjacent roles</t>
  </si>
  <si>
    <t xml:space="preserve">Species with NO functional role (all gates failed)</t>
  </si>
  <si>
    <t xml:space="preserve">2033 rows</t>
  </si>
  <si>
    <t xml:space="preserve">reported, not absorbed into a generalist bucket</t>
  </si>
  <si>
    <t xml:space="preserve">Availability derived for Phase 1 UNK species</t>
  </si>
  <si>
    <t xml:space="preserve">1,311 of 1,534 forms obtainable</t>
  </si>
  <si>
    <t xml:space="preserve">223 remain UNK, 192 of them Phase 1 reachable=none</t>
  </si>
  <si>
    <t xml:space="preserve">Replacement cells falling back (fewer than 3 qualifiers)</t>
  </si>
  <si>
    <t xml:space="preserve">see replacement_basis column</t>
  </si>
  <si>
    <t xml:space="preserve">flagged per row</t>
  </si>
  <si>
    <t xml:space="preserve">Boss roster items not in Imperium itemData</t>
  </si>
  <si>
    <t xml:space="preserve">7 distinct</t>
  </si>
  <si>
    <t xml:space="preserve">Heavy-Duty Boots, Weakness Policy, Terrain Extender, the Ogerpon masks, Flapplite, memories</t>
  </si>
  <si>
    <t xml:space="preserve">Boss roster abilities not resolving</t>
  </si>
  <si>
    <t xml:space="preserve">1 (As One (Spectrier))</t>
  </si>
  <si>
    <t xml:space="preserve">known Phase 4 gap</t>
  </si>
  <si>
    <t xml:space="preserve">Tier distribution (not curve-forced)</t>
  </si>
  <si>
    <t xml:space="preserve">S+ 10 / S 42 / A 91 / B 182 / C 281 / D 273 / F 432</t>
  </si>
  <si>
    <t xml:space="preserve">1,311 species with a tier</t>
  </si>
  <si>
    <t xml:space="preserve">cant_miss species</t>
  </si>
  <si>
    <t xml:space="preserve">38</t>
  </si>
  <si>
    <t xml:space="preserve">tier A+ AND (one_time_only OR missable)</t>
  </si>
  <si>
    <t xml:space="preserve">Tier robustness at the thresholds</t>
  </si>
  <si>
    <t xml:space="preserve">see tier_fragile column</t>
  </si>
  <si>
    <t xml:space="preserve">Metagross-Mega, Crobat and Wyrdeer sit within 1.2e-4 of a tier edge; their tier flips between the two equally valid ways of averaging VORP and should not be read as settled</t>
  </si>
  <si>
    <t xml:space="preserve">DATA INTEGRITY LOG — Phase 4</t>
  </si>
  <si>
    <t xml:space="preserve">CORRECTIONS TO MY OWN WORK (each would have silently poisoned results):</t>
  </si>
  <si>
    <t xml:space="preserve">1. imperium_layer.json exports the Defense base stat as 'df' (the fork's internal compressed key). The public Specie interface requires 'def'. Unremapped, baseStats.def is undefined and every physical calc returns NaN rather than erroring. Remapped with a guard that throws.</t>
  </si>
  <si>
    <t xml:space="preserve">2. layer['items'] is an ALPHABETICALLY SORTED name list, not an id-indexed array. Using items[param] for EVO_ITEM resolved id 211 to 'Fire Gem' instead of 'Fire Stone'. The authoritative source is 02_world.internal_id.</t>
  </si>
  <si>
    <t xml:space="preserve">3. 02_world.internal_id is POLYMORPHIC BY entity_type: TM and HM rows store the MOVE id, not an item id. 28 ids collide with real items — 211 is Fire Stone as an item and Steel Wing as a TM. TM/HM rows excluded from the item map; all nine evolution stones then resolve correctly.</t>
  </si>
  <si>
    <t xml:space="preserve">4. Species were joined layer&lt;-&gt;TSV on species_name, which collapsed every alternate form onto its base ('Venusaur' base and 'Venusaur' Mega are two rows with one name) and silently dropped 510 of 1,534 movepools. internal_index is an exact 1:1 join across all 1,534 rows; switched.</t>
  </si>
  <si>
    <t xml:space="preserve">5. An earlier draft asserted Imperium's move table had no healing field and fell back to a curated recovery name list. It DOES carry flags.healing (36 moves). Recovery gates three wall archetypes, so this mattered. The flag also marks DRAIN moves, which heal off damage dealt and must not qualify a wall; split into 15 reliable recovery and 13 drain.</t>
  </si>
  <si>
    <t xml:space="preserve">FRAMEWORK FAILURE AND REBALANCE:</t>
  </si>
  <si>
    <t xml:space="preserve">6. primary_niche_fit vs BST came out r=0.745 (ceiling) / 0.705 (floor), ABOVE the ~0.7 threshold in archetypes.md — the scoring was a BST proxy. Two fixes: toolkit scoring restricted to role-relevant tools (breadth is itself a BST proxy), and a stat-SHAPE term blended in so a 480-BST species with 130 Atk reads as more sweeper-shaped than a flat 600. After: r=0.476 / 0.365.</t>
  </si>
  <si>
    <t xml:space="preserve">DATA GAPS CARRIED, NOT SMOOTHED:</t>
  </si>
  <si>
    <t xml:space="preserve">7. RESOLVED. The level-cap ladder is now MEASURED from Boss_Battles.xlsx!Main, supplied after the first Phase 4 pass. The earlier reconstruction agreed on 18 of 19 caps; cp09 Pre-Trick House was interpolated at 53 and is actually 56. Checkpoint 19 is labelled Pre-Champion, not Pre-Elite4.</t>
  </si>
  <si>
    <t xml:space="preserve">8. WHY THE LADDER WENT MISSING: the Phase 1/2 README declared Boss_Battles.xlsx superseded because its content appeared verbatim inside General_Documents___Locations.xlsx, on a check of 'content-row counts identical across all 11 boss sheets'. The workbook has TWELVE sheets. The twelfth is Main, and Main carries the ladder. A supersede check that enumerates only the sheets it already knows about cannot detect one it does not. The rule this changes: compare SHEET COUNTS before comparing row counts within sheets.</t>
  </si>
  <si>
    <t xml:space="preserve">9. cp09 Pre-TrickHouse has no single boss fight, but the checkpoint IS the Trick House, so its 46 Trick House sheet slots are the correct threat pool rather than a stand-in. Downgraded from Unresolved to Material.</t>
  </si>
  <si>
    <t xml:space="preserve">10. Phase 3 parsed 678 roster slots against 695 'Ability:' lines in the source. The 17-row gap is exactly the 17 megas' post-transformation ability lines, which Phase 3 correctly folded into mega_ability (per-sheet mega counts 3/1/3/1/5/4 match the per-sheet gaps exactly). Nothing is missing; RUN_CONFIG's '695 roster slots' overcounts real Pokemon by 17.</t>
  </si>
  <si>
    <t xml:space="preserve">11. Battle_Rewards.xlsx re-checked: all 17 rows already present in 02_world with matching locations, so that supersede claim held. Its trainer column was NOT in 02_world and has been added as reward_trainer, upgrading those rows' gate_basis from 'location reachability' (a lower bound) to 'defeat &lt;trainer&gt;' (a sufficient condition).</t>
  </si>
  <si>
    <t xml:space="preserve">cp02 uses the 30-slot DAWN:16 block, which the Phase 3 parse merged from several rival fights. Roster breadth at cp02 is therefore overstated.</t>
  </si>
  <si>
    <t xml:space="preserve">12. 24 evolution methods remain undecoded integers (from Phase 1). Species reached through them are dated to their pre-evolution and marked Unresolved.</t>
  </si>
  <si>
    <t xml:space="preserve">13. 223 of 1,534 forms have no derivable acquisition route (192 already Phase-1 unreachable, 17 gigantamax with no G-Max item or mechanic in any source, 9 megas whose stone did not match, 5 others). They are excluded from every pool rather than given a guessed date.</t>
  </si>
  <si>
    <t xml:space="preserve">14. 7 boss-roster held items are absent from Imperium's own itemData (Heavy-Duty Boots, Weakness Policy, Terrain Extender, Hearthflame/Wellspring Mask, Flapplite, type Memories) and 1 ability (As One (Spectrier)). Flagged Unresolved on their slot, never substituted.</t>
  </si>
  <si>
    <t xml:space="preserve">15. weightkg is 50 for every species — no Imperium source carries weight. Low Kick, Heavy Slam and Grass Knot are Unresolved, not merely Inferred.</t>
  </si>
  <si>
    <t xml:space="preserve">16. Move priority is absent from Imperium's move table and defaults to 0, which affects the Revenge Killer gate specifically.</t>
  </si>
  <si>
    <t xml:space="preserve">NOT A BUG — verified against the data:</t>
  </si>
  <si>
    <t xml:space="preserve">17. Flash is a 60 BP Electric SPECIAL attack in Imperium, not the vanilla accuracy-drop. Move ids check out against vanilla (Growl 45, Recover 105, Swords Dance 14), so this is a real hack change, not a parse offset.</t>
  </si>
  <si>
    <t xml:space="preserve">18. Volbeat's 145-171% Bug Buzz on Lokix looked wrong and is correct: Imperium's Bug-&gt;Dark is 2.0 and the hand formula reproduces 132-156 exactly.</t>
  </si>
  <si>
    <t xml:space="preserve">Species</t>
  </si>
  <si>
    <t xml:space="preserve">Checkpoint</t>
  </si>
  <si>
    <t xml:space="preserve">Obtainable pool</t>
  </si>
  <si>
    <t xml:space="preserve">TMs available</t>
  </si>
  <si>
    <t xml:space="preserve">Level cap</t>
  </si>
  <si>
    <t xml:space="preserve">primary_niche_fit</t>
  </si>
</sst>
</file>

<file path=xl/styles.xml><?xml version="1.0" encoding="utf-8"?>
<styleSheet xmlns="http://schemas.openxmlformats.org/spreadsheetml/2006/main">
  <numFmts count="5">
    <numFmt numFmtId="164" formatCode="General"/>
    <numFmt numFmtId="165" formatCode="0.00"/>
    <numFmt numFmtId="166" formatCode="0.0"/>
    <numFmt numFmtId="167" formatCode="0.000"/>
    <numFmt numFmtId="168" formatCode="General"/>
  </numFmts>
  <fonts count="13">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2F4F6F"/>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8B855"/>
      <rgbColor rgb="FFFFCC00"/>
      <rgbColor rgb="FFFF9900"/>
      <rgbColor rgb="FFFF6600"/>
      <rgbColor rgb="FF4A7EBB"/>
      <rgbColor rgb="FF969696"/>
      <rgbColor rgb="FF003366"/>
      <rgbColor rgb="FF339966"/>
      <rgbColor rgb="FF003300"/>
      <rgbColor rgb="FF333300"/>
      <rgbColor rgb="FF993300"/>
      <rgbColor rgb="FF993366"/>
      <rgbColor rgb="FF2F4F6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Tier distribution (not curve-forced)</a:t>
            </a:r>
          </a:p>
        </c:rich>
      </c:tx>
      <c:overlay val="0"/>
      <c:spPr>
        <a:noFill/>
        <a:ln w="0">
          <a:noFill/>
        </a:ln>
      </c:spPr>
    </c:title>
    <c:autoTitleDeleted val="0"/>
    <c:plotArea>
      <c:barChart>
        <c:barDir val="col"/>
        <c:grouping val="clustered"/>
        <c:varyColors val="0"/>
        <c:ser>
          <c:idx val="0"/>
          <c:order val="0"/>
          <c:tx>
            <c:strRef>
              <c:f>Charts!B1</c:f>
              <c:strCache>
                <c:ptCount val="1"/>
                <c:pt idx="0">
                  <c:v>Species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Charts!$A$2:$A$8</c:f>
              <c:strCache>
                <c:ptCount val="7"/>
                <c:pt idx="0">
                  <c:v>S+</c:v>
                </c:pt>
                <c:pt idx="1">
                  <c:v>S</c:v>
                </c:pt>
                <c:pt idx="2">
                  <c:v>A</c:v>
                </c:pt>
                <c:pt idx="3">
                  <c:v>B</c:v>
                </c:pt>
                <c:pt idx="4">
                  <c:v>C</c:v>
                </c:pt>
                <c:pt idx="5">
                  <c:v>D</c:v>
                </c:pt>
                <c:pt idx="6">
                  <c:v>F</c:v>
                </c:pt>
              </c:strCache>
            </c:strRef>
          </c:cat>
          <c:val>
            <c:numRef>
              <c:f>Charts!$B$2:$B$8</c:f>
              <c:numCache>
                <c:formatCode>General</c:formatCode>
                <c:ptCount val="7"/>
                <c:pt idx="0">
                  <c:v>9</c:v>
                </c:pt>
                <c:pt idx="1">
                  <c:v>39</c:v>
                </c:pt>
                <c:pt idx="2">
                  <c:v>100</c:v>
                </c:pt>
                <c:pt idx="3">
                  <c:v>190</c:v>
                </c:pt>
                <c:pt idx="4">
                  <c:v>286</c:v>
                </c:pt>
                <c:pt idx="5">
                  <c:v>268</c:v>
                </c:pt>
                <c:pt idx="6">
                  <c:v>419</c:v>
                </c:pt>
              </c:numCache>
            </c:numRef>
          </c:val>
        </c:ser>
        <c:gapWidth val="150"/>
        <c:overlap val="0"/>
        <c:axId val="90271021"/>
        <c:axId val="2139431"/>
      </c:barChart>
      <c:catAx>
        <c:axId val="9027102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tier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39431"/>
        <c:crosses val="autoZero"/>
        <c:auto val="1"/>
        <c:lblAlgn val="ctr"/>
        <c:lblOffset val="100"/>
        <c:noMultiLvlLbl val="0"/>
      </c:catAx>
      <c:valAx>
        <c:axId val="21394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species forms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27102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the player can actually field, by checkpoint</a:t>
            </a:r>
          </a:p>
        </c:rich>
      </c:tx>
      <c:overlay val="0"/>
      <c:spPr>
        <a:noFill/>
        <a:ln w="0">
          <a:noFill/>
        </a:ln>
      </c:spPr>
    </c:title>
    <c:autoTitleDeleted val="0"/>
    <c:plotArea>
      <c:lineChart>
        <c:grouping val="standard"/>
        <c:varyColors val="0"/>
        <c:ser>
          <c:idx val="0"/>
          <c:order val="0"/>
          <c:tx>
            <c:strRef>
              <c:f>Charts!B11</c:f>
              <c:strCache>
                <c:ptCount val="1"/>
                <c:pt idx="0">
                  <c:v>Obtainable pool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Charts!$A$12:$A$30</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Charts!$B$12:$B$30</c:f>
              <c:numCache>
                <c:formatCode>General</c:formatCode>
                <c:ptCount val="19"/>
                <c:pt idx="0">
                  <c:v>423</c:v>
                </c:pt>
                <c:pt idx="1">
                  <c:v>556</c:v>
                </c:pt>
                <c:pt idx="2">
                  <c:v>705</c:v>
                </c:pt>
                <c:pt idx="3">
                  <c:v>869</c:v>
                </c:pt>
                <c:pt idx="4">
                  <c:v>883</c:v>
                </c:pt>
                <c:pt idx="5">
                  <c:v>964</c:v>
                </c:pt>
                <c:pt idx="6">
                  <c:v>1211</c:v>
                </c:pt>
                <c:pt idx="7">
                  <c:v>1221</c:v>
                </c:pt>
                <c:pt idx="8">
                  <c:v>1257</c:v>
                </c:pt>
                <c:pt idx="9">
                  <c:v>1259</c:v>
                </c:pt>
                <c:pt idx="10">
                  <c:v>1266</c:v>
                </c:pt>
                <c:pt idx="11">
                  <c:v>1272</c:v>
                </c:pt>
                <c:pt idx="12">
                  <c:v>1302</c:v>
                </c:pt>
                <c:pt idx="13">
                  <c:v>1302</c:v>
                </c:pt>
                <c:pt idx="14">
                  <c:v>1302</c:v>
                </c:pt>
                <c:pt idx="15">
                  <c:v>1302</c:v>
                </c:pt>
                <c:pt idx="16">
                  <c:v>1302</c:v>
                </c:pt>
                <c:pt idx="17">
                  <c:v>1308</c:v>
                </c:pt>
                <c:pt idx="18">
                  <c:v>1311</c:v>
                </c:pt>
              </c:numCache>
            </c:numRef>
          </c:val>
          <c:smooth val="1"/>
        </c:ser>
        <c:ser>
          <c:idx val="1"/>
          <c:order val="1"/>
          <c:tx>
            <c:strRef>
              <c:f>Charts!C11</c:f>
              <c:strCache>
                <c:ptCount val="1"/>
                <c:pt idx="0">
                  <c:v>TMs available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Charts!$A$12:$A$30</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Charts!$C$12:$C$30</c:f>
              <c:numCache>
                <c:formatCode>General</c:formatCode>
                <c:ptCount val="19"/>
                <c:pt idx="0">
                  <c:v>3</c:v>
                </c:pt>
                <c:pt idx="1">
                  <c:v>7</c:v>
                </c:pt>
                <c:pt idx="2">
                  <c:v>17</c:v>
                </c:pt>
                <c:pt idx="3">
                  <c:v>20</c:v>
                </c:pt>
                <c:pt idx="4">
                  <c:v>38</c:v>
                </c:pt>
                <c:pt idx="5">
                  <c:v>74</c:v>
                </c:pt>
                <c:pt idx="6">
                  <c:v>90</c:v>
                </c:pt>
                <c:pt idx="7">
                  <c:v>101</c:v>
                </c:pt>
                <c:pt idx="8">
                  <c:v>135</c:v>
                </c:pt>
                <c:pt idx="9">
                  <c:v>135</c:v>
                </c:pt>
                <c:pt idx="10">
                  <c:v>145</c:v>
                </c:pt>
                <c:pt idx="11">
                  <c:v>149</c:v>
                </c:pt>
                <c:pt idx="12">
                  <c:v>157</c:v>
                </c:pt>
                <c:pt idx="13">
                  <c:v>157</c:v>
                </c:pt>
                <c:pt idx="14">
                  <c:v>158</c:v>
                </c:pt>
                <c:pt idx="15">
                  <c:v>164</c:v>
                </c:pt>
                <c:pt idx="16">
                  <c:v>164</c:v>
                </c:pt>
                <c:pt idx="17">
                  <c:v>170</c:v>
                </c:pt>
                <c:pt idx="18">
                  <c:v>174</c:v>
                </c:pt>
              </c:numCache>
            </c:numRef>
          </c:val>
          <c:smooth val="1"/>
        </c:ser>
        <c:ser>
          <c:idx val="2"/>
          <c:order val="2"/>
          <c:tx>
            <c:strRef>
              <c:f>Charts!D11</c:f>
              <c:strCache>
                <c:ptCount val="1"/>
                <c:pt idx="0">
                  <c:v>Level cap</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Charts!$A$12:$A$30</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Charts!$D$12:$D$30</c:f>
              <c:numCache>
                <c:formatCode>General</c:formatCode>
                <c:ptCount val="19"/>
                <c:pt idx="0">
                  <c:v>15</c:v>
                </c:pt>
                <c:pt idx="1">
                  <c:v>20</c:v>
                </c:pt>
                <c:pt idx="2">
                  <c:v>25</c:v>
                </c:pt>
                <c:pt idx="3">
                  <c:v>30</c:v>
                </c:pt>
                <c:pt idx="4">
                  <c:v>32</c:v>
                </c:pt>
                <c:pt idx="5">
                  <c:v>34</c:v>
                </c:pt>
                <c:pt idx="6">
                  <c:v>44</c:v>
                </c:pt>
                <c:pt idx="7">
                  <c:v>47</c:v>
                </c:pt>
                <c:pt idx="8">
                  <c:v>56</c:v>
                </c:pt>
                <c:pt idx="9">
                  <c:v>59</c:v>
                </c:pt>
                <c:pt idx="10">
                  <c:v>64</c:v>
                </c:pt>
                <c:pt idx="11">
                  <c:v>68</c:v>
                </c:pt>
                <c:pt idx="12">
                  <c:v>71</c:v>
                </c:pt>
                <c:pt idx="13">
                  <c:v>74</c:v>
                </c:pt>
                <c:pt idx="14">
                  <c:v>76</c:v>
                </c:pt>
                <c:pt idx="15">
                  <c:v>80</c:v>
                </c:pt>
                <c:pt idx="16">
                  <c:v>82</c:v>
                </c:pt>
                <c:pt idx="17">
                  <c:v>84</c:v>
                </c:pt>
                <c:pt idx="18">
                  <c:v>85</c:v>
                </c:pt>
              </c:numCache>
            </c:numRef>
          </c:val>
          <c:smooth val="1"/>
        </c:ser>
        <c:hiLowLines>
          <c:spPr>
            <a:ln w="0">
              <a:noFill/>
            </a:ln>
          </c:spPr>
        </c:hiLowLines>
        <c:marker val="0"/>
        <c:axId val="85476330"/>
        <c:axId val="24864690"/>
      </c:lineChart>
      <c:catAx>
        <c:axId val="8547633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checkpoint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864690"/>
        <c:crosses val="autoZero"/>
        <c:auto val="1"/>
        <c:lblAlgn val="ctr"/>
        <c:lblOffset val="100"/>
        <c:noMultiLvlLbl val="0"/>
      </c:catAx>
      <c:valAx>
        <c:axId val="248646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4763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BST vs primary_niche_fit (r = 0.476) — no BST proxy</a:t>
            </a:r>
          </a:p>
        </c:rich>
      </c:tx>
      <c:overlay val="0"/>
      <c:spPr>
        <a:noFill/>
        <a:ln w="0">
          <a:noFill/>
        </a:ln>
      </c:spPr>
    </c:title>
    <c:autoTitleDeleted val="0"/>
    <c:plotArea>
      <c:scatterChart>
        <c:scatterStyle val="lineMarker"/>
        <c:varyColors val="0"/>
        <c:ser>
          <c:idx val="0"/>
          <c:order val="0"/>
          <c:tx>
            <c:strRef>
              <c:f>"species"</c:f>
              <c:strCache>
                <c:ptCount val="1"/>
                <c:pt idx="0">
                  <c:v>species</c:v>
                </c:pt>
              </c:strCache>
            </c:strRef>
          </c:tx>
          <c:spPr>
            <a:solidFill>
              <a:srgbClr val="ffffff"/>
            </a:solidFill>
            <a:ln w="47520">
              <a:noFill/>
            </a:ln>
          </c:spPr>
          <c:marker>
            <c:symbol val="circle"/>
            <c:size val="5"/>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Charts!$A$35:$A$434</c:f>
              <c:numCache>
                <c:formatCode>General</c:formatCode>
                <c:ptCount val="400"/>
                <c:pt idx="0">
                  <c:v>510</c:v>
                </c:pt>
                <c:pt idx="1">
                  <c:v>525</c:v>
                </c:pt>
                <c:pt idx="2">
                  <c:v>509</c:v>
                </c:pt>
                <c:pt idx="3">
                  <c:v>420</c:v>
                </c:pt>
                <c:pt idx="4">
                  <c:v>525</c:v>
                </c:pt>
                <c:pt idx="5">
                  <c:v>210</c:v>
                </c:pt>
                <c:pt idx="6">
                  <c:v>290</c:v>
                </c:pt>
                <c:pt idx="7">
                  <c:v>460</c:v>
                </c:pt>
                <c:pt idx="8">
                  <c:v>341</c:v>
                </c:pt>
                <c:pt idx="9">
                  <c:v>314</c:v>
                </c:pt>
                <c:pt idx="10">
                  <c:v>270</c:v>
                </c:pt>
                <c:pt idx="11">
                  <c:v>534</c:v>
                </c:pt>
                <c:pt idx="12">
                  <c:v>213</c:v>
                </c:pt>
                <c:pt idx="13">
                  <c:v>530</c:v>
                </c:pt>
                <c:pt idx="14">
                  <c:v>411</c:v>
                </c:pt>
                <c:pt idx="15">
                  <c:v>635</c:v>
                </c:pt>
                <c:pt idx="16">
                  <c:v>330</c:v>
                </c:pt>
                <c:pt idx="17">
                  <c:v>213</c:v>
                </c:pt>
                <c:pt idx="18">
                  <c:v>490</c:v>
                </c:pt>
                <c:pt idx="19">
                  <c:v>405</c:v>
                </c:pt>
                <c:pt idx="20">
                  <c:v>455</c:v>
                </c:pt>
                <c:pt idx="21">
                  <c:v>245</c:v>
                </c:pt>
                <c:pt idx="22">
                  <c:v>490</c:v>
                </c:pt>
                <c:pt idx="23">
                  <c:v>350</c:v>
                </c:pt>
                <c:pt idx="24">
                  <c:v>305</c:v>
                </c:pt>
                <c:pt idx="25">
                  <c:v>440</c:v>
                </c:pt>
                <c:pt idx="26">
                  <c:v>350</c:v>
                </c:pt>
                <c:pt idx="27">
                  <c:v>240</c:v>
                </c:pt>
                <c:pt idx="28">
                  <c:v>570</c:v>
                </c:pt>
                <c:pt idx="29">
                  <c:v>400</c:v>
                </c:pt>
                <c:pt idx="30">
                  <c:v>384</c:v>
                </c:pt>
                <c:pt idx="31">
                  <c:v>265</c:v>
                </c:pt>
                <c:pt idx="32">
                  <c:v>213</c:v>
                </c:pt>
                <c:pt idx="33">
                  <c:v>360</c:v>
                </c:pt>
                <c:pt idx="34">
                  <c:v>495</c:v>
                </c:pt>
                <c:pt idx="35">
                  <c:v>435</c:v>
                </c:pt>
                <c:pt idx="36">
                  <c:v>494</c:v>
                </c:pt>
                <c:pt idx="37">
                  <c:v>580</c:v>
                </c:pt>
                <c:pt idx="38">
                  <c:v>495</c:v>
                </c:pt>
                <c:pt idx="39">
                  <c:v>495</c:v>
                </c:pt>
                <c:pt idx="40">
                  <c:v>490</c:v>
                </c:pt>
                <c:pt idx="41">
                  <c:v>534</c:v>
                </c:pt>
                <c:pt idx="42">
                  <c:v>500</c:v>
                </c:pt>
                <c:pt idx="43">
                  <c:v>420</c:v>
                </c:pt>
                <c:pt idx="44">
                  <c:v>410</c:v>
                </c:pt>
                <c:pt idx="45">
                  <c:v>428</c:v>
                </c:pt>
                <c:pt idx="46">
                  <c:v>525</c:v>
                </c:pt>
                <c:pt idx="47">
                  <c:v>570</c:v>
                </c:pt>
                <c:pt idx="48">
                  <c:v>480</c:v>
                </c:pt>
                <c:pt idx="49">
                  <c:v>670</c:v>
                </c:pt>
                <c:pt idx="50">
                  <c:v>334</c:v>
                </c:pt>
                <c:pt idx="51">
                  <c:v>295</c:v>
                </c:pt>
                <c:pt idx="52">
                  <c:v>320</c:v>
                </c:pt>
                <c:pt idx="53">
                  <c:v>520</c:v>
                </c:pt>
                <c:pt idx="54">
                  <c:v>340</c:v>
                </c:pt>
                <c:pt idx="55">
                  <c:v>495</c:v>
                </c:pt>
                <c:pt idx="56">
                  <c:v>600</c:v>
                </c:pt>
                <c:pt idx="57">
                  <c:v>420</c:v>
                </c:pt>
                <c:pt idx="58">
                  <c:v>500</c:v>
                </c:pt>
                <c:pt idx="59">
                  <c:v>218</c:v>
                </c:pt>
                <c:pt idx="60">
                  <c:v>410</c:v>
                </c:pt>
                <c:pt idx="61">
                  <c:v>340</c:v>
                </c:pt>
                <c:pt idx="62">
                  <c:v>525</c:v>
                </c:pt>
                <c:pt idx="63">
                  <c:v>262</c:v>
                </c:pt>
                <c:pt idx="64">
                  <c:v>600</c:v>
                </c:pt>
                <c:pt idx="65">
                  <c:v>380</c:v>
                </c:pt>
                <c:pt idx="66">
                  <c:v>289</c:v>
                </c:pt>
                <c:pt idx="67">
                  <c:v>420</c:v>
                </c:pt>
                <c:pt idx="68">
                  <c:v>237</c:v>
                </c:pt>
                <c:pt idx="69">
                  <c:v>411</c:v>
                </c:pt>
                <c:pt idx="70">
                  <c:v>495</c:v>
                </c:pt>
                <c:pt idx="71">
                  <c:v>421</c:v>
                </c:pt>
                <c:pt idx="72">
                  <c:v>417</c:v>
                </c:pt>
                <c:pt idx="73">
                  <c:v>411</c:v>
                </c:pt>
                <c:pt idx="74">
                  <c:v>495</c:v>
                </c:pt>
                <c:pt idx="75">
                  <c:v>600</c:v>
                </c:pt>
                <c:pt idx="76">
                  <c:v>335</c:v>
                </c:pt>
                <c:pt idx="77">
                  <c:v>195</c:v>
                </c:pt>
                <c:pt idx="78">
                  <c:v>525</c:v>
                </c:pt>
                <c:pt idx="79">
                  <c:v>620</c:v>
                </c:pt>
                <c:pt idx="80">
                  <c:v>428</c:v>
                </c:pt>
                <c:pt idx="81">
                  <c:v>420</c:v>
                </c:pt>
                <c:pt idx="82">
                  <c:v>371</c:v>
                </c:pt>
                <c:pt idx="83">
                  <c:v>630</c:v>
                </c:pt>
                <c:pt idx="84">
                  <c:v>470</c:v>
                </c:pt>
                <c:pt idx="85">
                  <c:v>515</c:v>
                </c:pt>
                <c:pt idx="86">
                  <c:v>500</c:v>
                </c:pt>
                <c:pt idx="87">
                  <c:v>200</c:v>
                </c:pt>
                <c:pt idx="88">
                  <c:v>455</c:v>
                </c:pt>
                <c:pt idx="89">
                  <c:v>625</c:v>
                </c:pt>
                <c:pt idx="90">
                  <c:v>500</c:v>
                </c:pt>
                <c:pt idx="91">
                  <c:v>330</c:v>
                </c:pt>
                <c:pt idx="92">
                  <c:v>224</c:v>
                </c:pt>
                <c:pt idx="93">
                  <c:v>628</c:v>
                </c:pt>
                <c:pt idx="94">
                  <c:v>495</c:v>
                </c:pt>
                <c:pt idx="95">
                  <c:v>405</c:v>
                </c:pt>
                <c:pt idx="96">
                  <c:v>304</c:v>
                </c:pt>
                <c:pt idx="97">
                  <c:v>390</c:v>
                </c:pt>
                <c:pt idx="98">
                  <c:v>535</c:v>
                </c:pt>
                <c:pt idx="99">
                  <c:v>490</c:v>
                </c:pt>
                <c:pt idx="100">
                  <c:v>269</c:v>
                </c:pt>
                <c:pt idx="101">
                  <c:v>306</c:v>
                </c:pt>
                <c:pt idx="102">
                  <c:v>250</c:v>
                </c:pt>
                <c:pt idx="103">
                  <c:v>454</c:v>
                </c:pt>
                <c:pt idx="104">
                  <c:v>555</c:v>
                </c:pt>
                <c:pt idx="105">
                  <c:v>634</c:v>
                </c:pt>
                <c:pt idx="106">
                  <c:v>200</c:v>
                </c:pt>
                <c:pt idx="107">
                  <c:v>600</c:v>
                </c:pt>
                <c:pt idx="108">
                  <c:v>240</c:v>
                </c:pt>
                <c:pt idx="109">
                  <c:v>534</c:v>
                </c:pt>
                <c:pt idx="110">
                  <c:v>500</c:v>
                </c:pt>
                <c:pt idx="111">
                  <c:v>495</c:v>
                </c:pt>
                <c:pt idx="112">
                  <c:v>550</c:v>
                </c:pt>
                <c:pt idx="113">
                  <c:v>410</c:v>
                </c:pt>
                <c:pt idx="114">
                  <c:v>500</c:v>
                </c:pt>
                <c:pt idx="115">
                  <c:v>580</c:v>
                </c:pt>
                <c:pt idx="116">
                  <c:v>480</c:v>
                </c:pt>
                <c:pt idx="117">
                  <c:v>490</c:v>
                </c:pt>
                <c:pt idx="118">
                  <c:v>510</c:v>
                </c:pt>
                <c:pt idx="119">
                  <c:v>600</c:v>
                </c:pt>
                <c:pt idx="120">
                  <c:v>487</c:v>
                </c:pt>
                <c:pt idx="121">
                  <c:v>245</c:v>
                </c:pt>
                <c:pt idx="122">
                  <c:v>205</c:v>
                </c:pt>
                <c:pt idx="123">
                  <c:v>491</c:v>
                </c:pt>
                <c:pt idx="124">
                  <c:v>495</c:v>
                </c:pt>
                <c:pt idx="125">
                  <c:v>490</c:v>
                </c:pt>
                <c:pt idx="126">
                  <c:v>330</c:v>
                </c:pt>
                <c:pt idx="127">
                  <c:v>440</c:v>
                </c:pt>
                <c:pt idx="128">
                  <c:v>520</c:v>
                </c:pt>
                <c:pt idx="129">
                  <c:v>700</c:v>
                </c:pt>
                <c:pt idx="130">
                  <c:v>288</c:v>
                </c:pt>
                <c:pt idx="131">
                  <c:v>600</c:v>
                </c:pt>
                <c:pt idx="132">
                  <c:v>490</c:v>
                </c:pt>
                <c:pt idx="133">
                  <c:v>200</c:v>
                </c:pt>
                <c:pt idx="134">
                  <c:v>309</c:v>
                </c:pt>
                <c:pt idx="135">
                  <c:v>314</c:v>
                </c:pt>
                <c:pt idx="136">
                  <c:v>411</c:v>
                </c:pt>
                <c:pt idx="137">
                  <c:v>485</c:v>
                </c:pt>
                <c:pt idx="138">
                  <c:v>290</c:v>
                </c:pt>
                <c:pt idx="139">
                  <c:v>213</c:v>
                </c:pt>
                <c:pt idx="140">
                  <c:v>210</c:v>
                </c:pt>
                <c:pt idx="141">
                  <c:v>475</c:v>
                </c:pt>
                <c:pt idx="142">
                  <c:v>483</c:v>
                </c:pt>
                <c:pt idx="143">
                  <c:v>425</c:v>
                </c:pt>
                <c:pt idx="144">
                  <c:v>510</c:v>
                </c:pt>
                <c:pt idx="145">
                  <c:v>320</c:v>
                </c:pt>
                <c:pt idx="146">
                  <c:v>570</c:v>
                </c:pt>
                <c:pt idx="147">
                  <c:v>590</c:v>
                </c:pt>
                <c:pt idx="148">
                  <c:v>465</c:v>
                </c:pt>
                <c:pt idx="149">
                  <c:v>520</c:v>
                </c:pt>
                <c:pt idx="150">
                  <c:v>300</c:v>
                </c:pt>
                <c:pt idx="151">
                  <c:v>495</c:v>
                </c:pt>
                <c:pt idx="152">
                  <c:v>500</c:v>
                </c:pt>
                <c:pt idx="153">
                  <c:v>329</c:v>
                </c:pt>
                <c:pt idx="154">
                  <c:v>480</c:v>
                </c:pt>
                <c:pt idx="155">
                  <c:v>430</c:v>
                </c:pt>
                <c:pt idx="156">
                  <c:v>384</c:v>
                </c:pt>
                <c:pt idx="157">
                  <c:v>306</c:v>
                </c:pt>
                <c:pt idx="158">
                  <c:v>365</c:v>
                </c:pt>
                <c:pt idx="159">
                  <c:v>480</c:v>
                </c:pt>
                <c:pt idx="160">
                  <c:v>400</c:v>
                </c:pt>
                <c:pt idx="161">
                  <c:v>465</c:v>
                </c:pt>
                <c:pt idx="162">
                  <c:v>430</c:v>
                </c:pt>
                <c:pt idx="163">
                  <c:v>424</c:v>
                </c:pt>
                <c:pt idx="164">
                  <c:v>680</c:v>
                </c:pt>
                <c:pt idx="165">
                  <c:v>535</c:v>
                </c:pt>
                <c:pt idx="166">
                  <c:v>365</c:v>
                </c:pt>
                <c:pt idx="167">
                  <c:v>348</c:v>
                </c:pt>
                <c:pt idx="168">
                  <c:v>480</c:v>
                </c:pt>
                <c:pt idx="169">
                  <c:v>454</c:v>
                </c:pt>
                <c:pt idx="170">
                  <c:v>395</c:v>
                </c:pt>
                <c:pt idx="171">
                  <c:v>325</c:v>
                </c:pt>
                <c:pt idx="172">
                  <c:v>495</c:v>
                </c:pt>
                <c:pt idx="173">
                  <c:v>520</c:v>
                </c:pt>
                <c:pt idx="174">
                  <c:v>410</c:v>
                </c:pt>
                <c:pt idx="175">
                  <c:v>303</c:v>
                </c:pt>
                <c:pt idx="176">
                  <c:v>400</c:v>
                </c:pt>
                <c:pt idx="177">
                  <c:v>305</c:v>
                </c:pt>
                <c:pt idx="178">
                  <c:v>530</c:v>
                </c:pt>
                <c:pt idx="179">
                  <c:v>600</c:v>
                </c:pt>
                <c:pt idx="180">
                  <c:v>600</c:v>
                </c:pt>
                <c:pt idx="181">
                  <c:v>362</c:v>
                </c:pt>
                <c:pt idx="182">
                  <c:v>445</c:v>
                </c:pt>
                <c:pt idx="183">
                  <c:v>485</c:v>
                </c:pt>
                <c:pt idx="184">
                  <c:v>575</c:v>
                </c:pt>
                <c:pt idx="185">
                  <c:v>495</c:v>
                </c:pt>
                <c:pt idx="186">
                  <c:v>425</c:v>
                </c:pt>
                <c:pt idx="187">
                  <c:v>484</c:v>
                </c:pt>
                <c:pt idx="188">
                  <c:v>503</c:v>
                </c:pt>
                <c:pt idx="189">
                  <c:v>505</c:v>
                </c:pt>
                <c:pt idx="190">
                  <c:v>213</c:v>
                </c:pt>
                <c:pt idx="191">
                  <c:v>464</c:v>
                </c:pt>
                <c:pt idx="192">
                  <c:v>460</c:v>
                </c:pt>
                <c:pt idx="193">
                  <c:v>355</c:v>
                </c:pt>
                <c:pt idx="194">
                  <c:v>680</c:v>
                </c:pt>
                <c:pt idx="195">
                  <c:v>446</c:v>
                </c:pt>
                <c:pt idx="196">
                  <c:v>390</c:v>
                </c:pt>
                <c:pt idx="197">
                  <c:v>495</c:v>
                </c:pt>
                <c:pt idx="198">
                  <c:v>213</c:v>
                </c:pt>
                <c:pt idx="199">
                  <c:v>470</c:v>
                </c:pt>
                <c:pt idx="200">
                  <c:v>320</c:v>
                </c:pt>
                <c:pt idx="201">
                  <c:v>480</c:v>
                </c:pt>
                <c:pt idx="202">
                  <c:v>460</c:v>
                </c:pt>
                <c:pt idx="203">
                  <c:v>600</c:v>
                </c:pt>
                <c:pt idx="204">
                  <c:v>480</c:v>
                </c:pt>
                <c:pt idx="205">
                  <c:v>530</c:v>
                </c:pt>
                <c:pt idx="206">
                  <c:v>580</c:v>
                </c:pt>
                <c:pt idx="207">
                  <c:v>320</c:v>
                </c:pt>
                <c:pt idx="208">
                  <c:v>200</c:v>
                </c:pt>
                <c:pt idx="209">
                  <c:v>425</c:v>
                </c:pt>
                <c:pt idx="210">
                  <c:v>385</c:v>
                </c:pt>
                <c:pt idx="211">
                  <c:v>700</c:v>
                </c:pt>
                <c:pt idx="212">
                  <c:v>284</c:v>
                </c:pt>
                <c:pt idx="213">
                  <c:v>520</c:v>
                </c:pt>
                <c:pt idx="214">
                  <c:v>330</c:v>
                </c:pt>
                <c:pt idx="215">
                  <c:v>481</c:v>
                </c:pt>
                <c:pt idx="216">
                  <c:v>390</c:v>
                </c:pt>
                <c:pt idx="217">
                  <c:v>580</c:v>
                </c:pt>
                <c:pt idx="218">
                  <c:v>370</c:v>
                </c:pt>
                <c:pt idx="219">
                  <c:v>269</c:v>
                </c:pt>
                <c:pt idx="220">
                  <c:v>384</c:v>
                </c:pt>
                <c:pt idx="221">
                  <c:v>309</c:v>
                </c:pt>
                <c:pt idx="222">
                  <c:v>480</c:v>
                </c:pt>
                <c:pt idx="223">
                  <c:v>454</c:v>
                </c:pt>
                <c:pt idx="224">
                  <c:v>316</c:v>
                </c:pt>
                <c:pt idx="225">
                  <c:v>509</c:v>
                </c:pt>
                <c:pt idx="226">
                  <c:v>316</c:v>
                </c:pt>
                <c:pt idx="227">
                  <c:v>495</c:v>
                </c:pt>
                <c:pt idx="228">
                  <c:v>435</c:v>
                </c:pt>
                <c:pt idx="229">
                  <c:v>480</c:v>
                </c:pt>
                <c:pt idx="230">
                  <c:v>318</c:v>
                </c:pt>
                <c:pt idx="231">
                  <c:v>510</c:v>
                </c:pt>
                <c:pt idx="232">
                  <c:v>305</c:v>
                </c:pt>
                <c:pt idx="233">
                  <c:v>540</c:v>
                </c:pt>
                <c:pt idx="234">
                  <c:v>419</c:v>
                </c:pt>
                <c:pt idx="235">
                  <c:v>451</c:v>
                </c:pt>
                <c:pt idx="236">
                  <c:v>615</c:v>
                </c:pt>
                <c:pt idx="237">
                  <c:v>495</c:v>
                </c:pt>
                <c:pt idx="238">
                  <c:v>250</c:v>
                </c:pt>
                <c:pt idx="239">
                  <c:v>240</c:v>
                </c:pt>
                <c:pt idx="240">
                  <c:v>405</c:v>
                </c:pt>
                <c:pt idx="241">
                  <c:v>580</c:v>
                </c:pt>
                <c:pt idx="242">
                  <c:v>505</c:v>
                </c:pt>
                <c:pt idx="243">
                  <c:v>600</c:v>
                </c:pt>
                <c:pt idx="244">
                  <c:v>482</c:v>
                </c:pt>
                <c:pt idx="245">
                  <c:v>545</c:v>
                </c:pt>
                <c:pt idx="246">
                  <c:v>530</c:v>
                </c:pt>
                <c:pt idx="247">
                  <c:v>495</c:v>
                </c:pt>
                <c:pt idx="248">
                  <c:v>481</c:v>
                </c:pt>
                <c:pt idx="249">
                  <c:v>275</c:v>
                </c:pt>
                <c:pt idx="250">
                  <c:v>440</c:v>
                </c:pt>
                <c:pt idx="251">
                  <c:v>290</c:v>
                </c:pt>
                <c:pt idx="252">
                  <c:v>405</c:v>
                </c:pt>
                <c:pt idx="253">
                  <c:v>312</c:v>
                </c:pt>
                <c:pt idx="254">
                  <c:v>520</c:v>
                </c:pt>
                <c:pt idx="255">
                  <c:v>460</c:v>
                </c:pt>
                <c:pt idx="256">
                  <c:v>411</c:v>
                </c:pt>
                <c:pt idx="257">
                  <c:v>495</c:v>
                </c:pt>
                <c:pt idx="258">
                  <c:v>405</c:v>
                </c:pt>
                <c:pt idx="259">
                  <c:v>570</c:v>
                </c:pt>
                <c:pt idx="260">
                  <c:v>420</c:v>
                </c:pt>
                <c:pt idx="261">
                  <c:v>510</c:v>
                </c:pt>
                <c:pt idx="262">
                  <c:v>579</c:v>
                </c:pt>
                <c:pt idx="263">
                  <c:v>443</c:v>
                </c:pt>
                <c:pt idx="264">
                  <c:v>490</c:v>
                </c:pt>
                <c:pt idx="265">
                  <c:v>264</c:v>
                </c:pt>
                <c:pt idx="266">
                  <c:v>570</c:v>
                </c:pt>
                <c:pt idx="267">
                  <c:v>255</c:v>
                </c:pt>
                <c:pt idx="268">
                  <c:v>600</c:v>
                </c:pt>
                <c:pt idx="269">
                  <c:v>263</c:v>
                </c:pt>
                <c:pt idx="270">
                  <c:v>508</c:v>
                </c:pt>
                <c:pt idx="271">
                  <c:v>310</c:v>
                </c:pt>
                <c:pt idx="272">
                  <c:v>525</c:v>
                </c:pt>
                <c:pt idx="273">
                  <c:v>505</c:v>
                </c:pt>
                <c:pt idx="274">
                  <c:v>500</c:v>
                </c:pt>
                <c:pt idx="275">
                  <c:v>351</c:v>
                </c:pt>
                <c:pt idx="276">
                  <c:v>365</c:v>
                </c:pt>
                <c:pt idx="277">
                  <c:v>385</c:v>
                </c:pt>
                <c:pt idx="278">
                  <c:v>260</c:v>
                </c:pt>
                <c:pt idx="279">
                  <c:v>495</c:v>
                </c:pt>
                <c:pt idx="280">
                  <c:v>580</c:v>
                </c:pt>
                <c:pt idx="281">
                  <c:v>420</c:v>
                </c:pt>
                <c:pt idx="282">
                  <c:v>465</c:v>
                </c:pt>
                <c:pt idx="283">
                  <c:v>253</c:v>
                </c:pt>
                <c:pt idx="284">
                  <c:v>460</c:v>
                </c:pt>
                <c:pt idx="285">
                  <c:v>580</c:v>
                </c:pt>
                <c:pt idx="286">
                  <c:v>600</c:v>
                </c:pt>
                <c:pt idx="287">
                  <c:v>580</c:v>
                </c:pt>
                <c:pt idx="288">
                  <c:v>510</c:v>
                </c:pt>
                <c:pt idx="289">
                  <c:v>525</c:v>
                </c:pt>
                <c:pt idx="290">
                  <c:v>440</c:v>
                </c:pt>
                <c:pt idx="291">
                  <c:v>480</c:v>
                </c:pt>
                <c:pt idx="292">
                  <c:v>442</c:v>
                </c:pt>
                <c:pt idx="293">
                  <c:v>485</c:v>
                </c:pt>
                <c:pt idx="294">
                  <c:v>520</c:v>
                </c:pt>
                <c:pt idx="295">
                  <c:v>411</c:v>
                </c:pt>
                <c:pt idx="296">
                  <c:v>486</c:v>
                </c:pt>
                <c:pt idx="297">
                  <c:v>384</c:v>
                </c:pt>
                <c:pt idx="298">
                  <c:v>490</c:v>
                </c:pt>
                <c:pt idx="299">
                  <c:v>555</c:v>
                </c:pt>
                <c:pt idx="300">
                  <c:v>430</c:v>
                </c:pt>
                <c:pt idx="301">
                  <c:v>520</c:v>
                </c:pt>
                <c:pt idx="302">
                  <c:v>570</c:v>
                </c:pt>
                <c:pt idx="303">
                  <c:v>330</c:v>
                </c:pt>
                <c:pt idx="304">
                  <c:v>250</c:v>
                </c:pt>
                <c:pt idx="305">
                  <c:v>250</c:v>
                </c:pt>
                <c:pt idx="306">
                  <c:v>470</c:v>
                </c:pt>
                <c:pt idx="307">
                  <c:v>430</c:v>
                </c:pt>
                <c:pt idx="308">
                  <c:v>365</c:v>
                </c:pt>
                <c:pt idx="309">
                  <c:v>348</c:v>
                </c:pt>
                <c:pt idx="310">
                  <c:v>482</c:v>
                </c:pt>
                <c:pt idx="311">
                  <c:v>411</c:v>
                </c:pt>
                <c:pt idx="312">
                  <c:v>500</c:v>
                </c:pt>
                <c:pt idx="313">
                  <c:v>318</c:v>
                </c:pt>
                <c:pt idx="314">
                  <c:v>540</c:v>
                </c:pt>
                <c:pt idx="315">
                  <c:v>340</c:v>
                </c:pt>
                <c:pt idx="316">
                  <c:v>472</c:v>
                </c:pt>
                <c:pt idx="317">
                  <c:v>670</c:v>
                </c:pt>
                <c:pt idx="318">
                  <c:v>310</c:v>
                </c:pt>
                <c:pt idx="319">
                  <c:v>535</c:v>
                </c:pt>
                <c:pt idx="320">
                  <c:v>570</c:v>
                </c:pt>
                <c:pt idx="321">
                  <c:v>480</c:v>
                </c:pt>
                <c:pt idx="322">
                  <c:v>590</c:v>
                </c:pt>
                <c:pt idx="323">
                  <c:v>465</c:v>
                </c:pt>
                <c:pt idx="324">
                  <c:v>600</c:v>
                </c:pt>
                <c:pt idx="325">
                  <c:v>310</c:v>
                </c:pt>
                <c:pt idx="326">
                  <c:v>530</c:v>
                </c:pt>
                <c:pt idx="327">
                  <c:v>515</c:v>
                </c:pt>
                <c:pt idx="328">
                  <c:v>600</c:v>
                </c:pt>
                <c:pt idx="329">
                  <c:v>320</c:v>
                </c:pt>
                <c:pt idx="330">
                  <c:v>410</c:v>
                </c:pt>
                <c:pt idx="331">
                  <c:v>477</c:v>
                </c:pt>
                <c:pt idx="332">
                  <c:v>470</c:v>
                </c:pt>
                <c:pt idx="333">
                  <c:v>476</c:v>
                </c:pt>
                <c:pt idx="334">
                  <c:v>304</c:v>
                </c:pt>
                <c:pt idx="335">
                  <c:v>475</c:v>
                </c:pt>
                <c:pt idx="336">
                  <c:v>390</c:v>
                </c:pt>
                <c:pt idx="337">
                  <c:v>325</c:v>
                </c:pt>
                <c:pt idx="338">
                  <c:v>480</c:v>
                </c:pt>
                <c:pt idx="339">
                  <c:v>420</c:v>
                </c:pt>
                <c:pt idx="340">
                  <c:v>470</c:v>
                </c:pt>
                <c:pt idx="341">
                  <c:v>360</c:v>
                </c:pt>
                <c:pt idx="342">
                  <c:v>500</c:v>
                </c:pt>
                <c:pt idx="343">
                  <c:v>465</c:v>
                </c:pt>
                <c:pt idx="344">
                  <c:v>220</c:v>
                </c:pt>
                <c:pt idx="345">
                  <c:v>495</c:v>
                </c:pt>
                <c:pt idx="346">
                  <c:v>320</c:v>
                </c:pt>
                <c:pt idx="347">
                  <c:v>470</c:v>
                </c:pt>
                <c:pt idx="348">
                  <c:v>520</c:v>
                </c:pt>
                <c:pt idx="349">
                  <c:v>305</c:v>
                </c:pt>
                <c:pt idx="350">
                  <c:v>510</c:v>
                </c:pt>
                <c:pt idx="351">
                  <c:v>498</c:v>
                </c:pt>
                <c:pt idx="352">
                  <c:v>489</c:v>
                </c:pt>
                <c:pt idx="353">
                  <c:v>405</c:v>
                </c:pt>
                <c:pt idx="354">
                  <c:v>590</c:v>
                </c:pt>
                <c:pt idx="355">
                  <c:v>508</c:v>
                </c:pt>
                <c:pt idx="356">
                  <c:v>335</c:v>
                </c:pt>
                <c:pt idx="357">
                  <c:v>425</c:v>
                </c:pt>
                <c:pt idx="358">
                  <c:v>680</c:v>
                </c:pt>
                <c:pt idx="359">
                  <c:v>213</c:v>
                </c:pt>
                <c:pt idx="360">
                  <c:v>210</c:v>
                </c:pt>
                <c:pt idx="361">
                  <c:v>310</c:v>
                </c:pt>
                <c:pt idx="362">
                  <c:v>495</c:v>
                </c:pt>
                <c:pt idx="363">
                  <c:v>360</c:v>
                </c:pt>
                <c:pt idx="364">
                  <c:v>495</c:v>
                </c:pt>
                <c:pt idx="365">
                  <c:v>495</c:v>
                </c:pt>
                <c:pt idx="366">
                  <c:v>495</c:v>
                </c:pt>
                <c:pt idx="367">
                  <c:v>308</c:v>
                </c:pt>
                <c:pt idx="368">
                  <c:v>495</c:v>
                </c:pt>
                <c:pt idx="369">
                  <c:v>410</c:v>
                </c:pt>
                <c:pt idx="370">
                  <c:v>600</c:v>
                </c:pt>
                <c:pt idx="371">
                  <c:v>384</c:v>
                </c:pt>
                <c:pt idx="372">
                  <c:v>523</c:v>
                </c:pt>
                <c:pt idx="373">
                  <c:v>482</c:v>
                </c:pt>
                <c:pt idx="374">
                  <c:v>600</c:v>
                </c:pt>
                <c:pt idx="375">
                  <c:v>305</c:v>
                </c:pt>
                <c:pt idx="376">
                  <c:v>580</c:v>
                </c:pt>
                <c:pt idx="377">
                  <c:v>415</c:v>
                </c:pt>
                <c:pt idx="378">
                  <c:v>480</c:v>
                </c:pt>
                <c:pt idx="379">
                  <c:v>400</c:v>
                </c:pt>
                <c:pt idx="380">
                  <c:v>470</c:v>
                </c:pt>
                <c:pt idx="381">
                  <c:v>600</c:v>
                </c:pt>
                <c:pt idx="382">
                  <c:v>580</c:v>
                </c:pt>
                <c:pt idx="383">
                  <c:v>476</c:v>
                </c:pt>
                <c:pt idx="384">
                  <c:v>526</c:v>
                </c:pt>
                <c:pt idx="385">
                  <c:v>280</c:v>
                </c:pt>
                <c:pt idx="386">
                  <c:v>430</c:v>
                </c:pt>
                <c:pt idx="387">
                  <c:v>430</c:v>
                </c:pt>
                <c:pt idx="388">
                  <c:v>265</c:v>
                </c:pt>
                <c:pt idx="389">
                  <c:v>510</c:v>
                </c:pt>
                <c:pt idx="390">
                  <c:v>265</c:v>
                </c:pt>
                <c:pt idx="391">
                  <c:v>670</c:v>
                </c:pt>
                <c:pt idx="392">
                  <c:v>580</c:v>
                </c:pt>
                <c:pt idx="393">
                  <c:v>530</c:v>
                </c:pt>
                <c:pt idx="394">
                  <c:v>495</c:v>
                </c:pt>
                <c:pt idx="395">
                  <c:v>253</c:v>
                </c:pt>
                <c:pt idx="396">
                  <c:v>270</c:v>
                </c:pt>
                <c:pt idx="397">
                  <c:v>310</c:v>
                </c:pt>
                <c:pt idx="398">
                  <c:v>340</c:v>
                </c:pt>
                <c:pt idx="399">
                  <c:v>600</c:v>
                </c:pt>
              </c:numCache>
            </c:numRef>
          </c:xVal>
          <c:yVal>
            <c:numRef>
              <c:f>Charts!$B$35:$B$434</c:f>
              <c:numCache>
                <c:formatCode>General</c:formatCode>
                <c:ptCount val="400"/>
                <c:pt idx="0">
                  <c:v>0.8084</c:v>
                </c:pt>
                <c:pt idx="1">
                  <c:v>0.5581</c:v>
                </c:pt>
                <c:pt idx="2">
                  <c:v>0.7012</c:v>
                </c:pt>
                <c:pt idx="3">
                  <c:v>0.6462</c:v>
                </c:pt>
                <c:pt idx="4">
                  <c:v>0.7941</c:v>
                </c:pt>
                <c:pt idx="5">
                  <c:v>0.5948</c:v>
                </c:pt>
                <c:pt idx="6">
                  <c:v>0.607</c:v>
                </c:pt>
                <c:pt idx="7">
                  <c:v>0.6881</c:v>
                </c:pt>
                <c:pt idx="8">
                  <c:v>0.6383</c:v>
                </c:pt>
                <c:pt idx="9">
                  <c:v>0.5716</c:v>
                </c:pt>
                <c:pt idx="10">
                  <c:v>0.5072</c:v>
                </c:pt>
                <c:pt idx="11">
                  <c:v>0.7257</c:v>
                </c:pt>
                <c:pt idx="12">
                  <c:v>0.1753</c:v>
                </c:pt>
                <c:pt idx="13">
                  <c:v>0.7249</c:v>
                </c:pt>
                <c:pt idx="14">
                  <c:v>0.6146</c:v>
                </c:pt>
                <c:pt idx="15">
                  <c:v>0.7427</c:v>
                </c:pt>
                <c:pt idx="16">
                  <c:v>0.607</c:v>
                </c:pt>
                <c:pt idx="17">
                  <c:v>0.1753</c:v>
                </c:pt>
                <c:pt idx="18">
                  <c:v>0.7424</c:v>
                </c:pt>
                <c:pt idx="19">
                  <c:v>0.8236</c:v>
                </c:pt>
                <c:pt idx="20">
                  <c:v>0.564</c:v>
                </c:pt>
                <c:pt idx="21">
                  <c:v>0.5115</c:v>
                </c:pt>
                <c:pt idx="22">
                  <c:v>0.779</c:v>
                </c:pt>
                <c:pt idx="23">
                  <c:v>0.6014</c:v>
                </c:pt>
                <c:pt idx="24">
                  <c:v>0.4773</c:v>
                </c:pt>
                <c:pt idx="25">
                  <c:v>0.6535</c:v>
                </c:pt>
                <c:pt idx="26">
                  <c:v>0.6074</c:v>
                </c:pt>
                <c:pt idx="27">
                  <c:v>0.5169</c:v>
                </c:pt>
                <c:pt idx="28">
                  <c:v>0.8478</c:v>
                </c:pt>
                <c:pt idx="29">
                  <c:v>0.3798</c:v>
                </c:pt>
                <c:pt idx="30">
                  <c:v>0.3676</c:v>
                </c:pt>
                <c:pt idx="31">
                  <c:v>0.7926</c:v>
                </c:pt>
                <c:pt idx="32">
                  <c:v>0.1753</c:v>
                </c:pt>
                <c:pt idx="33">
                  <c:v>0.6101</c:v>
                </c:pt>
                <c:pt idx="34">
                  <c:v>0.6163</c:v>
                </c:pt>
                <c:pt idx="35">
                  <c:v>0.7944</c:v>
                </c:pt>
                <c:pt idx="36">
                  <c:v>0.6438</c:v>
                </c:pt>
                <c:pt idx="37">
                  <c:v>0.8238</c:v>
                </c:pt>
                <c:pt idx="38">
                  <c:v>0.6163</c:v>
                </c:pt>
                <c:pt idx="39">
                  <c:v>0.7873</c:v>
                </c:pt>
                <c:pt idx="40">
                  <c:v>0.7443</c:v>
                </c:pt>
                <c:pt idx="41">
                  <c:v>0.7123</c:v>
                </c:pt>
                <c:pt idx="42">
                  <c:v>0.6857</c:v>
                </c:pt>
                <c:pt idx="43">
                  <c:v>0.6718</c:v>
                </c:pt>
                <c:pt idx="44">
                  <c:v>0.5544</c:v>
                </c:pt>
                <c:pt idx="45">
                  <c:v>0.8165</c:v>
                </c:pt>
                <c:pt idx="46">
                  <c:v>0.7285</c:v>
                </c:pt>
                <c:pt idx="47">
                  <c:v>0.7491</c:v>
                </c:pt>
                <c:pt idx="48">
                  <c:v>0.6222</c:v>
                </c:pt>
                <c:pt idx="49">
                  <c:v>0.645</c:v>
                </c:pt>
                <c:pt idx="50">
                  <c:v>0.8054</c:v>
                </c:pt>
                <c:pt idx="51">
                  <c:v>0.7315</c:v>
                </c:pt>
                <c:pt idx="52">
                  <c:v>0.6277</c:v>
                </c:pt>
                <c:pt idx="53">
                  <c:v>0.5668</c:v>
                </c:pt>
                <c:pt idx="54">
                  <c:v>0.6732</c:v>
                </c:pt>
                <c:pt idx="55">
                  <c:v>0.6163</c:v>
                </c:pt>
                <c:pt idx="56">
                  <c:v>0.6933</c:v>
                </c:pt>
                <c:pt idx="57">
                  <c:v>0.6517</c:v>
                </c:pt>
                <c:pt idx="58">
                  <c:v>0.7322</c:v>
                </c:pt>
                <c:pt idx="59">
                  <c:v>0.7289</c:v>
                </c:pt>
                <c:pt idx="60">
                  <c:v>0.6292</c:v>
                </c:pt>
                <c:pt idx="61">
                  <c:v>0.4466</c:v>
                </c:pt>
                <c:pt idx="62">
                  <c:v>0.6991</c:v>
                </c:pt>
                <c:pt idx="63">
                  <c:v>0.6045</c:v>
                </c:pt>
                <c:pt idx="64">
                  <c:v>0.7143</c:v>
                </c:pt>
                <c:pt idx="65">
                  <c:v>0.6473</c:v>
                </c:pt>
                <c:pt idx="66">
                  <c:v>0.809</c:v>
                </c:pt>
                <c:pt idx="67">
                  <c:v>0.4767</c:v>
                </c:pt>
                <c:pt idx="68">
                  <c:v>0.6931</c:v>
                </c:pt>
                <c:pt idx="69">
                  <c:v>0.6146</c:v>
                </c:pt>
                <c:pt idx="70">
                  <c:v>0.877</c:v>
                </c:pt>
                <c:pt idx="71">
                  <c:v>0.6396</c:v>
                </c:pt>
                <c:pt idx="72">
                  <c:v>0.7826</c:v>
                </c:pt>
                <c:pt idx="73">
                  <c:v>0.6146</c:v>
                </c:pt>
                <c:pt idx="74">
                  <c:v>0.6163</c:v>
                </c:pt>
                <c:pt idx="75">
                  <c:v>0.7399</c:v>
                </c:pt>
                <c:pt idx="76">
                  <c:v>0.6874</c:v>
                </c:pt>
                <c:pt idx="77">
                  <c:v>0.3318</c:v>
                </c:pt>
                <c:pt idx="78">
                  <c:v>0.7555</c:v>
                </c:pt>
                <c:pt idx="79">
                  <c:v>0.9185</c:v>
                </c:pt>
                <c:pt idx="80">
                  <c:v>0.7811</c:v>
                </c:pt>
                <c:pt idx="81">
                  <c:v>0.5502</c:v>
                </c:pt>
                <c:pt idx="82">
                  <c:v>0.7557</c:v>
                </c:pt>
                <c:pt idx="83">
                  <c:v>0.7516</c:v>
                </c:pt>
                <c:pt idx="84">
                  <c:v>0.708</c:v>
                </c:pt>
                <c:pt idx="85">
                  <c:v>0.9295</c:v>
                </c:pt>
                <c:pt idx="86">
                  <c:v>0.7256</c:v>
                </c:pt>
                <c:pt idx="87">
                  <c:v>0.3082</c:v>
                </c:pt>
                <c:pt idx="88">
                  <c:v>0.7245</c:v>
                </c:pt>
                <c:pt idx="89">
                  <c:v>0.7259</c:v>
                </c:pt>
                <c:pt idx="90">
                  <c:v>0.8048</c:v>
                </c:pt>
                <c:pt idx="91">
                  <c:v>0.5678</c:v>
                </c:pt>
                <c:pt idx="92">
                  <c:v>0.2937</c:v>
                </c:pt>
                <c:pt idx="93">
                  <c:v>0.7274</c:v>
                </c:pt>
                <c:pt idx="94">
                  <c:v>0.6163</c:v>
                </c:pt>
                <c:pt idx="95">
                  <c:v>0.5691</c:v>
                </c:pt>
                <c:pt idx="96">
                  <c:v>0.6588</c:v>
                </c:pt>
                <c:pt idx="97">
                  <c:v>0.7803</c:v>
                </c:pt>
                <c:pt idx="98">
                  <c:v>0.6411</c:v>
                </c:pt>
                <c:pt idx="99">
                  <c:v>0.6481</c:v>
                </c:pt>
                <c:pt idx="100">
                  <c:v>0.793</c:v>
                </c:pt>
                <c:pt idx="101">
                  <c:v>0.6057</c:v>
                </c:pt>
                <c:pt idx="102">
                  <c:v>0.6031</c:v>
                </c:pt>
                <c:pt idx="103">
                  <c:v>0.6852</c:v>
                </c:pt>
                <c:pt idx="104">
                  <c:v>0.649</c:v>
                </c:pt>
                <c:pt idx="105">
                  <c:v>0.7507</c:v>
                </c:pt>
                <c:pt idx="106">
                  <c:v>0.4624</c:v>
                </c:pt>
                <c:pt idx="107">
                  <c:v>0.6267</c:v>
                </c:pt>
                <c:pt idx="108">
                  <c:v>0.7325</c:v>
                </c:pt>
                <c:pt idx="109">
                  <c:v>0.5893</c:v>
                </c:pt>
                <c:pt idx="110">
                  <c:v>0.8091</c:v>
                </c:pt>
                <c:pt idx="111">
                  <c:v>0.6163</c:v>
                </c:pt>
                <c:pt idx="112">
                  <c:v>0.7389</c:v>
                </c:pt>
                <c:pt idx="113">
                  <c:v>0.7586</c:v>
                </c:pt>
                <c:pt idx="114">
                  <c:v>0.679</c:v>
                </c:pt>
                <c:pt idx="115">
                  <c:v>0.8238</c:v>
                </c:pt>
                <c:pt idx="116">
                  <c:v>0.5941</c:v>
                </c:pt>
                <c:pt idx="117">
                  <c:v>0.7522</c:v>
                </c:pt>
                <c:pt idx="118">
                  <c:v>0.6295</c:v>
                </c:pt>
                <c:pt idx="119">
                  <c:v>0.8116</c:v>
                </c:pt>
                <c:pt idx="120">
                  <c:v>0.7537</c:v>
                </c:pt>
                <c:pt idx="121">
                  <c:v>0.5162</c:v>
                </c:pt>
                <c:pt idx="122">
                  <c:v>0.1819</c:v>
                </c:pt>
                <c:pt idx="123">
                  <c:v>0.9169</c:v>
                </c:pt>
                <c:pt idx="124">
                  <c:v>0.6163</c:v>
                </c:pt>
                <c:pt idx="125">
                  <c:v>0.7139</c:v>
                </c:pt>
                <c:pt idx="126">
                  <c:v>0.5353</c:v>
                </c:pt>
                <c:pt idx="127">
                  <c:v>0.7178</c:v>
                </c:pt>
                <c:pt idx="128">
                  <c:v>0.7588</c:v>
                </c:pt>
                <c:pt idx="129">
                  <c:v>0.6592</c:v>
                </c:pt>
                <c:pt idx="130">
                  <c:v>0.6052</c:v>
                </c:pt>
                <c:pt idx="131">
                  <c:v>0.8255</c:v>
                </c:pt>
                <c:pt idx="132">
                  <c:v>0.5516</c:v>
                </c:pt>
                <c:pt idx="133">
                  <c:v>0.3082</c:v>
                </c:pt>
                <c:pt idx="134">
                  <c:v>0.5996</c:v>
                </c:pt>
                <c:pt idx="135">
                  <c:v>0.7123</c:v>
                </c:pt>
                <c:pt idx="136">
                  <c:v>0.6146</c:v>
                </c:pt>
                <c:pt idx="137">
                  <c:v>0.7436</c:v>
                </c:pt>
                <c:pt idx="138">
                  <c:v>0.7246</c:v>
                </c:pt>
                <c:pt idx="139">
                  <c:v>0.1753</c:v>
                </c:pt>
                <c:pt idx="140">
                  <c:v>0.6084</c:v>
                </c:pt>
                <c:pt idx="141">
                  <c:v>0.9352</c:v>
                </c:pt>
                <c:pt idx="142">
                  <c:v>0.5613</c:v>
                </c:pt>
                <c:pt idx="143">
                  <c:v>0.5505</c:v>
                </c:pt>
                <c:pt idx="144">
                  <c:v>0.9175</c:v>
                </c:pt>
                <c:pt idx="145">
                  <c:v>0.5458</c:v>
                </c:pt>
                <c:pt idx="146">
                  <c:v>0.9379</c:v>
                </c:pt>
                <c:pt idx="147">
                  <c:v>0.9136</c:v>
                </c:pt>
                <c:pt idx="148">
                  <c:v>0.6442</c:v>
                </c:pt>
                <c:pt idx="149">
                  <c:v>0.8729</c:v>
                </c:pt>
                <c:pt idx="150">
                  <c:v>0.5132</c:v>
                </c:pt>
                <c:pt idx="151">
                  <c:v>0.6163</c:v>
                </c:pt>
                <c:pt idx="152">
                  <c:v>0.76</c:v>
                </c:pt>
                <c:pt idx="153">
                  <c:v>0.5365</c:v>
                </c:pt>
                <c:pt idx="154">
                  <c:v>0.6475</c:v>
                </c:pt>
                <c:pt idx="155">
                  <c:v>0.6641</c:v>
                </c:pt>
                <c:pt idx="156">
                  <c:v>0.3676</c:v>
                </c:pt>
                <c:pt idx="157">
                  <c:v>0.6778</c:v>
                </c:pt>
                <c:pt idx="158">
                  <c:v>0.56</c:v>
                </c:pt>
                <c:pt idx="159">
                  <c:v>0.717</c:v>
                </c:pt>
                <c:pt idx="160">
                  <c:v>0.5418</c:v>
                </c:pt>
                <c:pt idx="161">
                  <c:v>0.8685</c:v>
                </c:pt>
                <c:pt idx="162">
                  <c:v>0.7408</c:v>
                </c:pt>
                <c:pt idx="163">
                  <c:v>0.6293</c:v>
                </c:pt>
                <c:pt idx="164">
                  <c:v>0.6196</c:v>
                </c:pt>
                <c:pt idx="165">
                  <c:v>0.7567</c:v>
                </c:pt>
                <c:pt idx="166">
                  <c:v>0.5339</c:v>
                </c:pt>
                <c:pt idx="167">
                  <c:v>0.8569</c:v>
                </c:pt>
                <c:pt idx="168">
                  <c:v>0.8696</c:v>
                </c:pt>
                <c:pt idx="169">
                  <c:v>0.581</c:v>
                </c:pt>
                <c:pt idx="170">
                  <c:v>0.6589</c:v>
                </c:pt>
                <c:pt idx="171">
                  <c:v>0.7926</c:v>
                </c:pt>
                <c:pt idx="172">
                  <c:v>0.6163</c:v>
                </c:pt>
                <c:pt idx="173">
                  <c:v>0.7231</c:v>
                </c:pt>
                <c:pt idx="174">
                  <c:v>0.7119</c:v>
                </c:pt>
                <c:pt idx="175">
                  <c:v>0.7335</c:v>
                </c:pt>
                <c:pt idx="176">
                  <c:v>0.624</c:v>
                </c:pt>
                <c:pt idx="177">
                  <c:v>0.8539</c:v>
                </c:pt>
                <c:pt idx="178">
                  <c:v>0.7381</c:v>
                </c:pt>
                <c:pt idx="179">
                  <c:v>0.6599</c:v>
                </c:pt>
                <c:pt idx="180">
                  <c:v>0.726</c:v>
                </c:pt>
                <c:pt idx="181">
                  <c:v>0.7652</c:v>
                </c:pt>
                <c:pt idx="182">
                  <c:v>0.7321</c:v>
                </c:pt>
                <c:pt idx="183">
                  <c:v>0.6122</c:v>
                </c:pt>
                <c:pt idx="184">
                  <c:v>0.7412</c:v>
                </c:pt>
                <c:pt idx="185">
                  <c:v>0.6163</c:v>
                </c:pt>
                <c:pt idx="186">
                  <c:v>0.8235</c:v>
                </c:pt>
                <c:pt idx="187">
                  <c:v>0.7422</c:v>
                </c:pt>
                <c:pt idx="188">
                  <c:v>0.868</c:v>
                </c:pt>
                <c:pt idx="189">
                  <c:v>0.689</c:v>
                </c:pt>
                <c:pt idx="190">
                  <c:v>0.1753</c:v>
                </c:pt>
                <c:pt idx="191">
                  <c:v>0.6564</c:v>
                </c:pt>
                <c:pt idx="192">
                  <c:v>0.9071</c:v>
                </c:pt>
                <c:pt idx="193">
                  <c:v>0.8559</c:v>
                </c:pt>
                <c:pt idx="194">
                  <c:v>0.7527</c:v>
                </c:pt>
                <c:pt idx="195">
                  <c:v>0.833</c:v>
                </c:pt>
                <c:pt idx="196">
                  <c:v>0.6686</c:v>
                </c:pt>
                <c:pt idx="197">
                  <c:v>0.6163</c:v>
                </c:pt>
                <c:pt idx="198">
                  <c:v>0.1753</c:v>
                </c:pt>
                <c:pt idx="199">
                  <c:v>0.6793</c:v>
                </c:pt>
                <c:pt idx="200">
                  <c:v>0.7757</c:v>
                </c:pt>
                <c:pt idx="201">
                  <c:v>0.5893</c:v>
                </c:pt>
                <c:pt idx="202">
                  <c:v>0.7566</c:v>
                </c:pt>
                <c:pt idx="203">
                  <c:v>0.646</c:v>
                </c:pt>
                <c:pt idx="204">
                  <c:v>0.6296</c:v>
                </c:pt>
                <c:pt idx="205">
                  <c:v>0.7389</c:v>
                </c:pt>
                <c:pt idx="206">
                  <c:v>0.64</c:v>
                </c:pt>
                <c:pt idx="207">
                  <c:v>0.6301</c:v>
                </c:pt>
                <c:pt idx="208">
                  <c:v>0.3082</c:v>
                </c:pt>
                <c:pt idx="209">
                  <c:v>0.8415</c:v>
                </c:pt>
                <c:pt idx="210">
                  <c:v>0.5601</c:v>
                </c:pt>
                <c:pt idx="211">
                  <c:v>0.7159</c:v>
                </c:pt>
                <c:pt idx="212">
                  <c:v>0.5256</c:v>
                </c:pt>
                <c:pt idx="213">
                  <c:v>0.6212</c:v>
                </c:pt>
                <c:pt idx="214">
                  <c:v>0.6649</c:v>
                </c:pt>
                <c:pt idx="215">
                  <c:v>0.8145</c:v>
                </c:pt>
                <c:pt idx="216">
                  <c:v>0.6943</c:v>
                </c:pt>
                <c:pt idx="217">
                  <c:v>0.6293</c:v>
                </c:pt>
                <c:pt idx="218">
                  <c:v>0.6051</c:v>
                </c:pt>
                <c:pt idx="219">
                  <c:v>0.6192</c:v>
                </c:pt>
                <c:pt idx="220">
                  <c:v>0.5328</c:v>
                </c:pt>
                <c:pt idx="221">
                  <c:v>0.6047</c:v>
                </c:pt>
                <c:pt idx="222">
                  <c:v>0.6296</c:v>
                </c:pt>
                <c:pt idx="223">
                  <c:v>0.581</c:v>
                </c:pt>
                <c:pt idx="224">
                  <c:v>0.5147</c:v>
                </c:pt>
                <c:pt idx="225">
                  <c:v>0.8816</c:v>
                </c:pt>
                <c:pt idx="226">
                  <c:v>0.5987</c:v>
                </c:pt>
                <c:pt idx="227">
                  <c:v>0.6962</c:v>
                </c:pt>
                <c:pt idx="228">
                  <c:v>0.566</c:v>
                </c:pt>
                <c:pt idx="229">
                  <c:v>0.6323</c:v>
                </c:pt>
                <c:pt idx="230">
                  <c:v>0.6177</c:v>
                </c:pt>
                <c:pt idx="231">
                  <c:v>0.8051</c:v>
                </c:pt>
                <c:pt idx="232">
                  <c:v>0.5411</c:v>
                </c:pt>
                <c:pt idx="233">
                  <c:v>0.7235</c:v>
                </c:pt>
                <c:pt idx="234">
                  <c:v>0.6718</c:v>
                </c:pt>
                <c:pt idx="235">
                  <c:v>0.7357</c:v>
                </c:pt>
                <c:pt idx="236">
                  <c:v>0.6933</c:v>
                </c:pt>
                <c:pt idx="237">
                  <c:v>0.9242</c:v>
                </c:pt>
                <c:pt idx="238">
                  <c:v>0.6185</c:v>
                </c:pt>
                <c:pt idx="239">
                  <c:v>0.569</c:v>
                </c:pt>
                <c:pt idx="240">
                  <c:v>0.7355</c:v>
                </c:pt>
                <c:pt idx="241">
                  <c:v>0.6875</c:v>
                </c:pt>
                <c:pt idx="242">
                  <c:v>0.6014</c:v>
                </c:pt>
                <c:pt idx="243">
                  <c:v>0.578</c:v>
                </c:pt>
                <c:pt idx="244">
                  <c:v>0.6626</c:v>
                </c:pt>
                <c:pt idx="245">
                  <c:v>0.8952</c:v>
                </c:pt>
                <c:pt idx="246">
                  <c:v>0.9063</c:v>
                </c:pt>
                <c:pt idx="247">
                  <c:v>0.6163</c:v>
                </c:pt>
                <c:pt idx="248">
                  <c:v>0.8067</c:v>
                </c:pt>
                <c:pt idx="249">
                  <c:v>0.5501</c:v>
                </c:pt>
                <c:pt idx="250">
                  <c:v>0.719</c:v>
                </c:pt>
                <c:pt idx="251">
                  <c:v>0.6833</c:v>
                </c:pt>
                <c:pt idx="252">
                  <c:v>0.5814</c:v>
                </c:pt>
                <c:pt idx="253">
                  <c:v>0.5043</c:v>
                </c:pt>
                <c:pt idx="254">
                  <c:v>0.6628</c:v>
                </c:pt>
                <c:pt idx="255">
                  <c:v>0.7185</c:v>
                </c:pt>
                <c:pt idx="256">
                  <c:v>0.6146</c:v>
                </c:pt>
                <c:pt idx="257">
                  <c:v>0.6163</c:v>
                </c:pt>
                <c:pt idx="258">
                  <c:v>0.6875</c:v>
                </c:pt>
                <c:pt idx="259">
                  <c:v>0.6784</c:v>
                </c:pt>
                <c:pt idx="260">
                  <c:v>0.6083</c:v>
                </c:pt>
                <c:pt idx="261">
                  <c:v>0.543</c:v>
                </c:pt>
                <c:pt idx="262">
                  <c:v>0.7642</c:v>
                </c:pt>
                <c:pt idx="263">
                  <c:v>0.6267</c:v>
                </c:pt>
                <c:pt idx="264">
                  <c:v>0.6923</c:v>
                </c:pt>
                <c:pt idx="265">
                  <c:v>0.5823</c:v>
                </c:pt>
                <c:pt idx="266">
                  <c:v>0.7606</c:v>
                </c:pt>
                <c:pt idx="267">
                  <c:v>0.7426</c:v>
                </c:pt>
                <c:pt idx="268">
                  <c:v>0.6937</c:v>
                </c:pt>
                <c:pt idx="269">
                  <c:v>0.8309</c:v>
                </c:pt>
                <c:pt idx="270">
                  <c:v>0.6382</c:v>
                </c:pt>
                <c:pt idx="271">
                  <c:v>0.6855</c:v>
                </c:pt>
                <c:pt idx="272">
                  <c:v>0.597</c:v>
                </c:pt>
                <c:pt idx="273">
                  <c:v>0.4755</c:v>
                </c:pt>
                <c:pt idx="274">
                  <c:v>0.9144</c:v>
                </c:pt>
                <c:pt idx="275">
                  <c:v>0.7622</c:v>
                </c:pt>
                <c:pt idx="276">
                  <c:v>0.654</c:v>
                </c:pt>
                <c:pt idx="277">
                  <c:v>0.7453</c:v>
                </c:pt>
                <c:pt idx="278">
                  <c:v>0.5787</c:v>
                </c:pt>
                <c:pt idx="279">
                  <c:v>0.6473</c:v>
                </c:pt>
                <c:pt idx="280">
                  <c:v>0.9112</c:v>
                </c:pt>
                <c:pt idx="281">
                  <c:v>0.6687</c:v>
                </c:pt>
                <c:pt idx="282">
                  <c:v>0.7219</c:v>
                </c:pt>
                <c:pt idx="283">
                  <c:v>0.7885</c:v>
                </c:pt>
                <c:pt idx="284">
                  <c:v>0.7497</c:v>
                </c:pt>
                <c:pt idx="285">
                  <c:v>0.7514</c:v>
                </c:pt>
                <c:pt idx="286">
                  <c:v>0.6069</c:v>
                </c:pt>
                <c:pt idx="287">
                  <c:v>0.6355</c:v>
                </c:pt>
                <c:pt idx="288">
                  <c:v>0.7707</c:v>
                </c:pt>
                <c:pt idx="289">
                  <c:v>0.6873</c:v>
                </c:pt>
                <c:pt idx="290">
                  <c:v>0.5929</c:v>
                </c:pt>
                <c:pt idx="291">
                  <c:v>0.801</c:v>
                </c:pt>
                <c:pt idx="292">
                  <c:v>0.62</c:v>
                </c:pt>
                <c:pt idx="293">
                  <c:v>0.6733</c:v>
                </c:pt>
                <c:pt idx="294">
                  <c:v>0.7886</c:v>
                </c:pt>
                <c:pt idx="295">
                  <c:v>0.6146</c:v>
                </c:pt>
                <c:pt idx="296">
                  <c:v>0.7813</c:v>
                </c:pt>
                <c:pt idx="297">
                  <c:v>0.3676</c:v>
                </c:pt>
                <c:pt idx="298">
                  <c:v>0.853</c:v>
                </c:pt>
                <c:pt idx="299">
                  <c:v>0.7237</c:v>
                </c:pt>
                <c:pt idx="300">
                  <c:v>0.7966</c:v>
                </c:pt>
                <c:pt idx="301">
                  <c:v>0.8591</c:v>
                </c:pt>
                <c:pt idx="302">
                  <c:v>0.8548</c:v>
                </c:pt>
                <c:pt idx="303">
                  <c:v>0.5678</c:v>
                </c:pt>
                <c:pt idx="304">
                  <c:v>0.6095</c:v>
                </c:pt>
                <c:pt idx="305">
                  <c:v>0</c:v>
                </c:pt>
                <c:pt idx="306">
                  <c:v>0.6579</c:v>
                </c:pt>
                <c:pt idx="307">
                  <c:v>0.7408</c:v>
                </c:pt>
                <c:pt idx="308">
                  <c:v>0.5603</c:v>
                </c:pt>
                <c:pt idx="309">
                  <c:v>0.7054</c:v>
                </c:pt>
                <c:pt idx="310">
                  <c:v>0.6626</c:v>
                </c:pt>
                <c:pt idx="311">
                  <c:v>0.6284</c:v>
                </c:pt>
                <c:pt idx="312">
                  <c:v>0.554</c:v>
                </c:pt>
                <c:pt idx="313">
                  <c:v>0.6566</c:v>
                </c:pt>
                <c:pt idx="314">
                  <c:v>0.8942</c:v>
                </c:pt>
                <c:pt idx="315">
                  <c:v>0.6714</c:v>
                </c:pt>
                <c:pt idx="316">
                  <c:v>0.7288</c:v>
                </c:pt>
                <c:pt idx="317">
                  <c:v>0.6455</c:v>
                </c:pt>
                <c:pt idx="318">
                  <c:v>0.8232</c:v>
                </c:pt>
                <c:pt idx="319">
                  <c:v>0.7496</c:v>
                </c:pt>
                <c:pt idx="320">
                  <c:v>0.5545</c:v>
                </c:pt>
                <c:pt idx="321">
                  <c:v>0.7374</c:v>
                </c:pt>
                <c:pt idx="322">
                  <c:v>0.8445</c:v>
                </c:pt>
                <c:pt idx="323">
                  <c:v>0.8045</c:v>
                </c:pt>
                <c:pt idx="324">
                  <c:v>0.7257</c:v>
                </c:pt>
                <c:pt idx="325">
                  <c:v>0.7246</c:v>
                </c:pt>
                <c:pt idx="326">
                  <c:v>0.6622</c:v>
                </c:pt>
                <c:pt idx="327">
                  <c:v>0.8136</c:v>
                </c:pt>
                <c:pt idx="328">
                  <c:v>0.7435</c:v>
                </c:pt>
                <c:pt idx="329">
                  <c:v>0.8811</c:v>
                </c:pt>
                <c:pt idx="330">
                  <c:v>0.6292</c:v>
                </c:pt>
                <c:pt idx="331">
                  <c:v>0.5406</c:v>
                </c:pt>
                <c:pt idx="332">
                  <c:v>0.7584</c:v>
                </c:pt>
                <c:pt idx="333">
                  <c:v>0.6175</c:v>
                </c:pt>
                <c:pt idx="334">
                  <c:v>0.633</c:v>
                </c:pt>
                <c:pt idx="335">
                  <c:v>0.6652</c:v>
                </c:pt>
                <c:pt idx="336">
                  <c:v>0.7044</c:v>
                </c:pt>
                <c:pt idx="337">
                  <c:v>0.7994</c:v>
                </c:pt>
                <c:pt idx="338">
                  <c:v>0.7194</c:v>
                </c:pt>
                <c:pt idx="339">
                  <c:v>0.586</c:v>
                </c:pt>
                <c:pt idx="340">
                  <c:v>0.7952</c:v>
                </c:pt>
                <c:pt idx="341">
                  <c:v>0.5552</c:v>
                </c:pt>
                <c:pt idx="342">
                  <c:v>0.6543</c:v>
                </c:pt>
                <c:pt idx="343">
                  <c:v>0.595</c:v>
                </c:pt>
                <c:pt idx="344">
                  <c:v>0.6624</c:v>
                </c:pt>
                <c:pt idx="345">
                  <c:v>0.6163</c:v>
                </c:pt>
                <c:pt idx="346">
                  <c:v>0.6618</c:v>
                </c:pt>
                <c:pt idx="347">
                  <c:v>0.5776</c:v>
                </c:pt>
                <c:pt idx="348">
                  <c:v>0.5668</c:v>
                </c:pt>
                <c:pt idx="349">
                  <c:v>0.54</c:v>
                </c:pt>
                <c:pt idx="350">
                  <c:v>0.6357</c:v>
                </c:pt>
                <c:pt idx="351">
                  <c:v>0.7121</c:v>
                </c:pt>
                <c:pt idx="352">
                  <c:v>0.6431</c:v>
                </c:pt>
                <c:pt idx="353">
                  <c:v>0.7462</c:v>
                </c:pt>
                <c:pt idx="354">
                  <c:v>0.7547</c:v>
                </c:pt>
                <c:pt idx="355">
                  <c:v>0.8415</c:v>
                </c:pt>
                <c:pt idx="356">
                  <c:v>0.4332</c:v>
                </c:pt>
                <c:pt idx="357">
                  <c:v>0.5505</c:v>
                </c:pt>
                <c:pt idx="358">
                  <c:v>0.6833</c:v>
                </c:pt>
                <c:pt idx="359">
                  <c:v>0.1753</c:v>
                </c:pt>
                <c:pt idx="360">
                  <c:v>0.7601</c:v>
                </c:pt>
                <c:pt idx="361">
                  <c:v>0.6407</c:v>
                </c:pt>
                <c:pt idx="362">
                  <c:v>0.7162</c:v>
                </c:pt>
                <c:pt idx="363">
                  <c:v>0.5751</c:v>
                </c:pt>
                <c:pt idx="364">
                  <c:v>0.6163</c:v>
                </c:pt>
                <c:pt idx="365">
                  <c:v>0.8712</c:v>
                </c:pt>
                <c:pt idx="366">
                  <c:v>0.6163</c:v>
                </c:pt>
                <c:pt idx="367">
                  <c:v>0.5898</c:v>
                </c:pt>
                <c:pt idx="368">
                  <c:v>0.6163</c:v>
                </c:pt>
                <c:pt idx="369">
                  <c:v>0.5485</c:v>
                </c:pt>
                <c:pt idx="370">
                  <c:v>0.747</c:v>
                </c:pt>
                <c:pt idx="371">
                  <c:v>0.3676</c:v>
                </c:pt>
                <c:pt idx="372">
                  <c:v>0.9081</c:v>
                </c:pt>
                <c:pt idx="373">
                  <c:v>0.5541</c:v>
                </c:pt>
                <c:pt idx="374">
                  <c:v>0.6705</c:v>
                </c:pt>
                <c:pt idx="375">
                  <c:v>0.7535</c:v>
                </c:pt>
                <c:pt idx="376">
                  <c:v>0.9076</c:v>
                </c:pt>
                <c:pt idx="377">
                  <c:v>0.6919</c:v>
                </c:pt>
                <c:pt idx="378">
                  <c:v>0.6658</c:v>
                </c:pt>
                <c:pt idx="379">
                  <c:v>0.5467</c:v>
                </c:pt>
                <c:pt idx="380">
                  <c:v>0.5909</c:v>
                </c:pt>
                <c:pt idx="381">
                  <c:v>0.6549</c:v>
                </c:pt>
                <c:pt idx="382">
                  <c:v>0.6634</c:v>
                </c:pt>
                <c:pt idx="383">
                  <c:v>0.6175</c:v>
                </c:pt>
                <c:pt idx="384">
                  <c:v>0.8047</c:v>
                </c:pt>
                <c:pt idx="385">
                  <c:v>0.5936</c:v>
                </c:pt>
                <c:pt idx="386">
                  <c:v>0.5661</c:v>
                </c:pt>
                <c:pt idx="387">
                  <c:v>0.8982</c:v>
                </c:pt>
                <c:pt idx="388">
                  <c:v>0.7791</c:v>
                </c:pt>
                <c:pt idx="389">
                  <c:v>0.751</c:v>
                </c:pt>
                <c:pt idx="390">
                  <c:v>0.6687</c:v>
                </c:pt>
                <c:pt idx="391">
                  <c:v>0.7415</c:v>
                </c:pt>
                <c:pt idx="392">
                  <c:v>0.6683</c:v>
                </c:pt>
                <c:pt idx="393">
                  <c:v>0.8662</c:v>
                </c:pt>
                <c:pt idx="394">
                  <c:v>0.5918</c:v>
                </c:pt>
                <c:pt idx="395">
                  <c:v>0.7523</c:v>
                </c:pt>
                <c:pt idx="396">
                  <c:v>0.6698</c:v>
                </c:pt>
                <c:pt idx="397">
                  <c:v>0.5398</c:v>
                </c:pt>
                <c:pt idx="398">
                  <c:v>0.6194</c:v>
                </c:pt>
                <c:pt idx="399">
                  <c:v>0.7106</c:v>
                </c:pt>
              </c:numCache>
            </c:numRef>
          </c:yVal>
          <c:smooth val="1"/>
        </c:ser>
        <c:axId val="44893544"/>
        <c:axId val="92154274"/>
      </c:scatterChart>
      <c:valAx>
        <c:axId val="44893544"/>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BST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154274"/>
        <c:crosses val="autoZero"/>
        <c:crossBetween val="midCat"/>
      </c:valAx>
      <c:valAx>
        <c:axId val="921542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niche fit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9354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0</xdr:rowOff>
    </xdr:from>
    <xdr:to>
      <xdr:col>12</xdr:col>
      <xdr:colOff>147600</xdr:colOff>
      <xdr:row>16</xdr:row>
      <xdr:rowOff>21960</xdr:rowOff>
    </xdr:to>
    <xdr:graphicFrame>
      <xdr:nvGraphicFramePr>
        <xdr:cNvPr id="0" name="Chart 1"/>
        <xdr:cNvGraphicFramePr/>
      </xdr:nvGraphicFramePr>
      <xdr:xfrm>
        <a:off x="2446200" y="19044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19</xdr:row>
      <xdr:rowOff>0</xdr:rowOff>
    </xdr:from>
    <xdr:to>
      <xdr:col>12</xdr:col>
      <xdr:colOff>147600</xdr:colOff>
      <xdr:row>34</xdr:row>
      <xdr:rowOff>21960</xdr:rowOff>
    </xdr:to>
    <xdr:graphicFrame>
      <xdr:nvGraphicFramePr>
        <xdr:cNvPr id="1" name="Chart 2"/>
        <xdr:cNvGraphicFramePr/>
      </xdr:nvGraphicFramePr>
      <xdr:xfrm>
        <a:off x="2446200" y="3619440"/>
        <a:ext cx="503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37</xdr:row>
      <xdr:rowOff>0</xdr:rowOff>
    </xdr:from>
    <xdr:to>
      <xdr:col>12</xdr:col>
      <xdr:colOff>147600</xdr:colOff>
      <xdr:row>54</xdr:row>
      <xdr:rowOff>1080</xdr:rowOff>
    </xdr:to>
    <xdr:graphicFrame>
      <xdr:nvGraphicFramePr>
        <xdr:cNvPr id="2" name="Chart 3"/>
        <xdr:cNvGraphicFramePr/>
      </xdr:nvGraphicFramePr>
      <xdr:xfrm>
        <a:off x="2446200" y="7048440"/>
        <a:ext cx="503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3" t="s">
        <v>1</v>
      </c>
      <c r="B3" s="2" t="s">
        <v>2</v>
      </c>
    </row>
    <row r="4" customFormat="false" ht="15" hidden="false" customHeight="false" outlineLevel="0" collapsed="false">
      <c r="A4" s="3" t="s">
        <v>3</v>
      </c>
      <c r="B4" s="2" t="s">
        <v>4</v>
      </c>
    </row>
    <row r="5" customFormat="false" ht="15" hidden="false" customHeight="false" outlineLevel="0" collapsed="false">
      <c r="A5" s="3" t="s">
        <v>5</v>
      </c>
      <c r="B5" s="2" t="s">
        <v>6</v>
      </c>
    </row>
    <row r="6" customFormat="false" ht="23.85" hidden="false" customHeight="false" outlineLevel="0" collapsed="false">
      <c r="A6" s="3" t="s">
        <v>7</v>
      </c>
      <c r="B6" s="2" t="s">
        <v>8</v>
      </c>
    </row>
    <row r="7" customFormat="false" ht="23.85" hidden="false" customHeight="false" outlineLevel="0" collapsed="false">
      <c r="A7" s="3" t="s">
        <v>9</v>
      </c>
      <c r="B7" s="2" t="s">
        <v>10</v>
      </c>
    </row>
    <row r="8" customFormat="false" ht="15" hidden="false" customHeight="false" outlineLevel="0" collapsed="false">
      <c r="A8" s="3" t="s">
        <v>11</v>
      </c>
      <c r="B8" s="2" t="s">
        <v>12</v>
      </c>
    </row>
    <row r="9" customFormat="false" ht="15" hidden="false" customHeight="false" outlineLevel="0" collapsed="false">
      <c r="A9" s="3"/>
      <c r="B9" s="2"/>
    </row>
    <row r="10" customFormat="false" ht="15" hidden="false" customHeight="false" outlineLevel="0" collapsed="false">
      <c r="A10" s="1" t="s">
        <v>13</v>
      </c>
      <c r="B10" s="2" t="s">
        <v>14</v>
      </c>
    </row>
    <row r="11" customFormat="false" ht="15" hidden="false" customHeight="false" outlineLevel="0" collapsed="false">
      <c r="A11" s="3" t="s">
        <v>15</v>
      </c>
      <c r="B11" s="2" t="n">
        <v>1534</v>
      </c>
    </row>
    <row r="12" customFormat="false" ht="15" hidden="false" customHeight="false" outlineLevel="0" collapsed="false">
      <c r="A12" s="3" t="s">
        <v>16</v>
      </c>
      <c r="B12" s="2" t="n">
        <v>419</v>
      </c>
    </row>
    <row r="13" customFormat="false" ht="15" hidden="false" customHeight="false" outlineLevel="0" collapsed="false">
      <c r="A13" s="3" t="s">
        <v>17</v>
      </c>
      <c r="B13" s="2" t="n">
        <v>164</v>
      </c>
    </row>
    <row r="14" customFormat="false" ht="15" hidden="false" customHeight="false" outlineLevel="0" collapsed="false">
      <c r="A14" s="3" t="s">
        <v>18</v>
      </c>
      <c r="B14" s="2" t="n">
        <v>678</v>
      </c>
    </row>
    <row r="15" customFormat="false" ht="15" hidden="false" customHeight="false" outlineLevel="0" collapsed="false">
      <c r="A15" s="3" t="s">
        <v>19</v>
      </c>
      <c r="B15" s="2" t="s">
        <v>20</v>
      </c>
    </row>
    <row r="16" customFormat="false" ht="15" hidden="false" customHeight="false" outlineLevel="0" collapsed="false">
      <c r="A16" s="3"/>
      <c r="B16" s="2"/>
    </row>
    <row r="17" customFormat="false" ht="15" hidden="false" customHeight="false" outlineLevel="0" collapsed="false">
      <c r="A17" s="3" t="s">
        <v>21</v>
      </c>
      <c r="B17" s="2" t="s">
        <v>22</v>
      </c>
    </row>
    <row r="18" customFormat="false" ht="15" hidden="false" customHeight="false" outlineLevel="0" collapsed="false">
      <c r="A18" s="3" t="s">
        <v>23</v>
      </c>
      <c r="B18" s="2" t="n">
        <v>0</v>
      </c>
    </row>
    <row r="19" customFormat="false" ht="15" hidden="false" customHeight="false" outlineLevel="0" collapsed="false">
      <c r="A19" s="3"/>
      <c r="B19" s="2"/>
    </row>
    <row r="20" customFormat="false" ht="15" hidden="false" customHeight="false" outlineLevel="0" collapsed="false">
      <c r="A20" s="1" t="s">
        <v>24</v>
      </c>
      <c r="B20" s="2" t="s">
        <v>25</v>
      </c>
    </row>
    <row r="21" customFormat="false" ht="15" hidden="false" customHeight="false" outlineLevel="0" collapsed="false">
      <c r="A21" s="1" t="s">
        <v>26</v>
      </c>
      <c r="B21"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92"/>
  </cols>
  <sheetData>
    <row r="1" customFormat="false" ht="15" hidden="false" customHeight="false" outlineLevel="0" collapsed="false">
      <c r="A1" s="1" t="s">
        <v>28</v>
      </c>
    </row>
    <row r="2" customFormat="false" ht="15" hidden="false" customHeight="false" outlineLevel="0" collapsed="false">
      <c r="A2" s="4" t="s">
        <v>29</v>
      </c>
      <c r="B2" s="4" t="s">
        <v>30</v>
      </c>
      <c r="C2" s="4" t="s">
        <v>31</v>
      </c>
    </row>
    <row r="3" customFormat="false" ht="15" hidden="false" customHeight="false" outlineLevel="0" collapsed="false">
      <c r="A3" s="3" t="s">
        <v>32</v>
      </c>
      <c r="B3" s="5" t="n">
        <v>0.26</v>
      </c>
      <c r="C3" s="3" t="s">
        <v>33</v>
      </c>
    </row>
    <row r="4" customFormat="false" ht="15" hidden="false" customHeight="false" outlineLevel="0" collapsed="false">
      <c r="A4" s="3" t="s">
        <v>34</v>
      </c>
      <c r="B4" s="5" t="n">
        <v>0.15</v>
      </c>
      <c r="C4" s="3" t="s">
        <v>35</v>
      </c>
    </row>
    <row r="5" customFormat="false" ht="15" hidden="false" customHeight="false" outlineLevel="0" collapsed="false">
      <c r="A5" s="3" t="s">
        <v>36</v>
      </c>
      <c r="B5" s="5" t="n">
        <v>0.16</v>
      </c>
      <c r="C5" s="3" t="s">
        <v>37</v>
      </c>
    </row>
    <row r="6" customFormat="false" ht="15" hidden="false" customHeight="false" outlineLevel="0" collapsed="false">
      <c r="A6" s="3" t="s">
        <v>38</v>
      </c>
      <c r="B6" s="5" t="n">
        <v>0.12</v>
      </c>
      <c r="C6" s="3" t="s">
        <v>39</v>
      </c>
    </row>
    <row r="7" customFormat="false" ht="15" hidden="false" customHeight="false" outlineLevel="0" collapsed="false">
      <c r="A7" s="3" t="s">
        <v>40</v>
      </c>
      <c r="B7" s="5" t="n">
        <v>0.1</v>
      </c>
      <c r="C7" s="3" t="s">
        <v>41</v>
      </c>
    </row>
    <row r="8" customFormat="false" ht="15" hidden="false" customHeight="false" outlineLevel="0" collapsed="false">
      <c r="A8" s="3" t="s">
        <v>42</v>
      </c>
      <c r="B8" s="5" t="n">
        <v>0.11</v>
      </c>
      <c r="C8" s="3" t="s">
        <v>43</v>
      </c>
    </row>
    <row r="9" customFormat="false" ht="15" hidden="false" customHeight="false" outlineLevel="0" collapsed="false">
      <c r="A9" s="3" t="s">
        <v>44</v>
      </c>
      <c r="B9" s="5" t="n">
        <v>0.1</v>
      </c>
      <c r="C9" s="3" t="s">
        <v>45</v>
      </c>
    </row>
    <row r="10" customFormat="false" ht="15" hidden="false" customHeight="false" outlineLevel="0" collapsed="false">
      <c r="A10" s="1" t="s">
        <v>46</v>
      </c>
      <c r="B10" s="6" t="n">
        <f aca="false">SUM(B3:B9)</f>
        <v>1</v>
      </c>
    </row>
    <row r="11" customFormat="false" ht="15" hidden="false" customHeight="false" outlineLevel="0" collapsed="false">
      <c r="A11" s="3" t="s">
        <v>47</v>
      </c>
      <c r="B11" s="5" t="n">
        <v>0.24</v>
      </c>
      <c r="C11" s="3" t="s">
        <v>48</v>
      </c>
    </row>
    <row r="12" customFormat="false" ht="15" hidden="false" customHeight="false" outlineLevel="0" collapsed="false">
      <c r="A12" s="3" t="s">
        <v>49</v>
      </c>
      <c r="B12" s="5" t="n">
        <v>0.04</v>
      </c>
      <c r="C12" s="3" t="s">
        <v>50</v>
      </c>
    </row>
    <row r="13" customFormat="false" ht="15" hidden="false" customHeight="false" outlineLevel="0" collapsed="false">
      <c r="A13" s="1" t="s">
        <v>51</v>
      </c>
      <c r="B13" s="6" t="n">
        <f aca="false">B3+B4+B11+B12+B7+B8+B9</f>
        <v>1</v>
      </c>
    </row>
    <row r="15" customFormat="false" ht="15" hidden="false" customHeight="false" outlineLevel="0" collapsed="false">
      <c r="A15" s="1" t="s">
        <v>52</v>
      </c>
    </row>
    <row r="16" customFormat="false" ht="15" hidden="false" customHeight="false" outlineLevel="0" collapsed="false">
      <c r="A16" s="4" t="s">
        <v>53</v>
      </c>
      <c r="B16" s="4" t="s">
        <v>54</v>
      </c>
      <c r="C16" s="4" t="s">
        <v>55</v>
      </c>
    </row>
    <row r="17" customFormat="false" ht="15" hidden="false" customHeight="false" outlineLevel="0" collapsed="false">
      <c r="A17" s="3" t="s">
        <v>56</v>
      </c>
      <c r="B17" s="5" t="n">
        <v>0.274</v>
      </c>
    </row>
    <row r="18" customFormat="false" ht="15" hidden="false" customHeight="false" outlineLevel="0" collapsed="false">
      <c r="A18" s="3" t="s">
        <v>57</v>
      </c>
      <c r="B18" s="5" t="n">
        <v>0.2085</v>
      </c>
    </row>
    <row r="19" customFormat="false" ht="15" hidden="false" customHeight="false" outlineLevel="0" collapsed="false">
      <c r="A19" s="3" t="s">
        <v>58</v>
      </c>
      <c r="B19" s="5" t="n">
        <v>0.1538</v>
      </c>
    </row>
    <row r="20" customFormat="false" ht="15" hidden="false" customHeight="false" outlineLevel="0" collapsed="false">
      <c r="A20" s="3" t="s">
        <v>59</v>
      </c>
      <c r="B20" s="5" t="n">
        <v>0.0991</v>
      </c>
    </row>
    <row r="21" customFormat="false" ht="15" hidden="false" customHeight="false" outlineLevel="0" collapsed="false">
      <c r="A21" s="3" t="s">
        <v>60</v>
      </c>
      <c r="B21" s="5" t="n">
        <v>0.0555</v>
      </c>
    </row>
    <row r="22" customFormat="false" ht="15" hidden="false" customHeight="false" outlineLevel="0" collapsed="false">
      <c r="A22" s="3" t="s">
        <v>61</v>
      </c>
      <c r="B22" s="5" t="n">
        <v>-0.0102</v>
      </c>
    </row>
    <row r="23" customFormat="false" ht="15" hidden="false" customHeight="false" outlineLevel="0" collapsed="false">
      <c r="A23" s="3" t="s">
        <v>62</v>
      </c>
      <c r="B23" s="5" t="n">
        <v>-99</v>
      </c>
    </row>
    <row r="24" customFormat="false" ht="15" hidden="false" customHeight="false" outlineLevel="0" collapsed="false">
      <c r="C24" s="7" t="s">
        <v>63</v>
      </c>
    </row>
    <row r="26" customFormat="false" ht="15" hidden="false" customHeight="false" outlineLevel="0" collapsed="false">
      <c r="A26" s="1" t="s">
        <v>64</v>
      </c>
    </row>
    <row r="27" customFormat="false" ht="15" hidden="false" customHeight="false" outlineLevel="0" collapsed="false">
      <c r="A27" s="4" t="s">
        <v>29</v>
      </c>
      <c r="B27" s="4" t="s">
        <v>65</v>
      </c>
      <c r="C27" s="4" t="s">
        <v>66</v>
      </c>
    </row>
    <row r="28" customFormat="false" ht="15" hidden="false" customHeight="false" outlineLevel="0" collapsed="false">
      <c r="A28" s="3" t="s">
        <v>67</v>
      </c>
      <c r="B28" s="8" t="n">
        <v>1</v>
      </c>
      <c r="C28" s="3" t="s">
        <v>68</v>
      </c>
    </row>
    <row r="29" customFormat="false" ht="15" hidden="false" customHeight="false" outlineLevel="0" collapsed="false">
      <c r="A29" s="3" t="s">
        <v>69</v>
      </c>
      <c r="B29" s="8" t="n">
        <v>1</v>
      </c>
      <c r="C29" s="3" t="s">
        <v>70</v>
      </c>
    </row>
    <row r="30" customFormat="false" ht="15" hidden="false" customHeight="false" outlineLevel="0" collapsed="false">
      <c r="A30" s="3" t="s">
        <v>71</v>
      </c>
      <c r="B30" s="8" t="n">
        <v>1</v>
      </c>
      <c r="C30" s="3" t="s">
        <v>72</v>
      </c>
    </row>
    <row r="31" customFormat="false" ht="15" hidden="false" customHeight="false" outlineLevel="0" collapsed="false">
      <c r="A31" s="3" t="s">
        <v>73</v>
      </c>
      <c r="B31" s="8" t="n">
        <v>1</v>
      </c>
      <c r="C31" s="3" t="s">
        <v>74</v>
      </c>
    </row>
    <row r="32" customFormat="false" ht="15" hidden="false" customHeight="false" outlineLevel="0" collapsed="false">
      <c r="A32" s="3" t="s">
        <v>75</v>
      </c>
      <c r="B32" s="8" t="n">
        <v>0.5</v>
      </c>
      <c r="C32" s="3" t="s">
        <v>76</v>
      </c>
    </row>
    <row r="33" customFormat="false" ht="15" hidden="false" customHeight="false" outlineLevel="0" collapsed="false">
      <c r="A33" s="3" t="s">
        <v>77</v>
      </c>
      <c r="B33" s="8" t="n">
        <v>2</v>
      </c>
      <c r="C33" s="3" t="s">
        <v>78</v>
      </c>
    </row>
    <row r="34" customFormat="false" ht="15" hidden="false" customHeight="false" outlineLevel="0" collapsed="false">
      <c r="A34" s="3" t="s">
        <v>79</v>
      </c>
      <c r="B34" s="8" t="n">
        <v>0.5</v>
      </c>
      <c r="C34" s="3" t="s">
        <v>80</v>
      </c>
    </row>
    <row r="36" customFormat="false" ht="15" hidden="false" customHeight="false" outlineLevel="0" collapsed="false">
      <c r="A36" s="1" t="s">
        <v>81</v>
      </c>
      <c r="C36" s="7"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10"/>
    <col collapsed="false" customWidth="true" hidden="false" outlineLevel="0" max="4" min="4" style="0" width="13"/>
    <col collapsed="false" customWidth="true" hidden="false" outlineLevel="0" max="5" min="5" style="0" width="30"/>
    <col collapsed="false" customWidth="true" hidden="false" outlineLevel="0" max="6" min="6" style="0" width="9"/>
    <col collapsed="false" customWidth="true" hidden="false" outlineLevel="0" max="7" min="7" style="0" width="15"/>
    <col collapsed="false" customWidth="true" hidden="false" outlineLevel="0" max="8" min="8" style="0" width="10"/>
    <col collapsed="false" customWidth="true" hidden="false" outlineLevel="0" max="9" min="9" style="0" width="15"/>
    <col collapsed="false" customWidth="true" hidden="false" outlineLevel="0" max="10" min="10" style="0" width="16"/>
    <col collapsed="false" customWidth="true" hidden="false" outlineLevel="0" max="11" min="11" style="0" width="60"/>
    <col collapsed="false" customWidth="true" hidden="false" outlineLevel="0" max="13" min="13" style="0" width="16"/>
  </cols>
  <sheetData>
    <row r="1" customFormat="false" ht="15" hidden="false" customHeight="false" outlineLevel="0" collapsed="false">
      <c r="A1" s="4" t="s">
        <v>83</v>
      </c>
      <c r="B1" s="4" t="s">
        <v>84</v>
      </c>
      <c r="C1" s="4" t="s">
        <v>85</v>
      </c>
      <c r="D1" s="4" t="s">
        <v>86</v>
      </c>
      <c r="E1" s="4" t="s">
        <v>87</v>
      </c>
      <c r="F1" s="4" t="s">
        <v>88</v>
      </c>
      <c r="G1" s="4" t="s">
        <v>89</v>
      </c>
      <c r="H1" s="4" t="s">
        <v>90</v>
      </c>
      <c r="I1" s="4" t="s">
        <v>91</v>
      </c>
      <c r="J1" s="4" t="s">
        <v>92</v>
      </c>
      <c r="K1" s="4" t="s">
        <v>93</v>
      </c>
      <c r="M1" s="4" t="s">
        <v>94</v>
      </c>
    </row>
    <row r="2" customFormat="false" ht="15" hidden="false" customHeight="false" outlineLevel="0" collapsed="false">
      <c r="A2" s="3" t="n">
        <v>1</v>
      </c>
      <c r="B2" s="3" t="s">
        <v>95</v>
      </c>
      <c r="C2" s="9" t="n">
        <v>15</v>
      </c>
      <c r="D2" s="3" t="s">
        <v>96</v>
      </c>
      <c r="E2" s="3" t="s">
        <v>97</v>
      </c>
      <c r="F2" s="3" t="n">
        <v>1</v>
      </c>
      <c r="G2" s="3" t="n">
        <v>4</v>
      </c>
      <c r="H2" s="3" t="n">
        <v>423</v>
      </c>
      <c r="I2" s="3" t="n">
        <v>3</v>
      </c>
      <c r="J2" s="3" t="n">
        <v>1</v>
      </c>
      <c r="K2" s="3" t="s">
        <v>98</v>
      </c>
    </row>
    <row r="3" customFormat="false" ht="15" hidden="false" customHeight="false" outlineLevel="0" collapsed="false">
      <c r="A3" s="3" t="n">
        <v>2</v>
      </c>
      <c r="B3" s="3" t="s">
        <v>99</v>
      </c>
      <c r="C3" s="9" t="n">
        <v>20</v>
      </c>
      <c r="D3" s="3" t="s">
        <v>96</v>
      </c>
      <c r="E3" s="3" t="s">
        <v>97</v>
      </c>
      <c r="F3" s="3" t="n">
        <v>1</v>
      </c>
      <c r="G3" s="3" t="n">
        <v>30</v>
      </c>
      <c r="H3" s="3" t="n">
        <v>556</v>
      </c>
      <c r="I3" s="3" t="n">
        <v>7</v>
      </c>
      <c r="J3" s="3" t="n">
        <v>1</v>
      </c>
      <c r="K3" s="3" t="s">
        <v>100</v>
      </c>
      <c r="M3" s="3" t="str">
        <f aca="false">IF(C3&gt;C2,"ok","NOT MONOTONIC")</f>
        <v>ok</v>
      </c>
    </row>
    <row r="4" customFormat="false" ht="15" hidden="false" customHeight="false" outlineLevel="0" collapsed="false">
      <c r="A4" s="3" t="n">
        <v>3</v>
      </c>
      <c r="B4" s="3" t="s">
        <v>101</v>
      </c>
      <c r="C4" s="9" t="n">
        <v>25</v>
      </c>
      <c r="D4" s="3" t="s">
        <v>96</v>
      </c>
      <c r="E4" s="3" t="s">
        <v>97</v>
      </c>
      <c r="F4" s="3" t="n">
        <v>1</v>
      </c>
      <c r="G4" s="3" t="n">
        <v>5</v>
      </c>
      <c r="H4" s="3" t="n">
        <v>705</v>
      </c>
      <c r="I4" s="3" t="n">
        <v>17</v>
      </c>
      <c r="J4" s="3" t="n">
        <v>1</v>
      </c>
      <c r="K4" s="3" t="s">
        <v>102</v>
      </c>
      <c r="M4" s="3" t="str">
        <f aca="false">IF(C4&gt;C3,"ok","NOT MONOTONIC")</f>
        <v>ok</v>
      </c>
    </row>
    <row r="5" customFormat="false" ht="15" hidden="false" customHeight="false" outlineLevel="0" collapsed="false">
      <c r="A5" s="3" t="n">
        <v>4</v>
      </c>
      <c r="B5" s="3" t="s">
        <v>103</v>
      </c>
      <c r="C5" s="9" t="n">
        <v>30</v>
      </c>
      <c r="D5" s="3" t="s">
        <v>96</v>
      </c>
      <c r="E5" s="3" t="s">
        <v>97</v>
      </c>
      <c r="F5" s="3" t="n">
        <v>2</v>
      </c>
      <c r="G5" s="3" t="n">
        <v>5</v>
      </c>
      <c r="H5" s="3" t="n">
        <v>869</v>
      </c>
      <c r="I5" s="3" t="n">
        <v>20</v>
      </c>
      <c r="J5" s="3" t="n">
        <v>1</v>
      </c>
      <c r="K5" s="3" t="s">
        <v>104</v>
      </c>
      <c r="M5" s="3" t="str">
        <f aca="false">IF(C5&gt;C4,"ok","NOT MONOTONIC")</f>
        <v>ok</v>
      </c>
    </row>
    <row r="6" customFormat="false" ht="15" hidden="false" customHeight="false" outlineLevel="0" collapsed="false">
      <c r="A6" s="3" t="n">
        <v>5</v>
      </c>
      <c r="B6" s="3" t="s">
        <v>105</v>
      </c>
      <c r="C6" s="9" t="n">
        <v>32</v>
      </c>
      <c r="D6" s="3" t="s">
        <v>96</v>
      </c>
      <c r="E6" s="3" t="s">
        <v>97</v>
      </c>
      <c r="F6" s="3" t="n">
        <v>1</v>
      </c>
      <c r="G6" s="3" t="n">
        <v>4</v>
      </c>
      <c r="H6" s="3" t="n">
        <v>883</v>
      </c>
      <c r="I6" s="3" t="n">
        <v>38</v>
      </c>
      <c r="J6" s="3" t="n">
        <v>1</v>
      </c>
      <c r="K6" s="3" t="s">
        <v>106</v>
      </c>
      <c r="M6" s="3" t="str">
        <f aca="false">IF(C6&gt;C5,"ok","NOT MONOTONIC")</f>
        <v>ok</v>
      </c>
    </row>
    <row r="7" customFormat="false" ht="15" hidden="false" customHeight="false" outlineLevel="0" collapsed="false">
      <c r="A7" s="3" t="n">
        <v>6</v>
      </c>
      <c r="B7" s="3" t="s">
        <v>107</v>
      </c>
      <c r="C7" s="9" t="n">
        <v>34</v>
      </c>
      <c r="D7" s="3" t="s">
        <v>96</v>
      </c>
      <c r="E7" s="3" t="s">
        <v>97</v>
      </c>
      <c r="F7" s="3" t="n">
        <v>1</v>
      </c>
      <c r="G7" s="3" t="n">
        <v>5</v>
      </c>
      <c r="H7" s="3" t="n">
        <v>964</v>
      </c>
      <c r="I7" s="3" t="n">
        <v>74</v>
      </c>
      <c r="J7" s="3" t="n">
        <v>3</v>
      </c>
      <c r="K7" s="3" t="s">
        <v>108</v>
      </c>
      <c r="M7" s="3" t="str">
        <f aca="false">IF(C7&gt;C6,"ok","NOT MONOTONIC")</f>
        <v>ok</v>
      </c>
    </row>
    <row r="8" customFormat="false" ht="15" hidden="false" customHeight="false" outlineLevel="0" collapsed="false">
      <c r="A8" s="3" t="n">
        <v>7</v>
      </c>
      <c r="B8" s="3" t="s">
        <v>109</v>
      </c>
      <c r="C8" s="9" t="n">
        <v>44</v>
      </c>
      <c r="D8" s="3" t="s">
        <v>96</v>
      </c>
      <c r="E8" s="3" t="s">
        <v>97</v>
      </c>
      <c r="F8" s="3" t="n">
        <v>1</v>
      </c>
      <c r="G8" s="3" t="n">
        <v>6</v>
      </c>
      <c r="H8" s="3" t="n">
        <v>1211</v>
      </c>
      <c r="I8" s="3" t="n">
        <v>90</v>
      </c>
      <c r="J8" s="3" t="n">
        <v>7</v>
      </c>
      <c r="K8" s="3" t="s">
        <v>110</v>
      </c>
      <c r="M8" s="3" t="str">
        <f aca="false">IF(C8&gt;C7,"ok","NOT MONOTONIC")</f>
        <v>ok</v>
      </c>
    </row>
    <row r="9" customFormat="false" ht="15" hidden="false" customHeight="false" outlineLevel="0" collapsed="false">
      <c r="A9" s="3" t="n">
        <v>8</v>
      </c>
      <c r="B9" s="3" t="s">
        <v>111</v>
      </c>
      <c r="C9" s="9" t="n">
        <v>47</v>
      </c>
      <c r="D9" s="3" t="s">
        <v>96</v>
      </c>
      <c r="E9" s="3" t="s">
        <v>97</v>
      </c>
      <c r="F9" s="3" t="n">
        <v>1</v>
      </c>
      <c r="G9" s="3" t="n">
        <v>6</v>
      </c>
      <c r="H9" s="3" t="n">
        <v>1221</v>
      </c>
      <c r="I9" s="3" t="n">
        <v>101</v>
      </c>
      <c r="J9" s="3" t="n">
        <v>7</v>
      </c>
      <c r="K9" s="3" t="s">
        <v>112</v>
      </c>
      <c r="M9" s="3" t="str">
        <f aca="false">IF(C9&gt;C8,"ok","NOT MONOTONIC")</f>
        <v>ok</v>
      </c>
    </row>
    <row r="10" customFormat="false" ht="15" hidden="false" customHeight="false" outlineLevel="0" collapsed="false">
      <c r="A10" s="3" t="n">
        <v>9</v>
      </c>
      <c r="B10" s="3" t="s">
        <v>113</v>
      </c>
      <c r="C10" s="9" t="n">
        <v>56</v>
      </c>
      <c r="D10" s="3" t="s">
        <v>96</v>
      </c>
      <c r="E10" s="3" t="s">
        <v>114</v>
      </c>
      <c r="F10" s="3" t="n">
        <v>0</v>
      </c>
      <c r="G10" s="3" t="n">
        <v>46</v>
      </c>
      <c r="H10" s="3" t="n">
        <v>1257</v>
      </c>
      <c r="I10" s="3" t="n">
        <v>135</v>
      </c>
      <c r="J10" s="3" t="n">
        <v>7</v>
      </c>
      <c r="K10" s="3" t="s">
        <v>115</v>
      </c>
      <c r="M10" s="3" t="str">
        <f aca="false">IF(C10&gt;C9,"ok","NOT MONOTONIC")</f>
        <v>ok</v>
      </c>
    </row>
    <row r="11" customFormat="false" ht="15" hidden="false" customHeight="false" outlineLevel="0" collapsed="false">
      <c r="A11" s="3" t="n">
        <v>10</v>
      </c>
      <c r="B11" s="3" t="s">
        <v>116</v>
      </c>
      <c r="C11" s="9" t="n">
        <v>59</v>
      </c>
      <c r="D11" s="3" t="s">
        <v>96</v>
      </c>
      <c r="E11" s="3" t="s">
        <v>97</v>
      </c>
      <c r="F11" s="3" t="n">
        <v>1</v>
      </c>
      <c r="G11" s="3" t="n">
        <v>6</v>
      </c>
      <c r="H11" s="3" t="n">
        <v>1259</v>
      </c>
      <c r="I11" s="3" t="n">
        <v>135</v>
      </c>
      <c r="J11" s="3" t="n">
        <v>7</v>
      </c>
      <c r="K11" s="3" t="s">
        <v>117</v>
      </c>
      <c r="M11" s="3" t="str">
        <f aca="false">IF(C11&gt;C10,"ok","NOT MONOTONIC")</f>
        <v>ok</v>
      </c>
    </row>
    <row r="12" customFormat="false" ht="15" hidden="false" customHeight="false" outlineLevel="0" collapsed="false">
      <c r="A12" s="3" t="n">
        <v>11</v>
      </c>
      <c r="B12" s="3" t="s">
        <v>118</v>
      </c>
      <c r="C12" s="9" t="n">
        <v>64</v>
      </c>
      <c r="D12" s="3" t="s">
        <v>96</v>
      </c>
      <c r="E12" s="3" t="s">
        <v>97</v>
      </c>
      <c r="F12" s="3" t="n">
        <v>2</v>
      </c>
      <c r="G12" s="3" t="n">
        <v>6</v>
      </c>
      <c r="H12" s="3" t="n">
        <v>1266</v>
      </c>
      <c r="I12" s="3" t="n">
        <v>145</v>
      </c>
      <c r="J12" s="3" t="n">
        <v>8</v>
      </c>
      <c r="K12" s="3" t="s">
        <v>119</v>
      </c>
      <c r="M12" s="3" t="str">
        <f aca="false">IF(C12&gt;C11,"ok","NOT MONOTONIC")</f>
        <v>ok</v>
      </c>
    </row>
    <row r="13" customFormat="false" ht="15" hidden="false" customHeight="false" outlineLevel="0" collapsed="false">
      <c r="A13" s="3" t="n">
        <v>12</v>
      </c>
      <c r="B13" s="3" t="s">
        <v>120</v>
      </c>
      <c r="C13" s="9" t="n">
        <v>68</v>
      </c>
      <c r="D13" s="3" t="s">
        <v>96</v>
      </c>
      <c r="E13" s="3" t="s">
        <v>97</v>
      </c>
      <c r="F13" s="3" t="n">
        <v>1</v>
      </c>
      <c r="G13" s="3" t="n">
        <v>6</v>
      </c>
      <c r="H13" s="3" t="n">
        <v>1272</v>
      </c>
      <c r="I13" s="3" t="n">
        <v>149</v>
      </c>
      <c r="J13" s="3" t="n">
        <v>11</v>
      </c>
      <c r="K13" s="3" t="s">
        <v>121</v>
      </c>
      <c r="M13" s="3" t="str">
        <f aca="false">IF(C13&gt;C12,"ok","NOT MONOTONIC")</f>
        <v>ok</v>
      </c>
    </row>
    <row r="14" customFormat="false" ht="15" hidden="false" customHeight="false" outlineLevel="0" collapsed="false">
      <c r="A14" s="3" t="n">
        <v>13</v>
      </c>
      <c r="B14" s="3" t="s">
        <v>122</v>
      </c>
      <c r="C14" s="9" t="n">
        <v>71</v>
      </c>
      <c r="D14" s="3" t="s">
        <v>96</v>
      </c>
      <c r="E14" s="3" t="s">
        <v>97</v>
      </c>
      <c r="F14" s="3" t="n">
        <v>1</v>
      </c>
      <c r="G14" s="3" t="n">
        <v>6</v>
      </c>
      <c r="H14" s="3" t="n">
        <v>1302</v>
      </c>
      <c r="I14" s="3" t="n">
        <v>157</v>
      </c>
      <c r="J14" s="3" t="n">
        <v>13</v>
      </c>
      <c r="K14" s="3" t="s">
        <v>123</v>
      </c>
      <c r="M14" s="3" t="str">
        <f aca="false">IF(C14&gt;C13,"ok","NOT MONOTONIC")</f>
        <v>ok</v>
      </c>
    </row>
    <row r="15" customFormat="false" ht="15" hidden="false" customHeight="false" outlineLevel="0" collapsed="false">
      <c r="A15" s="3" t="n">
        <v>14</v>
      </c>
      <c r="B15" s="3" t="s">
        <v>124</v>
      </c>
      <c r="C15" s="9" t="n">
        <v>74</v>
      </c>
      <c r="D15" s="3" t="s">
        <v>96</v>
      </c>
      <c r="E15" s="3" t="s">
        <v>97</v>
      </c>
      <c r="F15" s="3" t="n">
        <v>1</v>
      </c>
      <c r="G15" s="3" t="n">
        <v>6</v>
      </c>
      <c r="H15" s="3" t="n">
        <v>1302</v>
      </c>
      <c r="I15" s="3" t="n">
        <v>157</v>
      </c>
      <c r="J15" s="3" t="n">
        <v>13</v>
      </c>
      <c r="K15" s="3" t="s">
        <v>125</v>
      </c>
      <c r="M15" s="3" t="str">
        <f aca="false">IF(C15&gt;C14,"ok","NOT MONOTONIC")</f>
        <v>ok</v>
      </c>
    </row>
    <row r="16" customFormat="false" ht="15" hidden="false" customHeight="false" outlineLevel="0" collapsed="false">
      <c r="A16" s="3" t="n">
        <v>15</v>
      </c>
      <c r="B16" s="3" t="s">
        <v>126</v>
      </c>
      <c r="C16" s="9" t="n">
        <v>76</v>
      </c>
      <c r="D16" s="3" t="s">
        <v>96</v>
      </c>
      <c r="E16" s="3" t="s">
        <v>97</v>
      </c>
      <c r="F16" s="3" t="n">
        <v>2</v>
      </c>
      <c r="G16" s="3" t="n">
        <v>6</v>
      </c>
      <c r="H16" s="3" t="n">
        <v>1302</v>
      </c>
      <c r="I16" s="3" t="n">
        <v>158</v>
      </c>
      <c r="J16" s="3" t="n">
        <v>13</v>
      </c>
      <c r="K16" s="3" t="s">
        <v>127</v>
      </c>
      <c r="M16" s="3" t="str">
        <f aca="false">IF(C16&gt;C15,"ok","NOT MONOTONIC")</f>
        <v>ok</v>
      </c>
    </row>
    <row r="17" customFormat="false" ht="15" hidden="false" customHeight="false" outlineLevel="0" collapsed="false">
      <c r="A17" s="3" t="n">
        <v>16</v>
      </c>
      <c r="B17" s="3" t="s">
        <v>128</v>
      </c>
      <c r="C17" s="9" t="n">
        <v>80</v>
      </c>
      <c r="D17" s="3" t="s">
        <v>96</v>
      </c>
      <c r="E17" s="3" t="s">
        <v>97</v>
      </c>
      <c r="F17" s="3" t="n">
        <v>2</v>
      </c>
      <c r="G17" s="3" t="n">
        <v>12</v>
      </c>
      <c r="H17" s="3" t="n">
        <v>1302</v>
      </c>
      <c r="I17" s="3" t="n">
        <v>164</v>
      </c>
      <c r="J17" s="3" t="n">
        <v>13</v>
      </c>
      <c r="K17" s="3" t="s">
        <v>129</v>
      </c>
      <c r="M17" s="3" t="str">
        <f aca="false">IF(C17&gt;C16,"ok","NOT MONOTONIC")</f>
        <v>ok</v>
      </c>
    </row>
    <row r="18" customFormat="false" ht="15" hidden="false" customHeight="false" outlineLevel="0" collapsed="false">
      <c r="A18" s="3" t="n">
        <v>17</v>
      </c>
      <c r="B18" s="3" t="s">
        <v>130</v>
      </c>
      <c r="C18" s="9" t="n">
        <v>82</v>
      </c>
      <c r="D18" s="3" t="s">
        <v>96</v>
      </c>
      <c r="E18" s="3" t="s">
        <v>97</v>
      </c>
      <c r="F18" s="3" t="n">
        <v>1</v>
      </c>
      <c r="G18" s="3" t="n">
        <v>6</v>
      </c>
      <c r="H18" s="3" t="n">
        <v>1302</v>
      </c>
      <c r="I18" s="3" t="n">
        <v>164</v>
      </c>
      <c r="J18" s="3" t="n">
        <v>13</v>
      </c>
      <c r="K18" s="3" t="s">
        <v>131</v>
      </c>
      <c r="M18" s="3" t="str">
        <f aca="false">IF(C18&gt;C17,"ok","NOT MONOTONIC")</f>
        <v>ok</v>
      </c>
    </row>
    <row r="19" customFormat="false" ht="15" hidden="false" customHeight="false" outlineLevel="0" collapsed="false">
      <c r="A19" s="3" t="n">
        <v>18</v>
      </c>
      <c r="B19" s="3" t="s">
        <v>132</v>
      </c>
      <c r="C19" s="9" t="n">
        <v>84</v>
      </c>
      <c r="D19" s="3" t="s">
        <v>96</v>
      </c>
      <c r="E19" s="3" t="s">
        <v>97</v>
      </c>
      <c r="F19" s="3" t="n">
        <v>1</v>
      </c>
      <c r="G19" s="3" t="n">
        <v>6</v>
      </c>
      <c r="H19" s="3" t="n">
        <v>1308</v>
      </c>
      <c r="I19" s="3" t="n">
        <v>170</v>
      </c>
      <c r="J19" s="3" t="n">
        <v>14</v>
      </c>
      <c r="K19" s="3" t="s">
        <v>133</v>
      </c>
      <c r="M19" s="3" t="str">
        <f aca="false">IF(C19&gt;C18,"ok","NOT MONOTONIC")</f>
        <v>ok</v>
      </c>
    </row>
    <row r="20" customFormat="false" ht="15" hidden="false" customHeight="false" outlineLevel="0" collapsed="false">
      <c r="A20" s="3" t="n">
        <v>19</v>
      </c>
      <c r="B20" s="3" t="s">
        <v>134</v>
      </c>
      <c r="C20" s="9" t="n">
        <v>85</v>
      </c>
      <c r="D20" s="3" t="s">
        <v>96</v>
      </c>
      <c r="E20" s="3" t="s">
        <v>97</v>
      </c>
      <c r="F20" s="3" t="n">
        <v>7</v>
      </c>
      <c r="G20" s="3" t="n">
        <v>36</v>
      </c>
      <c r="H20" s="3" t="n">
        <v>1311</v>
      </c>
      <c r="I20" s="3" t="n">
        <v>174</v>
      </c>
      <c r="J20" s="3" t="n">
        <v>14</v>
      </c>
      <c r="K20" s="3" t="s">
        <v>135</v>
      </c>
      <c r="M20" s="3" t="str">
        <f aca="false">IF(C20&gt;C19,"ok","NOT MONOTONIC")</f>
        <v>ok</v>
      </c>
    </row>
    <row r="22" customFormat="false" ht="15" hidden="false" customHeight="false" outlineLevel="0" collapsed="false">
      <c r="A22" s="7"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
    <col collapsed="false" customWidth="true" hidden="false" outlineLevel="0" max="3" min="3" style="0" width="9"/>
    <col collapsed="false" customWidth="true" hidden="false" outlineLevel="0" max="4" min="4" style="0" width="22"/>
    <col collapsed="false" customWidth="true" hidden="false" outlineLevel="0" max="8" min="5" style="0" width="8"/>
    <col collapsed="false" customWidth="true" hidden="false" outlineLevel="0" max="9" min="9" style="0" width="9"/>
    <col collapsed="false" customWidth="true" hidden="false" outlineLevel="0" max="10" min="10" style="0" width="10"/>
    <col collapsed="false" customWidth="true" hidden="false" outlineLevel="0" max="11" min="11" style="0" width="11"/>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7"/>
    <col collapsed="false" customWidth="true" hidden="false" outlineLevel="0" max="16" min="16" style="0" width="10"/>
    <col collapsed="false" customWidth="true" hidden="false" outlineLevel="0" max="17" min="17" style="0" width="12"/>
    <col collapsed="false" customWidth="true" hidden="false" outlineLevel="0" max="19" min="18" style="0" width="9"/>
    <col collapsed="false" customWidth="true" hidden="false" outlineLevel="0" max="22" min="20" style="0" width="8"/>
    <col collapsed="false" customWidth="true" hidden="false" outlineLevel="0" max="25" min="23" style="0" width="11"/>
    <col collapsed="false" customWidth="true" hidden="false" outlineLevel="0" max="26" min="26" style="0" width="12"/>
    <col collapsed="false" customWidth="true" hidden="false" outlineLevel="0" max="27" min="27" style="0" width="9"/>
  </cols>
  <sheetData>
    <row r="1" customFormat="false" ht="23.85" hidden="false" customHeight="false" outlineLevel="0" collapsed="false">
      <c r="A1" s="10" t="s">
        <v>137</v>
      </c>
      <c r="B1" s="10" t="s">
        <v>138</v>
      </c>
      <c r="C1" s="10" t="s">
        <v>139</v>
      </c>
      <c r="D1" s="10" t="s">
        <v>140</v>
      </c>
      <c r="E1" s="10" t="s">
        <v>141</v>
      </c>
      <c r="F1" s="10" t="s">
        <v>142</v>
      </c>
      <c r="G1" s="10" t="s">
        <v>143</v>
      </c>
      <c r="H1" s="10" t="s">
        <v>144</v>
      </c>
      <c r="I1" s="10" t="s">
        <v>145</v>
      </c>
      <c r="J1" s="10" t="s">
        <v>146</v>
      </c>
      <c r="K1" s="10" t="s">
        <v>147</v>
      </c>
      <c r="L1" s="10" t="s">
        <v>148</v>
      </c>
      <c r="M1" s="10" t="s">
        <v>149</v>
      </c>
      <c r="N1" s="10" t="s">
        <v>150</v>
      </c>
      <c r="O1" s="10" t="s">
        <v>151</v>
      </c>
      <c r="P1" s="10" t="s">
        <v>152</v>
      </c>
      <c r="Q1" s="10" t="s">
        <v>153</v>
      </c>
      <c r="R1" s="10" t="s">
        <v>154</v>
      </c>
      <c r="S1" s="10" t="s">
        <v>155</v>
      </c>
      <c r="T1" s="10" t="s">
        <v>156</v>
      </c>
      <c r="U1" s="10" t="s">
        <v>157</v>
      </c>
      <c r="V1" s="10" t="s">
        <v>158</v>
      </c>
      <c r="W1" s="10" t="s">
        <v>159</v>
      </c>
      <c r="X1" s="10" t="s">
        <v>160</v>
      </c>
      <c r="Y1" s="10" t="s">
        <v>161</v>
      </c>
      <c r="Z1" s="10" t="s">
        <v>162</v>
      </c>
      <c r="AA1" s="10" t="s">
        <v>163</v>
      </c>
    </row>
    <row r="2" customFormat="false" ht="15" hidden="false" customHeight="false" outlineLevel="0" collapsed="false">
      <c r="A2" s="3" t="s">
        <v>164</v>
      </c>
      <c r="B2" s="3" t="n">
        <v>495</v>
      </c>
      <c r="C2" s="11" t="str">
        <f aca="false">IF(M2&gt;=Assumptions!$B$17,"S+",IF(M2&gt;=Assumptions!$B$18,"S",IF(M2&gt;=Assumptions!$B$19,"A",IF(M2&gt;=Assumptions!$B$20,"B",IF(M2&gt;=Assumptions!$B$21,"C",IF(M2&gt;=Assumptions!$B$22,"D","F"))))))</f>
        <v>S+</v>
      </c>
      <c r="D2" s="3" t="s">
        <v>165</v>
      </c>
      <c r="E2" s="3" t="n">
        <v>7</v>
      </c>
      <c r="F2" s="12" t="n">
        <v>0.8394</v>
      </c>
      <c r="G2" s="12" t="n">
        <v>0.76</v>
      </c>
      <c r="H2" s="12" t="n">
        <v>0.5476</v>
      </c>
      <c r="I2" s="12" t="n">
        <v>0.7291</v>
      </c>
      <c r="J2" s="12" t="n">
        <v>0.4417</v>
      </c>
      <c r="K2" s="12" t="n">
        <v>0.6938</v>
      </c>
      <c r="L2" s="3" t="n">
        <v>5</v>
      </c>
      <c r="M2" s="12" t="n">
        <f aca="false">Z2-W2</f>
        <v>0.354956</v>
      </c>
      <c r="N2" s="12" t="n">
        <f aca="false">IFERROR((Z2-J2)/L2,"")</f>
        <v>0.0504312</v>
      </c>
      <c r="O2" s="3" t="n">
        <v>13</v>
      </c>
      <c r="P2" s="13" t="b">
        <f aca="false">FALSE()</f>
        <v>0</v>
      </c>
      <c r="Q2" s="3" t="s">
        <v>166</v>
      </c>
      <c r="R2" s="12" t="n">
        <v>0.7194</v>
      </c>
      <c r="S2" s="12" t="n">
        <v>0.6414</v>
      </c>
      <c r="T2" s="3" t="n">
        <v>0.068</v>
      </c>
      <c r="U2" s="12" t="n">
        <v>0.4556</v>
      </c>
      <c r="V2" s="12" t="n">
        <v>0.5126</v>
      </c>
      <c r="W2" s="12" t="n">
        <v>0.3389</v>
      </c>
      <c r="X2" s="3" t="n">
        <v>0.9744</v>
      </c>
      <c r="Y2" s="3" t="n">
        <v>0.7208</v>
      </c>
      <c r="Z2" s="14" t="n">
        <f aca="false">Assumptions!$B$3*R2+Assumptions!$B$4*S2+IF(AA2=1,Assumptions!$B$11,Assumptions!$B$5)*X2+IF(AA2=1,Assumptions!$B$12,Assumptions!$B$6)*T2+Assumptions!$B$7*U2+Assumptions!$B$8*V2+Assumptions!$B$9*Y2</f>
        <v>0.693856</v>
      </c>
      <c r="AA2" s="3" t="n">
        <v>1</v>
      </c>
    </row>
    <row r="3" customFormat="false" ht="15" hidden="false" customHeight="false" outlineLevel="0" collapsed="false">
      <c r="A3" s="3" t="s">
        <v>167</v>
      </c>
      <c r="B3" s="3" t="n">
        <v>595</v>
      </c>
      <c r="C3" s="11" t="str">
        <f aca="false">IF(M3&gt;=Assumptions!$B$17,"S+",IF(M3&gt;=Assumptions!$B$18,"S",IF(M3&gt;=Assumptions!$B$19,"A",IF(M3&gt;=Assumptions!$B$20,"B",IF(M3&gt;=Assumptions!$B$21,"C",IF(M3&gt;=Assumptions!$B$22,"D","F"))))))</f>
        <v>S+</v>
      </c>
      <c r="D3" s="3" t="s">
        <v>165</v>
      </c>
      <c r="E3" s="3" t="n">
        <v>7</v>
      </c>
      <c r="F3" s="12" t="n">
        <v>0.7418</v>
      </c>
      <c r="G3" s="12" t="n">
        <v>0.76</v>
      </c>
      <c r="H3" s="12" t="n">
        <v>0.4077</v>
      </c>
      <c r="I3" s="12" t="n">
        <v>0.6668</v>
      </c>
      <c r="J3" s="12" t="n">
        <v>0.4052</v>
      </c>
      <c r="K3" s="12" t="n">
        <v>0.6593</v>
      </c>
      <c r="L3" s="3" t="n">
        <v>4</v>
      </c>
      <c r="M3" s="12" t="n">
        <f aca="false">Z3-W3</f>
        <v>0.32046</v>
      </c>
      <c r="N3" s="12" t="n">
        <f aca="false">IFERROR((Z3-J3)/L3,"")</f>
        <v>0.06354</v>
      </c>
      <c r="O3" s="3" t="n">
        <v>13</v>
      </c>
      <c r="P3" s="13" t="b">
        <f aca="false">FALSE()</f>
        <v>0</v>
      </c>
      <c r="Q3" s="3" t="s">
        <v>166</v>
      </c>
      <c r="R3" s="12" t="n">
        <v>0.7507</v>
      </c>
      <c r="S3" s="12" t="n">
        <v>0.6622</v>
      </c>
      <c r="T3" s="3" t="n">
        <v>0.2661</v>
      </c>
      <c r="U3" s="12" t="n">
        <v>0.4497</v>
      </c>
      <c r="V3" s="12" t="n">
        <v>0.4322</v>
      </c>
      <c r="W3" s="12" t="n">
        <v>0.3389</v>
      </c>
      <c r="X3" s="3" t="n">
        <v>0.8098</v>
      </c>
      <c r="Y3" s="3" t="n">
        <v>0.6734</v>
      </c>
      <c r="Z3" s="14" t="n">
        <f aca="false">Assumptions!$B$3*R3+Assumptions!$B$4*S3+IF(AA3=1,Assumptions!$B$11,Assumptions!$B$5)*X3+IF(AA3=1,Assumptions!$B$12,Assumptions!$B$6)*T3+Assumptions!$B$7*U3+Assumptions!$B$8*V3+Assumptions!$B$9*Y3</f>
        <v>0.65936</v>
      </c>
      <c r="AA3" s="3" t="n">
        <v>1</v>
      </c>
    </row>
    <row r="4" customFormat="false" ht="15" hidden="false" customHeight="false" outlineLevel="0" collapsed="false">
      <c r="A4" s="3" t="s">
        <v>168</v>
      </c>
      <c r="B4" s="3" t="n">
        <v>680</v>
      </c>
      <c r="C4" s="11" t="str">
        <f aca="false">IF(M4&gt;=Assumptions!$B$17,"S+",IF(M4&gt;=Assumptions!$B$18,"S",IF(M4&gt;=Assumptions!$B$19,"A",IF(M4&gt;=Assumptions!$B$20,"B",IF(M4&gt;=Assumptions!$B$21,"C",IF(M4&gt;=Assumptions!$B$22,"D","F"))))))</f>
        <v>S+</v>
      </c>
      <c r="D4" s="3" t="s">
        <v>169</v>
      </c>
      <c r="E4" s="3" t="n">
        <v>13</v>
      </c>
      <c r="F4" s="12" t="n">
        <v>0.7714</v>
      </c>
      <c r="G4" s="12" t="n">
        <v>0.85</v>
      </c>
      <c r="H4" s="12" t="n">
        <v>0.5188</v>
      </c>
      <c r="I4" s="12" t="n">
        <v>0.768</v>
      </c>
      <c r="J4" s="12" t="n">
        <v>0.5428</v>
      </c>
      <c r="K4" s="12" t="n">
        <v>0.7227</v>
      </c>
      <c r="L4" s="3" t="n">
        <v>5</v>
      </c>
      <c r="M4" s="12" t="n">
        <f aca="false">Z4-W4</f>
        <v>0.295434</v>
      </c>
      <c r="N4" s="12" t="n">
        <f aca="false">IFERROR((Z4-J4)/L4,"")</f>
        <v>0.0359868</v>
      </c>
      <c r="O4" s="3" t="n">
        <v>7</v>
      </c>
      <c r="P4" s="13" t="b">
        <f aca="false">TRUE()</f>
        <v>1</v>
      </c>
      <c r="Q4" s="3" t="s">
        <v>166</v>
      </c>
      <c r="R4" s="12" t="n">
        <v>0.8231</v>
      </c>
      <c r="S4" s="12" t="n">
        <v>0.7044</v>
      </c>
      <c r="T4" s="3" t="n">
        <v>0.123</v>
      </c>
      <c r="U4" s="12" t="n">
        <v>0.5385</v>
      </c>
      <c r="V4" s="12" t="n">
        <v>0.4622</v>
      </c>
      <c r="W4" s="12" t="n">
        <v>0.4273</v>
      </c>
      <c r="X4" s="3" t="n">
        <v>0.9074</v>
      </c>
      <c r="Y4" s="3" t="n">
        <v>0.7568</v>
      </c>
      <c r="Z4" s="14" t="n">
        <f aca="false">Assumptions!$B$3*R4+Assumptions!$B$4*S4+IF(AA4=1,Assumptions!$B$11,Assumptions!$B$5)*X4+IF(AA4=1,Assumptions!$B$12,Assumptions!$B$6)*T4+Assumptions!$B$7*U4+Assumptions!$B$8*V4+Assumptions!$B$9*Y4</f>
        <v>0.722734</v>
      </c>
      <c r="AA4" s="3" t="n">
        <v>1</v>
      </c>
    </row>
    <row r="5" customFormat="false" ht="15" hidden="false" customHeight="false" outlineLevel="0" collapsed="false">
      <c r="A5" s="3" t="s">
        <v>170</v>
      </c>
      <c r="B5" s="3" t="n">
        <v>500</v>
      </c>
      <c r="C5" s="11" t="str">
        <f aca="false">IF(M5&gt;=Assumptions!$B$17,"S+",IF(M5&gt;=Assumptions!$B$18,"S",IF(M5&gt;=Assumptions!$B$19,"A",IF(M5&gt;=Assumptions!$B$20,"B",IF(M5&gt;=Assumptions!$B$21,"C",IF(M5&gt;=Assumptions!$B$22,"D","F"))))))</f>
        <v>S+</v>
      </c>
      <c r="D5" s="3" t="s">
        <v>171</v>
      </c>
      <c r="E5" s="3" t="n">
        <v>6</v>
      </c>
      <c r="F5" s="12" t="n">
        <v>0.83</v>
      </c>
      <c r="G5" s="12" t="n">
        <v>0.6</v>
      </c>
      <c r="H5" s="12" t="n">
        <v>0.75</v>
      </c>
      <c r="I5" s="12" t="n">
        <v>0.6714</v>
      </c>
      <c r="J5" s="12" t="n">
        <v>0.3731</v>
      </c>
      <c r="K5" s="12" t="n">
        <v>0.7195</v>
      </c>
      <c r="L5" s="3" t="n">
        <v>4</v>
      </c>
      <c r="M5" s="12" t="n">
        <f aca="false">Z5-W5</f>
        <v>0.295122</v>
      </c>
      <c r="N5" s="12" t="n">
        <f aca="false">IFERROR((Z5-J5)/L5,"")</f>
        <v>0.0866055</v>
      </c>
      <c r="O5" s="3" t="n">
        <v>14</v>
      </c>
      <c r="P5" s="13" t="b">
        <f aca="false">FALSE()</f>
        <v>0</v>
      </c>
      <c r="Q5" s="3" t="s">
        <v>166</v>
      </c>
      <c r="R5" s="12" t="n">
        <v>0.7916</v>
      </c>
      <c r="S5" s="12" t="n">
        <v>0.6978</v>
      </c>
      <c r="T5" s="3" t="n">
        <v>0.0455</v>
      </c>
      <c r="U5" s="12" t="n">
        <v>0.5604</v>
      </c>
      <c r="V5" s="12" t="n">
        <v>0.5174</v>
      </c>
      <c r="W5" s="12" t="n">
        <v>0.4244</v>
      </c>
      <c r="X5" s="3" t="n">
        <v>0.9623</v>
      </c>
      <c r="Y5" s="3" t="n">
        <v>0.6331</v>
      </c>
      <c r="Z5" s="14" t="n">
        <f aca="false">Assumptions!$B$3*R5+Assumptions!$B$4*S5+IF(AA5=1,Assumptions!$B$11,Assumptions!$B$5)*X5+IF(AA5=1,Assumptions!$B$12,Assumptions!$B$6)*T5+Assumptions!$B$7*U5+Assumptions!$B$8*V5+Assumptions!$B$9*Y5</f>
        <v>0.719522</v>
      </c>
      <c r="AA5" s="3" t="n">
        <v>1</v>
      </c>
    </row>
    <row r="6" customFormat="false" ht="15" hidden="false" customHeight="false" outlineLevel="0" collapsed="false">
      <c r="A6" s="3" t="s">
        <v>172</v>
      </c>
      <c r="B6" s="3" t="n">
        <v>580</v>
      </c>
      <c r="C6" s="11" t="str">
        <f aca="false">IF(M6&gt;=Assumptions!$B$17,"S+",IF(M6&gt;=Assumptions!$B$18,"S",IF(M6&gt;=Assumptions!$B$19,"A",IF(M6&gt;=Assumptions!$B$20,"B",IF(M6&gt;=Assumptions!$B$21,"C",IF(M6&gt;=Assumptions!$B$22,"D","F"))))))</f>
        <v>S+</v>
      </c>
      <c r="D6" s="3" t="s">
        <v>173</v>
      </c>
      <c r="E6" s="3" t="n">
        <v>13</v>
      </c>
      <c r="F6" s="12" t="n">
        <v>0.8758</v>
      </c>
      <c r="G6" s="12" t="n">
        <v>0.6</v>
      </c>
      <c r="H6" s="12" t="n">
        <v>0.75</v>
      </c>
      <c r="I6" s="12" t="n">
        <v>0.6796</v>
      </c>
      <c r="J6" s="12" t="n">
        <v>0.4075</v>
      </c>
      <c r="K6" s="12" t="n">
        <v>0.7182</v>
      </c>
      <c r="L6" s="3" t="n">
        <v>4</v>
      </c>
      <c r="M6" s="12" t="n">
        <f aca="false">Z6-W6</f>
        <v>0.29132</v>
      </c>
      <c r="N6" s="12" t="n">
        <f aca="false">IFERROR((Z6-J6)/L6,"")</f>
        <v>0.07768</v>
      </c>
      <c r="O6" s="3" t="n">
        <v>7</v>
      </c>
      <c r="P6" s="13" t="b">
        <f aca="false">TRUE()</f>
        <v>1</v>
      </c>
      <c r="Q6" s="3" t="s">
        <v>166</v>
      </c>
      <c r="R6" s="12" t="n">
        <v>0.7758</v>
      </c>
      <c r="S6" s="12" t="n">
        <v>0.7231</v>
      </c>
      <c r="T6" s="3" t="n">
        <v>0.254</v>
      </c>
      <c r="U6" s="12" t="n">
        <v>0.5385</v>
      </c>
      <c r="V6" s="12" t="n">
        <v>0.4923</v>
      </c>
      <c r="W6" s="12" t="n">
        <v>0.4269</v>
      </c>
      <c r="X6" s="3" t="n">
        <v>0.9246</v>
      </c>
      <c r="Y6" s="3" t="n">
        <v>0.6798</v>
      </c>
      <c r="Z6" s="14" t="n">
        <f aca="false">Assumptions!$B$3*R6+Assumptions!$B$4*S6+IF(AA6=1,Assumptions!$B$11,Assumptions!$B$5)*X6+IF(AA6=1,Assumptions!$B$12,Assumptions!$B$6)*T6+Assumptions!$B$7*U6+Assumptions!$B$8*V6+Assumptions!$B$9*Y6</f>
        <v>0.71822</v>
      </c>
      <c r="AA6" s="3" t="n">
        <v>1</v>
      </c>
    </row>
    <row r="7" customFormat="false" ht="15" hidden="false" customHeight="false" outlineLevel="0" collapsed="false">
      <c r="A7" s="3" t="s">
        <v>174</v>
      </c>
      <c r="B7" s="3" t="n">
        <v>680</v>
      </c>
      <c r="C7" s="11" t="str">
        <f aca="false">IF(M7&gt;=Assumptions!$B$17,"S+",IF(M7&gt;=Assumptions!$B$18,"S",IF(M7&gt;=Assumptions!$B$19,"A",IF(M7&gt;=Assumptions!$B$20,"B",IF(M7&gt;=Assumptions!$B$21,"C",IF(M7&gt;=Assumptions!$B$22,"D","F"))))))</f>
        <v>S+</v>
      </c>
      <c r="D7" s="3" t="s">
        <v>175</v>
      </c>
      <c r="E7" s="3" t="n">
        <v>13</v>
      </c>
      <c r="F7" s="12" t="n">
        <v>0.7434</v>
      </c>
      <c r="G7" s="12" t="n">
        <v>0.6</v>
      </c>
      <c r="H7" s="12" t="n">
        <v>0.75</v>
      </c>
      <c r="I7" s="12" t="n">
        <v>0.6515</v>
      </c>
      <c r="J7" s="12" t="n">
        <v>0.4092</v>
      </c>
      <c r="K7" s="12" t="n">
        <v>0.6958</v>
      </c>
      <c r="L7" s="3" t="n">
        <v>4</v>
      </c>
      <c r="M7" s="12" t="n">
        <f aca="false">Z7-W7</f>
        <v>0.284623</v>
      </c>
      <c r="N7" s="12" t="n">
        <f aca="false">IFERROR((Z7-J7)/L7,"")</f>
        <v>0.07165575</v>
      </c>
      <c r="O7" s="3" t="n">
        <v>7</v>
      </c>
      <c r="P7" s="13" t="b">
        <f aca="false">TRUE()</f>
        <v>1</v>
      </c>
      <c r="Q7" s="3" t="s">
        <v>166</v>
      </c>
      <c r="R7" s="12" t="n">
        <v>0.9686</v>
      </c>
      <c r="S7" s="12" t="n">
        <v>0.6095</v>
      </c>
      <c r="T7" s="3" t="n">
        <v>0.3016</v>
      </c>
      <c r="U7" s="12" t="n">
        <v>0.6923</v>
      </c>
      <c r="V7" s="12" t="n">
        <v>0.498</v>
      </c>
      <c r="W7" s="12" t="n">
        <v>0.4112</v>
      </c>
      <c r="X7" s="3" t="n">
        <v>0.795</v>
      </c>
      <c r="Y7" s="3" t="n">
        <v>0.6516</v>
      </c>
      <c r="Z7" s="14" t="n">
        <f aca="false">Assumptions!$B$3*R7+Assumptions!$B$4*S7+IF(AA7=1,Assumptions!$B$11,Assumptions!$B$5)*X7+IF(AA7=1,Assumptions!$B$12,Assumptions!$B$6)*T7+Assumptions!$B$7*U7+Assumptions!$B$8*V7+Assumptions!$B$9*Y7</f>
        <v>0.695823</v>
      </c>
      <c r="AA7" s="3" t="n">
        <v>0</v>
      </c>
    </row>
    <row r="8" customFormat="false" ht="15" hidden="false" customHeight="false" outlineLevel="0" collapsed="false">
      <c r="A8" s="3" t="s">
        <v>176</v>
      </c>
      <c r="B8" s="3" t="n">
        <v>580</v>
      </c>
      <c r="C8" s="11" t="str">
        <f aca="false">IF(M8&gt;=Assumptions!$B$17,"S+",IF(M8&gt;=Assumptions!$B$18,"S",IF(M8&gt;=Assumptions!$B$19,"A",IF(M8&gt;=Assumptions!$B$20,"B",IF(M8&gt;=Assumptions!$B$21,"C",IF(M8&gt;=Assumptions!$B$22,"D","F"))))))</f>
        <v>S+</v>
      </c>
      <c r="D8" s="3" t="s">
        <v>173</v>
      </c>
      <c r="E8" s="3" t="n">
        <v>13</v>
      </c>
      <c r="F8" s="12" t="n">
        <v>0.596</v>
      </c>
      <c r="G8" s="12" t="n">
        <v>0.6</v>
      </c>
      <c r="H8" s="12" t="n">
        <v>0.75</v>
      </c>
      <c r="I8" s="12" t="n">
        <v>0.6293</v>
      </c>
      <c r="J8" s="12" t="n">
        <v>0.3921</v>
      </c>
      <c r="K8" s="12" t="n">
        <v>0.7106</v>
      </c>
      <c r="L8" s="3" t="n">
        <v>4</v>
      </c>
      <c r="M8" s="12" t="n">
        <f aca="false">Z8-W8</f>
        <v>0.283676</v>
      </c>
      <c r="N8" s="12" t="n">
        <f aca="false">IFERROR((Z8-J8)/L8,"")</f>
        <v>0.079619</v>
      </c>
      <c r="O8" s="3" t="n">
        <v>7</v>
      </c>
      <c r="P8" s="13" t="b">
        <f aca="false">TRUE()</f>
        <v>1</v>
      </c>
      <c r="Q8" s="3" t="s">
        <v>166</v>
      </c>
      <c r="R8" s="12" t="n">
        <v>0.7842</v>
      </c>
      <c r="S8" s="12" t="n">
        <v>0.6569</v>
      </c>
      <c r="T8" s="3" t="n">
        <v>0.1429</v>
      </c>
      <c r="U8" s="12" t="n">
        <v>0.6154</v>
      </c>
      <c r="V8" s="12" t="n">
        <v>0.4923</v>
      </c>
      <c r="W8" s="12" t="n">
        <v>0.4269</v>
      </c>
      <c r="X8" s="3" t="n">
        <v>0.9325</v>
      </c>
      <c r="Y8" s="3" t="n">
        <v>0.6294</v>
      </c>
      <c r="Z8" s="14" t="n">
        <f aca="false">Assumptions!$B$3*R8+Assumptions!$B$4*S8+IF(AA8=1,Assumptions!$B$11,Assumptions!$B$5)*X8+IF(AA8=1,Assumptions!$B$12,Assumptions!$B$6)*T8+Assumptions!$B$7*U8+Assumptions!$B$8*V8+Assumptions!$B$9*Y8</f>
        <v>0.710576</v>
      </c>
      <c r="AA8" s="3" t="n">
        <v>1</v>
      </c>
    </row>
    <row r="9" customFormat="false" ht="15" hidden="false" customHeight="false" outlineLevel="0" collapsed="false">
      <c r="A9" s="3" t="s">
        <v>177</v>
      </c>
      <c r="B9" s="3" t="n">
        <v>580</v>
      </c>
      <c r="C9" s="11" t="str">
        <f aca="false">IF(M9&gt;=Assumptions!$B$17,"S+",IF(M9&gt;=Assumptions!$B$18,"S",IF(M9&gt;=Assumptions!$B$19,"A",IF(M9&gt;=Assumptions!$B$20,"B",IF(M9&gt;=Assumptions!$B$21,"C",IF(M9&gt;=Assumptions!$B$22,"D","F"))))))</f>
        <v>S+</v>
      </c>
      <c r="D9" s="3" t="s">
        <v>178</v>
      </c>
      <c r="E9" s="3" t="n">
        <v>7</v>
      </c>
      <c r="F9" s="12" t="n">
        <v>0.7431</v>
      </c>
      <c r="G9" s="12" t="n">
        <v>0.6</v>
      </c>
      <c r="H9" s="12" t="n">
        <v>0.75</v>
      </c>
      <c r="I9" s="12" t="n">
        <v>0.6586</v>
      </c>
      <c r="J9" s="12" t="n">
        <v>0.3646</v>
      </c>
      <c r="K9" s="12" t="n">
        <v>0.6229</v>
      </c>
      <c r="L9" s="3" t="n">
        <v>4</v>
      </c>
      <c r="M9" s="12" t="n">
        <f aca="false">Z9-W9</f>
        <v>0.28019</v>
      </c>
      <c r="N9" s="12" t="n">
        <f aca="false">IFERROR((Z9-J9)/L9,"")</f>
        <v>0.0645725000000001</v>
      </c>
      <c r="O9" s="3" t="n">
        <v>13</v>
      </c>
      <c r="P9" s="13" t="b">
        <f aca="false">FALSE()</f>
        <v>0</v>
      </c>
      <c r="Q9" s="3" t="s">
        <v>166</v>
      </c>
      <c r="R9" s="12" t="n">
        <v>0.9375</v>
      </c>
      <c r="S9" s="12" t="n">
        <v>0.4691</v>
      </c>
      <c r="T9" s="3" t="n">
        <v>0.2661</v>
      </c>
      <c r="U9" s="12" t="n">
        <v>0.5326</v>
      </c>
      <c r="V9" s="12" t="n">
        <v>0.3755</v>
      </c>
      <c r="W9" s="12" t="n">
        <v>0.3427</v>
      </c>
      <c r="X9" s="3" t="n">
        <v>0.7273</v>
      </c>
      <c r="Y9" s="3" t="n">
        <v>0.6591</v>
      </c>
      <c r="Z9" s="14" t="n">
        <f aca="false">Assumptions!$B$3*R9+Assumptions!$B$4*S9+IF(AA9=1,Assumptions!$B$11,Assumptions!$B$5)*X9+IF(AA9=1,Assumptions!$B$12,Assumptions!$B$6)*T9+Assumptions!$B$7*U9+Assumptions!$B$8*V9+Assumptions!$B$9*Y9</f>
        <v>0.62289</v>
      </c>
      <c r="AA9" s="3" t="n">
        <v>0</v>
      </c>
    </row>
    <row r="10" customFormat="false" ht="15" hidden="false" customHeight="false" outlineLevel="0" collapsed="false">
      <c r="A10" s="3" t="s">
        <v>179</v>
      </c>
      <c r="B10" s="3" t="n">
        <v>545</v>
      </c>
      <c r="C10" s="11" t="str">
        <f aca="false">IF(M10&gt;=Assumptions!$B$17,"S+",IF(M10&gt;=Assumptions!$B$18,"S",IF(M10&gt;=Assumptions!$B$19,"A",IF(M10&gt;=Assumptions!$B$20,"B",IF(M10&gt;=Assumptions!$B$21,"C",IF(M10&gt;=Assumptions!$B$22,"D","F"))))))</f>
        <v>S+</v>
      </c>
      <c r="D10" s="3" t="s">
        <v>180</v>
      </c>
      <c r="E10" s="3" t="n">
        <v>7</v>
      </c>
      <c r="F10" s="12" t="n">
        <v>0.9481</v>
      </c>
      <c r="G10" s="12" t="n">
        <v>1</v>
      </c>
      <c r="H10" s="12" t="n">
        <v>0.5278</v>
      </c>
      <c r="I10" s="12" t="n">
        <v>0.8952</v>
      </c>
      <c r="J10" s="12" t="n">
        <v>0.5229</v>
      </c>
      <c r="K10" s="12" t="n">
        <v>0.7783</v>
      </c>
      <c r="L10" s="3" t="n">
        <v>6</v>
      </c>
      <c r="M10" s="12" t="n">
        <f aca="false">Z10-W10</f>
        <v>0.279831</v>
      </c>
      <c r="N10" s="12" t="n">
        <f aca="false">IFERROR((Z10-J10)/L10,"")</f>
        <v>0.0425718333333333</v>
      </c>
      <c r="O10" s="3" t="n">
        <v>13</v>
      </c>
      <c r="P10" s="13" t="b">
        <f aca="false">FALSE()</f>
        <v>0</v>
      </c>
      <c r="Q10" s="3" t="s">
        <v>166</v>
      </c>
      <c r="R10" s="12" t="n">
        <v>0.8063</v>
      </c>
      <c r="S10" s="12" t="n">
        <v>0.7884</v>
      </c>
      <c r="T10" s="3" t="n">
        <v>0.1115</v>
      </c>
      <c r="U10" s="12" t="n">
        <v>0.645</v>
      </c>
      <c r="V10" s="12" t="n">
        <v>0.5253</v>
      </c>
      <c r="W10" s="12" t="n">
        <v>0.4985</v>
      </c>
      <c r="X10" s="3" t="n">
        <v>0.9815</v>
      </c>
      <c r="Y10" s="3" t="n">
        <v>0.8813</v>
      </c>
      <c r="Z10" s="14" t="n">
        <f aca="false">Assumptions!$B$3*R10+Assumptions!$B$4*S10+IF(AA10=1,Assumptions!$B$11,Assumptions!$B$5)*X10+IF(AA10=1,Assumptions!$B$12,Assumptions!$B$6)*T10+Assumptions!$B$7*U10+Assumptions!$B$8*V10+Assumptions!$B$9*Y10</f>
        <v>0.778331</v>
      </c>
      <c r="AA10" s="3" t="n">
        <v>1</v>
      </c>
    </row>
    <row r="11" customFormat="false" ht="15" hidden="false" customHeight="false" outlineLevel="0" collapsed="false">
      <c r="A11" s="3" t="s">
        <v>181</v>
      </c>
      <c r="B11" s="3" t="n">
        <v>570</v>
      </c>
      <c r="C11" s="11" t="str">
        <f aca="false">IF(M11&gt;=Assumptions!$B$17,"S+",IF(M11&gt;=Assumptions!$B$18,"S",IF(M11&gt;=Assumptions!$B$19,"A",IF(M11&gt;=Assumptions!$B$20,"B",IF(M11&gt;=Assumptions!$B$21,"C",IF(M11&gt;=Assumptions!$B$22,"D","F"))))))</f>
        <v>S</v>
      </c>
      <c r="D11" s="3" t="s">
        <v>171</v>
      </c>
      <c r="E11" s="3" t="n">
        <v>7</v>
      </c>
      <c r="F11" s="12" t="n">
        <v>0.893</v>
      </c>
      <c r="G11" s="12" t="n">
        <v>0.6</v>
      </c>
      <c r="H11" s="12" t="n">
        <v>0.75</v>
      </c>
      <c r="I11" s="12" t="n">
        <v>0.6827</v>
      </c>
      <c r="J11" s="12" t="n">
        <v>0.4006</v>
      </c>
      <c r="K11" s="12" t="n">
        <v>0.6785</v>
      </c>
      <c r="L11" s="3" t="n">
        <v>4</v>
      </c>
      <c r="M11" s="12" t="n">
        <f aca="false">Z11-W11</f>
        <v>0.272744</v>
      </c>
      <c r="N11" s="12" t="n">
        <f aca="false">IFERROR((Z11-J11)/L11,"")</f>
        <v>0.069486</v>
      </c>
      <c r="O11" s="3" t="n">
        <v>13</v>
      </c>
      <c r="P11" s="13" t="b">
        <f aca="false">FALSE()</f>
        <v>0</v>
      </c>
      <c r="Q11" s="3" t="s">
        <v>166</v>
      </c>
      <c r="R11" s="12" t="n">
        <v>0.7642</v>
      </c>
      <c r="S11" s="12" t="n">
        <v>0.778</v>
      </c>
      <c r="T11" s="3" t="n">
        <v>0.0618</v>
      </c>
      <c r="U11" s="12" t="n">
        <v>0.4556</v>
      </c>
      <c r="V11" s="12" t="n">
        <v>0.4394</v>
      </c>
      <c r="W11" s="12" t="n">
        <v>0.4058</v>
      </c>
      <c r="X11" s="3" t="n">
        <v>0.8269</v>
      </c>
      <c r="Y11" s="3" t="n">
        <v>0.6833</v>
      </c>
      <c r="Z11" s="14" t="n">
        <f aca="false">Assumptions!$B$3*R11+Assumptions!$B$4*S11+IF(AA11=1,Assumptions!$B$11,Assumptions!$B$5)*X11+IF(AA11=1,Assumptions!$B$12,Assumptions!$B$6)*T11+Assumptions!$B$7*U11+Assumptions!$B$8*V11+Assumptions!$B$9*Y11</f>
        <v>0.678544</v>
      </c>
      <c r="AA11" s="3" t="n">
        <v>1</v>
      </c>
    </row>
    <row r="12" customFormat="false" ht="15" hidden="false" customHeight="false" outlineLevel="0" collapsed="false">
      <c r="A12" s="3" t="s">
        <v>182</v>
      </c>
      <c r="B12" s="3" t="n">
        <v>680</v>
      </c>
      <c r="C12" s="11" t="str">
        <f aca="false">IF(M12&gt;=Assumptions!$B$17,"S+",IF(M12&gt;=Assumptions!$B$18,"S",IF(M12&gt;=Assumptions!$B$19,"A",IF(M12&gt;=Assumptions!$B$20,"B",IF(M12&gt;=Assumptions!$B$21,"C",IF(M12&gt;=Assumptions!$B$22,"D","F"))))))</f>
        <v>S</v>
      </c>
      <c r="D12" s="3" t="s">
        <v>183</v>
      </c>
      <c r="E12" s="3" t="n">
        <v>13</v>
      </c>
      <c r="F12" s="12" t="n">
        <v>0.9471</v>
      </c>
      <c r="G12" s="12" t="n">
        <v>0.64</v>
      </c>
      <c r="H12" s="12" t="n">
        <v>0.4692</v>
      </c>
      <c r="I12" s="12" t="n">
        <v>0.6833</v>
      </c>
      <c r="J12" s="12" t="n">
        <v>0.4255</v>
      </c>
      <c r="K12" s="12" t="n">
        <v>0.7291</v>
      </c>
      <c r="L12" s="3" t="n">
        <v>5</v>
      </c>
      <c r="M12" s="12" t="n">
        <f aca="false">Z12-W12</f>
        <v>0.265911</v>
      </c>
      <c r="N12" s="12" t="n">
        <f aca="false">IFERROR((Z12-J12)/L12,"")</f>
        <v>0.0607222</v>
      </c>
      <c r="O12" s="3" t="n">
        <v>7</v>
      </c>
      <c r="P12" s="13" t="b">
        <f aca="false">TRUE()</f>
        <v>1</v>
      </c>
      <c r="Q12" s="3" t="s">
        <v>166</v>
      </c>
      <c r="R12" s="12" t="n">
        <v>0.814</v>
      </c>
      <c r="S12" s="12" t="n">
        <v>0.9949</v>
      </c>
      <c r="T12" s="3" t="n">
        <v>0.4524</v>
      </c>
      <c r="U12" s="12" t="n">
        <v>0.5385</v>
      </c>
      <c r="V12" s="12" t="n">
        <v>0.4728</v>
      </c>
      <c r="W12" s="12" t="n">
        <v>0.4632</v>
      </c>
      <c r="X12" s="3" t="n">
        <v>0.7328</v>
      </c>
      <c r="Y12" s="3" t="n">
        <v>0.6841</v>
      </c>
      <c r="Z12" s="14" t="n">
        <f aca="false">Assumptions!$B$3*R12+Assumptions!$B$4*S12+IF(AA12=1,Assumptions!$B$11,Assumptions!$B$5)*X12+IF(AA12=1,Assumptions!$B$12,Assumptions!$B$6)*T12+Assumptions!$B$7*U12+Assumptions!$B$8*V12+Assumptions!$B$9*Y12</f>
        <v>0.729111</v>
      </c>
      <c r="AA12" s="3" t="n">
        <v>1</v>
      </c>
    </row>
    <row r="13" customFormat="false" ht="15" hidden="false" customHeight="false" outlineLevel="0" collapsed="false">
      <c r="A13" s="3" t="s">
        <v>184</v>
      </c>
      <c r="B13" s="3" t="n">
        <v>570</v>
      </c>
      <c r="C13" s="11" t="str">
        <f aca="false">IF(M13&gt;=Assumptions!$B$17,"S+",IF(M13&gt;=Assumptions!$B$18,"S",IF(M13&gt;=Assumptions!$B$19,"A",IF(M13&gt;=Assumptions!$B$20,"B",IF(M13&gt;=Assumptions!$B$21,"C",IF(M13&gt;=Assumptions!$B$22,"D","F"))))))</f>
        <v>S</v>
      </c>
      <c r="D13" s="3" t="s">
        <v>169</v>
      </c>
      <c r="E13" s="3" t="n">
        <v>13</v>
      </c>
      <c r="F13" s="12" t="n">
        <v>0.805</v>
      </c>
      <c r="G13" s="12" t="n">
        <v>0.6</v>
      </c>
      <c r="H13" s="12" t="n">
        <v>0.5972</v>
      </c>
      <c r="I13" s="12" t="n">
        <v>0.6404</v>
      </c>
      <c r="J13" s="12" t="n">
        <v>0.3859</v>
      </c>
      <c r="K13" s="12" t="n">
        <v>0.6771</v>
      </c>
      <c r="L13" s="3" t="n">
        <v>4</v>
      </c>
      <c r="M13" s="12" t="n">
        <f aca="false">Z13-W13</f>
        <v>0.26174</v>
      </c>
      <c r="N13" s="12" t="n">
        <f aca="false">IFERROR((Z13-J13)/L13,"")</f>
        <v>0.072785</v>
      </c>
      <c r="O13" s="3" t="n">
        <v>7</v>
      </c>
      <c r="P13" s="13" t="b">
        <f aca="false">TRUE()</f>
        <v>1</v>
      </c>
      <c r="Q13" s="3" t="s">
        <v>166</v>
      </c>
      <c r="R13" s="12" t="n">
        <v>0.8321</v>
      </c>
      <c r="S13" s="12" t="n">
        <v>0.7057</v>
      </c>
      <c r="T13" s="3" t="n">
        <v>0.1984</v>
      </c>
      <c r="U13" s="12" t="n">
        <v>0.6923</v>
      </c>
      <c r="V13" s="12" t="n">
        <v>0.5527</v>
      </c>
      <c r="W13" s="12" t="n">
        <v>0.4153</v>
      </c>
      <c r="X13" s="3" t="n">
        <v>0.8584</v>
      </c>
      <c r="Y13" s="3" t="n">
        <v>0.6366</v>
      </c>
      <c r="Z13" s="14" t="n">
        <f aca="false">Assumptions!$B$3*R13+Assumptions!$B$4*S13+IF(AA13=1,Assumptions!$B$11,Assumptions!$B$5)*X13+IF(AA13=1,Assumptions!$B$12,Assumptions!$B$6)*T13+Assumptions!$B$7*U13+Assumptions!$B$8*V13+Assumptions!$B$9*Y13</f>
        <v>0.67704</v>
      </c>
      <c r="AA13" s="3" t="n">
        <v>0</v>
      </c>
    </row>
    <row r="14" customFormat="false" ht="15" hidden="false" customHeight="false" outlineLevel="0" collapsed="false">
      <c r="A14" s="3" t="s">
        <v>185</v>
      </c>
      <c r="B14" s="3" t="n">
        <v>600</v>
      </c>
      <c r="C14" s="11" t="str">
        <f aca="false">IF(M14&gt;=Assumptions!$B$17,"S+",IF(M14&gt;=Assumptions!$B$18,"S",IF(M14&gt;=Assumptions!$B$19,"A",IF(M14&gt;=Assumptions!$B$20,"B",IF(M14&gt;=Assumptions!$B$21,"C",IF(M14&gt;=Assumptions!$B$22,"D","F"))))))</f>
        <v>S</v>
      </c>
      <c r="D14" s="3" t="s">
        <v>186</v>
      </c>
      <c r="E14" s="3" t="n">
        <v>9</v>
      </c>
      <c r="F14" s="12" t="n">
        <v>0.7476</v>
      </c>
      <c r="G14" s="12" t="n">
        <v>0.85</v>
      </c>
      <c r="H14" s="12" t="n">
        <v>0.75</v>
      </c>
      <c r="I14" s="12" t="n">
        <v>0.8116</v>
      </c>
      <c r="J14" s="12" t="n">
        <v>0.4028</v>
      </c>
      <c r="K14" s="12" t="n">
        <v>0.7239</v>
      </c>
      <c r="L14" s="3" t="n">
        <v>4</v>
      </c>
      <c r="M14" s="12" t="n">
        <f aca="false">Z14-W14</f>
        <v>0.261515</v>
      </c>
      <c r="N14" s="12" t="n">
        <f aca="false">IFERROR((Z14-J14)/L14,"")</f>
        <v>0.08027875</v>
      </c>
      <c r="O14" s="3" t="n">
        <v>11</v>
      </c>
      <c r="P14" s="13" t="b">
        <f aca="false">FALSE()</f>
        <v>0</v>
      </c>
      <c r="Q14" s="3" t="s">
        <v>166</v>
      </c>
      <c r="R14" s="12" t="n">
        <v>0.8709</v>
      </c>
      <c r="S14" s="12" t="n">
        <v>0.679</v>
      </c>
      <c r="T14" s="3" t="n">
        <v>0.1924</v>
      </c>
      <c r="U14" s="12" t="n">
        <v>0.3566</v>
      </c>
      <c r="V14" s="12" t="n">
        <v>0.5593</v>
      </c>
      <c r="W14" s="12" t="n">
        <v>0.4624</v>
      </c>
      <c r="X14" s="3" t="n">
        <v>0.9023</v>
      </c>
      <c r="Y14" s="3" t="n">
        <v>0.742</v>
      </c>
      <c r="Z14" s="14" t="n">
        <f aca="false">Assumptions!$B$3*R14+Assumptions!$B$4*S14+IF(AA14=1,Assumptions!$B$11,Assumptions!$B$5)*X14+IF(AA14=1,Assumptions!$B$12,Assumptions!$B$6)*T14+Assumptions!$B$7*U14+Assumptions!$B$8*V14+Assumptions!$B$9*Y14</f>
        <v>0.723915</v>
      </c>
      <c r="AA14" s="3" t="n">
        <v>1</v>
      </c>
    </row>
    <row r="15" customFormat="false" ht="15" hidden="false" customHeight="false" outlineLevel="0" collapsed="false">
      <c r="A15" s="3" t="s">
        <v>187</v>
      </c>
      <c r="B15" s="3" t="n">
        <v>482</v>
      </c>
      <c r="C15" s="11" t="str">
        <f aca="false">IF(M15&gt;=Assumptions!$B$17,"S+",IF(M15&gt;=Assumptions!$B$18,"S",IF(M15&gt;=Assumptions!$B$19,"A",IF(M15&gt;=Assumptions!$B$20,"B",IF(M15&gt;=Assumptions!$B$21,"C",IF(M15&gt;=Assumptions!$B$22,"D","F"))))))</f>
        <v>S</v>
      </c>
      <c r="D15" s="3" t="s">
        <v>188</v>
      </c>
      <c r="E15" s="3" t="n">
        <v>2</v>
      </c>
      <c r="F15" s="12" t="n">
        <v>0.8128</v>
      </c>
      <c r="G15" s="12" t="n">
        <v>0.85</v>
      </c>
      <c r="H15" s="12" t="n">
        <v>0.75</v>
      </c>
      <c r="I15" s="12" t="n">
        <v>0.8244</v>
      </c>
      <c r="J15" s="12" t="n">
        <v>0.4693</v>
      </c>
      <c r="K15" s="12" t="n">
        <v>0.6591</v>
      </c>
      <c r="L15" s="3" t="n">
        <v>5.83</v>
      </c>
      <c r="M15" s="12" t="n">
        <f aca="false">Z15-W15</f>
        <v>0.260342</v>
      </c>
      <c r="N15" s="12" t="n">
        <f aca="false">IFERROR((Z15-J15)/L15,"")</f>
        <v>0.0325629502572899</v>
      </c>
      <c r="O15" s="3" t="n">
        <v>18</v>
      </c>
      <c r="P15" s="13" t="b">
        <f aca="false">FALSE()</f>
        <v>0</v>
      </c>
      <c r="Q15" s="3" t="s">
        <v>166</v>
      </c>
      <c r="R15" s="12" t="n">
        <v>0.7236</v>
      </c>
      <c r="S15" s="12" t="n">
        <v>0.639</v>
      </c>
      <c r="T15" s="3" t="n">
        <v>0.4972</v>
      </c>
      <c r="U15" s="12" t="n">
        <v>0.5897</v>
      </c>
      <c r="V15" s="12" t="n">
        <v>0.509</v>
      </c>
      <c r="W15" s="12" t="n">
        <v>0.3988</v>
      </c>
      <c r="X15" s="3" t="n">
        <v>0.7372</v>
      </c>
      <c r="Y15" s="3" t="n">
        <v>0.8258</v>
      </c>
      <c r="Z15" s="14" t="n">
        <f aca="false">Assumptions!$B$3*R15+Assumptions!$B$4*S15+IF(AA15=1,Assumptions!$B$11,Assumptions!$B$5)*X15+IF(AA15=1,Assumptions!$B$12,Assumptions!$B$6)*T15+Assumptions!$B$7*U15+Assumptions!$B$8*V15+Assumptions!$B$9*Y15</f>
        <v>0.659142</v>
      </c>
      <c r="AA15" s="3" t="n">
        <v>0</v>
      </c>
    </row>
    <row r="16" customFormat="false" ht="15" hidden="false" customHeight="false" outlineLevel="0" collapsed="false">
      <c r="A16" s="3" t="s">
        <v>189</v>
      </c>
      <c r="B16" s="3" t="n">
        <v>615</v>
      </c>
      <c r="C16" s="11" t="str">
        <f aca="false">IF(M16&gt;=Assumptions!$B$17,"S+",IF(M16&gt;=Assumptions!$B$18,"S",IF(M16&gt;=Assumptions!$B$19,"A",IF(M16&gt;=Assumptions!$B$20,"B",IF(M16&gt;=Assumptions!$B$21,"C",IF(M16&gt;=Assumptions!$B$22,"D","F"))))))</f>
        <v>S</v>
      </c>
      <c r="D16" s="3" t="s">
        <v>190</v>
      </c>
      <c r="E16" s="3" t="n">
        <v>7</v>
      </c>
      <c r="F16" s="12" t="n">
        <v>0.9704</v>
      </c>
      <c r="G16" s="12" t="n">
        <v>0.4</v>
      </c>
      <c r="H16" s="12" t="n">
        <v>0.75</v>
      </c>
      <c r="I16" s="12" t="n">
        <v>0.6868</v>
      </c>
      <c r="J16" s="12" t="n">
        <v>0.4258</v>
      </c>
      <c r="K16" s="12" t="n">
        <v>0.7338</v>
      </c>
      <c r="L16" s="3" t="n">
        <v>6</v>
      </c>
      <c r="M16" s="12" t="n">
        <f aca="false">Z16-W16</f>
        <v>0.256898</v>
      </c>
      <c r="N16" s="12" t="n">
        <f aca="false">IFERROR((Z16-J16)/L16,"")</f>
        <v>0.051333</v>
      </c>
      <c r="O16" s="3" t="n">
        <v>13</v>
      </c>
      <c r="P16" s="13" t="b">
        <f aca="false">FALSE()</f>
        <v>0</v>
      </c>
      <c r="Q16" s="3" t="s">
        <v>166</v>
      </c>
      <c r="R16" s="12" t="n">
        <v>0.8962</v>
      </c>
      <c r="S16" s="12" t="n">
        <v>0.5394</v>
      </c>
      <c r="T16" s="3" t="n">
        <v>0.8624</v>
      </c>
      <c r="U16" s="12" t="n">
        <v>0.574</v>
      </c>
      <c r="V16" s="12" t="n">
        <v>0.4748</v>
      </c>
      <c r="W16" s="12" t="n">
        <v>0.4769</v>
      </c>
      <c r="X16" s="3" t="n">
        <v>0.8625</v>
      </c>
      <c r="Y16" s="3" t="n">
        <v>0.6876</v>
      </c>
      <c r="Z16" s="14" t="n">
        <f aca="false">Assumptions!$B$3*R16+Assumptions!$B$4*S16+IF(AA16=1,Assumptions!$B$11,Assumptions!$B$5)*X16+IF(AA16=1,Assumptions!$B$12,Assumptions!$B$6)*T16+Assumptions!$B$7*U16+Assumptions!$B$8*V16+Assumptions!$B$9*Y16</f>
        <v>0.733798</v>
      </c>
      <c r="AA16" s="3" t="n">
        <v>0</v>
      </c>
    </row>
    <row r="17" customFormat="false" ht="15" hidden="false" customHeight="false" outlineLevel="0" collapsed="false">
      <c r="A17" s="3" t="s">
        <v>191</v>
      </c>
      <c r="B17" s="3" t="n">
        <v>600</v>
      </c>
      <c r="C17" s="11" t="str">
        <f aca="false">IF(M17&gt;=Assumptions!$B$17,"S+",IF(M17&gt;=Assumptions!$B$18,"S",IF(M17&gt;=Assumptions!$B$19,"A",IF(M17&gt;=Assumptions!$B$20,"B",IF(M17&gt;=Assumptions!$B$21,"C",IF(M17&gt;=Assumptions!$B$22,"D","F"))))))</f>
        <v>S</v>
      </c>
      <c r="D17" s="3" t="s">
        <v>175</v>
      </c>
      <c r="E17" s="3" t="n">
        <v>9</v>
      </c>
      <c r="F17" s="12" t="n">
        <v>0.9133</v>
      </c>
      <c r="G17" s="12" t="n">
        <v>0.45</v>
      </c>
      <c r="H17" s="12" t="n">
        <v>0.75</v>
      </c>
      <c r="I17" s="12" t="n">
        <v>0.5795</v>
      </c>
      <c r="J17" s="12" t="n">
        <v>0.477</v>
      </c>
      <c r="K17" s="12" t="n">
        <v>0.711</v>
      </c>
      <c r="L17" s="3" t="n">
        <v>4</v>
      </c>
      <c r="M17" s="12" t="n">
        <f aca="false">Z17-W17</f>
        <v>0.25653</v>
      </c>
      <c r="N17" s="12" t="n">
        <f aca="false">IFERROR((Z17-J17)/L17,"")</f>
        <v>0.0584825</v>
      </c>
      <c r="O17" s="3" t="n">
        <v>11</v>
      </c>
      <c r="P17" s="13" t="b">
        <f aca="false">TRUE()</f>
        <v>1</v>
      </c>
      <c r="Q17" s="3" t="s">
        <v>166</v>
      </c>
      <c r="R17" s="12" t="n">
        <v>0.7976</v>
      </c>
      <c r="S17" s="12" t="n">
        <v>0.8181</v>
      </c>
      <c r="T17" s="3" t="n">
        <v>0.2497</v>
      </c>
      <c r="U17" s="12" t="n">
        <v>0.4335</v>
      </c>
      <c r="V17" s="12" t="n">
        <v>0.4787</v>
      </c>
      <c r="W17" s="12" t="n">
        <v>0.4544</v>
      </c>
      <c r="X17" s="3" t="n">
        <v>0.9071</v>
      </c>
      <c r="Y17" s="3" t="n">
        <v>0.5714</v>
      </c>
      <c r="Z17" s="14" t="n">
        <f aca="false">Assumptions!$B$3*R17+Assumptions!$B$4*S17+IF(AA17=1,Assumptions!$B$11,Assumptions!$B$5)*X17+IF(AA17=1,Assumptions!$B$12,Assumptions!$B$6)*T17+Assumptions!$B$7*U17+Assumptions!$B$8*V17+Assumptions!$B$9*Y17</f>
        <v>0.71093</v>
      </c>
      <c r="AA17" s="3" t="n">
        <v>1</v>
      </c>
    </row>
    <row r="18" customFormat="false" ht="15" hidden="false" customHeight="false" outlineLevel="0" collapsed="false">
      <c r="A18" s="3" t="s">
        <v>192</v>
      </c>
      <c r="B18" s="3" t="n">
        <v>618</v>
      </c>
      <c r="C18" s="11" t="str">
        <f aca="false">IF(M18&gt;=Assumptions!$B$17,"S+",IF(M18&gt;=Assumptions!$B$18,"S",IF(M18&gt;=Assumptions!$B$19,"A",IF(M18&gt;=Assumptions!$B$20,"B",IF(M18&gt;=Assumptions!$B$21,"C",IF(M18&gt;=Assumptions!$B$22,"D","F"))))))</f>
        <v>S</v>
      </c>
      <c r="D18" s="3" t="s">
        <v>190</v>
      </c>
      <c r="E18" s="3" t="n">
        <v>7</v>
      </c>
      <c r="F18" s="12" t="n">
        <v>0.9484</v>
      </c>
      <c r="G18" s="12" t="n">
        <v>1</v>
      </c>
      <c r="H18" s="12" t="n">
        <v>0.75</v>
      </c>
      <c r="I18" s="12" t="n">
        <v>0.9304</v>
      </c>
      <c r="J18" s="12" t="n">
        <v>0.4351</v>
      </c>
      <c r="K18" s="12" t="n">
        <v>0.7331</v>
      </c>
      <c r="L18" s="3" t="n">
        <v>4</v>
      </c>
      <c r="M18" s="12" t="n">
        <f aca="false">Z18-W18</f>
        <v>0.256164</v>
      </c>
      <c r="N18" s="12" t="n">
        <f aca="false">IFERROR((Z18-J18)/L18,"")</f>
        <v>0.074491</v>
      </c>
      <c r="O18" s="3" t="n">
        <v>13</v>
      </c>
      <c r="P18" s="13" t="b">
        <f aca="false">FALSE()</f>
        <v>0</v>
      </c>
      <c r="Q18" s="3" t="s">
        <v>166</v>
      </c>
      <c r="R18" s="12" t="n">
        <v>0.9685</v>
      </c>
      <c r="S18" s="12" t="n">
        <v>0.6137</v>
      </c>
      <c r="T18" s="3" t="n">
        <v>0.422</v>
      </c>
      <c r="U18" s="12" t="n">
        <v>0.5799</v>
      </c>
      <c r="V18" s="12" t="n">
        <v>0.4771</v>
      </c>
      <c r="W18" s="12" t="n">
        <v>0.4769</v>
      </c>
      <c r="X18" s="3" t="n">
        <v>0.8438</v>
      </c>
      <c r="Y18" s="3" t="n">
        <v>0.9308</v>
      </c>
      <c r="Z18" s="14" t="n">
        <f aca="false">Assumptions!$B$3*R18+Assumptions!$B$4*S18+IF(AA18=1,Assumptions!$B$11,Assumptions!$B$5)*X18+IF(AA18=1,Assumptions!$B$12,Assumptions!$B$6)*T18+Assumptions!$B$7*U18+Assumptions!$B$8*V18+Assumptions!$B$9*Y18</f>
        <v>0.733064</v>
      </c>
      <c r="AA18" s="3" t="n">
        <v>0</v>
      </c>
    </row>
    <row r="19" customFormat="false" ht="15" hidden="false" customHeight="false" outlineLevel="0" collapsed="false">
      <c r="A19" s="3" t="s">
        <v>193</v>
      </c>
      <c r="B19" s="3" t="n">
        <v>580</v>
      </c>
      <c r="C19" s="11" t="str">
        <f aca="false">IF(M19&gt;=Assumptions!$B$17,"S+",IF(M19&gt;=Assumptions!$B$18,"S",IF(M19&gt;=Assumptions!$B$19,"A",IF(M19&gt;=Assumptions!$B$20,"B",IF(M19&gt;=Assumptions!$B$21,"C",IF(M19&gt;=Assumptions!$B$22,"D","F"))))))</f>
        <v>S</v>
      </c>
      <c r="D19" s="3" t="s">
        <v>175</v>
      </c>
      <c r="E19" s="3" t="n">
        <v>9</v>
      </c>
      <c r="F19" s="12" t="n">
        <v>0.8469</v>
      </c>
      <c r="G19" s="12" t="n">
        <v>0.45</v>
      </c>
      <c r="H19" s="12" t="n">
        <v>0.75</v>
      </c>
      <c r="I19" s="12" t="n">
        <v>0.5695</v>
      </c>
      <c r="J19" s="12" t="n">
        <v>0.3732</v>
      </c>
      <c r="K19" s="12" t="n">
        <v>0.6514</v>
      </c>
      <c r="L19" s="3" t="n">
        <v>4</v>
      </c>
      <c r="M19" s="12" t="n">
        <f aca="false">Z19-W19</f>
        <v>0.253904</v>
      </c>
      <c r="N19" s="12" t="n">
        <f aca="false">IFERROR((Z19-J19)/L19,"")</f>
        <v>0.069551</v>
      </c>
      <c r="O19" s="3" t="n">
        <v>11</v>
      </c>
      <c r="P19" s="13" t="b">
        <f aca="false">TRUE()</f>
        <v>1</v>
      </c>
      <c r="Q19" s="3" t="s">
        <v>166</v>
      </c>
      <c r="R19" s="12" t="n">
        <v>0.8025</v>
      </c>
      <c r="S19" s="12" t="n">
        <v>0.7048</v>
      </c>
      <c r="T19" s="3" t="n">
        <v>0.285</v>
      </c>
      <c r="U19" s="12" t="n">
        <v>0.3846</v>
      </c>
      <c r="V19" s="12" t="n">
        <v>0.4998</v>
      </c>
      <c r="W19" s="12" t="n">
        <v>0.3975</v>
      </c>
      <c r="X19" s="3" t="n">
        <v>0.9526</v>
      </c>
      <c r="Y19" s="3" t="n">
        <v>0.5698</v>
      </c>
      <c r="Z19" s="14" t="n">
        <f aca="false">Assumptions!$B$3*R19+Assumptions!$B$4*S19+IF(AA19=1,Assumptions!$B$11,Assumptions!$B$5)*X19+IF(AA19=1,Assumptions!$B$12,Assumptions!$B$6)*T19+Assumptions!$B$7*U19+Assumptions!$B$8*V19+Assumptions!$B$9*Y19</f>
        <v>0.651404</v>
      </c>
      <c r="AA19" s="3" t="n">
        <v>0</v>
      </c>
    </row>
    <row r="20" customFormat="false" ht="15" hidden="false" customHeight="false" outlineLevel="0" collapsed="false">
      <c r="A20" s="3" t="s">
        <v>194</v>
      </c>
      <c r="B20" s="3" t="n">
        <v>505</v>
      </c>
      <c r="C20" s="11" t="str">
        <f aca="false">IF(M20&gt;=Assumptions!$B$17,"S+",IF(M20&gt;=Assumptions!$B$18,"S",IF(M20&gt;=Assumptions!$B$19,"A",IF(M20&gt;=Assumptions!$B$20,"B",IF(M20&gt;=Assumptions!$B$21,"C",IF(M20&gt;=Assumptions!$B$22,"D","F"))))))</f>
        <v>S</v>
      </c>
      <c r="D20" s="3" t="s">
        <v>186</v>
      </c>
      <c r="E20" s="3" t="n">
        <v>2</v>
      </c>
      <c r="F20" s="12" t="n">
        <v>0.4454</v>
      </c>
      <c r="G20" s="12" t="n">
        <v>0.85</v>
      </c>
      <c r="H20" s="12" t="n">
        <v>0.75</v>
      </c>
      <c r="I20" s="12" t="n">
        <v>0.7572</v>
      </c>
      <c r="J20" s="12" t="n">
        <v>0.3613</v>
      </c>
      <c r="K20" s="12" t="n">
        <v>0.6942</v>
      </c>
      <c r="L20" s="3" t="n">
        <v>6.83</v>
      </c>
      <c r="M20" s="12" t="n">
        <f aca="false">Z20-W20</f>
        <v>0.246424</v>
      </c>
      <c r="N20" s="12" t="n">
        <f aca="false">IFERROR((Z20-J20)/L20,"")</f>
        <v>0.0487297218155198</v>
      </c>
      <c r="O20" s="3" t="n">
        <v>18</v>
      </c>
      <c r="P20" s="13" t="b">
        <f aca="false">FALSE()</f>
        <v>0</v>
      </c>
      <c r="Q20" s="3" t="s">
        <v>166</v>
      </c>
      <c r="R20" s="12" t="n">
        <v>0.7255</v>
      </c>
      <c r="S20" s="12" t="n">
        <v>0.9009</v>
      </c>
      <c r="T20" s="3" t="n">
        <v>0</v>
      </c>
      <c r="U20" s="12" t="n">
        <v>0.312</v>
      </c>
      <c r="V20" s="12" t="n">
        <v>0.4445</v>
      </c>
      <c r="W20" s="12" t="n">
        <v>0.4477</v>
      </c>
      <c r="X20" s="3" t="n">
        <v>0.9191</v>
      </c>
      <c r="Y20" s="3" t="n">
        <v>0.6968</v>
      </c>
      <c r="Z20" s="14" t="n">
        <f aca="false">Assumptions!$B$3*R20+Assumptions!$B$4*S20+IF(AA20=1,Assumptions!$B$11,Assumptions!$B$5)*X20+IF(AA20=1,Assumptions!$B$12,Assumptions!$B$6)*T20+Assumptions!$B$7*U20+Assumptions!$B$8*V20+Assumptions!$B$9*Y20</f>
        <v>0.694124</v>
      </c>
      <c r="AA20" s="3" t="n">
        <v>1</v>
      </c>
    </row>
    <row r="21" customFormat="false" ht="15" hidden="false" customHeight="false" outlineLevel="0" collapsed="false">
      <c r="A21" s="3" t="s">
        <v>195</v>
      </c>
      <c r="B21" s="3" t="n">
        <v>570</v>
      </c>
      <c r="C21" s="11" t="str">
        <f aca="false">IF(M21&gt;=Assumptions!$B$17,"S+",IF(M21&gt;=Assumptions!$B$18,"S",IF(M21&gt;=Assumptions!$B$19,"A",IF(M21&gt;=Assumptions!$B$20,"B",IF(M21&gt;=Assumptions!$B$21,"C",IF(M21&gt;=Assumptions!$B$22,"D","F"))))))</f>
        <v>S</v>
      </c>
      <c r="D21" s="3" t="s">
        <v>190</v>
      </c>
      <c r="E21" s="3" t="n">
        <v>13</v>
      </c>
      <c r="F21" s="12" t="n">
        <v>0.9134</v>
      </c>
      <c r="G21" s="12" t="n">
        <v>0.6</v>
      </c>
      <c r="H21" s="12" t="n">
        <v>0.75</v>
      </c>
      <c r="I21" s="12" t="n">
        <v>0.7491</v>
      </c>
      <c r="J21" s="12" t="n">
        <v>0.4304</v>
      </c>
      <c r="K21" s="12" t="n">
        <v>0.7119</v>
      </c>
      <c r="L21" s="3" t="n">
        <v>4</v>
      </c>
      <c r="M21" s="12" t="n">
        <f aca="false">Z21-W21</f>
        <v>0.243842</v>
      </c>
      <c r="N21" s="12" t="n">
        <f aca="false">IFERROR((Z21-J21)/L21,"")</f>
        <v>0.0703605</v>
      </c>
      <c r="O21" s="3" t="n">
        <v>7</v>
      </c>
      <c r="P21" s="13" t="b">
        <f aca="false">TRUE()</f>
        <v>1</v>
      </c>
      <c r="Q21" s="3" t="s">
        <v>166</v>
      </c>
      <c r="R21" s="12" t="n">
        <v>0.9028</v>
      </c>
      <c r="S21" s="12" t="n">
        <v>0.4497</v>
      </c>
      <c r="T21" s="3" t="n">
        <v>0.6905</v>
      </c>
      <c r="U21" s="12" t="n">
        <v>0.7692</v>
      </c>
      <c r="V21" s="12" t="n">
        <v>0.5553</v>
      </c>
      <c r="W21" s="12" t="n">
        <v>0.468</v>
      </c>
      <c r="X21" s="3" t="n">
        <v>0.7116</v>
      </c>
      <c r="Y21" s="3" t="n">
        <v>0.7494</v>
      </c>
      <c r="Z21" s="14" t="n">
        <f aca="false">Assumptions!$B$3*R21+Assumptions!$B$4*S21+IF(AA21=1,Assumptions!$B$11,Assumptions!$B$5)*X21+IF(AA21=1,Assumptions!$B$12,Assumptions!$B$6)*T21+Assumptions!$B$7*U21+Assumptions!$B$8*V21+Assumptions!$B$9*Y21</f>
        <v>0.711842</v>
      </c>
      <c r="AA21" s="3" t="n">
        <v>0</v>
      </c>
    </row>
    <row r="22" customFormat="false" ht="15" hidden="false" customHeight="false" outlineLevel="0" collapsed="false">
      <c r="A22" s="3" t="s">
        <v>196</v>
      </c>
      <c r="B22" s="3" t="n">
        <v>600</v>
      </c>
      <c r="C22" s="11" t="str">
        <f aca="false">IF(M22&gt;=Assumptions!$B$17,"S+",IF(M22&gt;=Assumptions!$B$18,"S",IF(M22&gt;=Assumptions!$B$19,"A",IF(M22&gt;=Assumptions!$B$20,"B",IF(M22&gt;=Assumptions!$B$21,"C",IF(M22&gt;=Assumptions!$B$22,"D","F"))))))</f>
        <v>S</v>
      </c>
      <c r="D22" s="3" t="s">
        <v>197</v>
      </c>
      <c r="E22" s="3" t="n">
        <v>9</v>
      </c>
      <c r="F22" s="12" t="n">
        <v>0.6992</v>
      </c>
      <c r="G22" s="12" t="n">
        <v>0.6</v>
      </c>
      <c r="H22" s="12" t="n">
        <v>0.75</v>
      </c>
      <c r="I22" s="12" t="n">
        <v>0.6677</v>
      </c>
      <c r="J22" s="12" t="n">
        <v>0.3341</v>
      </c>
      <c r="K22" s="12" t="n">
        <v>0.7288</v>
      </c>
      <c r="L22" s="3" t="n">
        <v>4</v>
      </c>
      <c r="M22" s="12" t="n">
        <f aca="false">Z22-W22</f>
        <v>0.24265</v>
      </c>
      <c r="N22" s="12" t="n">
        <f aca="false">IFERROR((Z22-J22)/L22,"")</f>
        <v>0.0986625</v>
      </c>
      <c r="O22" s="3" t="n">
        <v>11</v>
      </c>
      <c r="P22" s="13" t="b">
        <f aca="false">TRUE()</f>
        <v>1</v>
      </c>
      <c r="Q22" s="3" t="s">
        <v>166</v>
      </c>
      <c r="R22" s="12" t="n">
        <v>0.945</v>
      </c>
      <c r="S22" s="12" t="n">
        <v>0.6459</v>
      </c>
      <c r="T22" s="3" t="n">
        <v>0.3923</v>
      </c>
      <c r="U22" s="12" t="n">
        <v>0.7692</v>
      </c>
      <c r="V22" s="12" t="n">
        <v>0.4787</v>
      </c>
      <c r="W22" s="12" t="n">
        <v>0.4861</v>
      </c>
      <c r="X22" s="3" t="n">
        <v>0.8912</v>
      </c>
      <c r="Y22" s="3" t="n">
        <v>0.6692</v>
      </c>
      <c r="Z22" s="14" t="n">
        <f aca="false">Assumptions!$B$3*R22+Assumptions!$B$4*S22+IF(AA22=1,Assumptions!$B$11,Assumptions!$B$5)*X22+IF(AA22=1,Assumptions!$B$12,Assumptions!$B$6)*T22+Assumptions!$B$7*U22+Assumptions!$B$8*V22+Assumptions!$B$9*Y22</f>
        <v>0.72875</v>
      </c>
      <c r="AA22" s="3" t="n">
        <v>0</v>
      </c>
    </row>
    <row r="23" customFormat="false" ht="15" hidden="false" customHeight="false" outlineLevel="0" collapsed="false">
      <c r="A23" s="3" t="s">
        <v>198</v>
      </c>
      <c r="B23" s="3" t="n">
        <v>680</v>
      </c>
      <c r="C23" s="11" t="str">
        <f aca="false">IF(M23&gt;=Assumptions!$B$17,"S+",IF(M23&gt;=Assumptions!$B$18,"S",IF(M23&gt;=Assumptions!$B$19,"A",IF(M23&gt;=Assumptions!$B$20,"B",IF(M23&gt;=Assumptions!$B$21,"C",IF(M23&gt;=Assumptions!$B$22,"D","F"))))))</f>
        <v>S</v>
      </c>
      <c r="D23" s="3" t="s">
        <v>197</v>
      </c>
      <c r="E23" s="3" t="n">
        <v>13</v>
      </c>
      <c r="F23" s="12" t="n">
        <v>0.9431</v>
      </c>
      <c r="G23" s="12" t="n">
        <v>0.4</v>
      </c>
      <c r="H23" s="12" t="n">
        <v>0.75</v>
      </c>
      <c r="I23" s="12" t="n">
        <v>0.6764</v>
      </c>
      <c r="J23" s="12" t="n">
        <v>0.439</v>
      </c>
      <c r="K23" s="12" t="n">
        <v>0.7254</v>
      </c>
      <c r="L23" s="3" t="n">
        <v>4</v>
      </c>
      <c r="M23" s="12" t="n">
        <f aca="false">Z23-W23</f>
        <v>0.241686</v>
      </c>
      <c r="N23" s="12" t="n">
        <f aca="false">IFERROR((Z23-J23)/L23,"")</f>
        <v>0.0715965</v>
      </c>
      <c r="O23" s="3" t="n">
        <v>7</v>
      </c>
      <c r="P23" s="13" t="b">
        <f aca="false">TRUE()</f>
        <v>1</v>
      </c>
      <c r="Q23" s="3" t="s">
        <v>166</v>
      </c>
      <c r="R23" s="12" t="n">
        <v>0.9313</v>
      </c>
      <c r="S23" s="12" t="n">
        <v>0.6095</v>
      </c>
      <c r="T23" s="3" t="n">
        <v>0.6587</v>
      </c>
      <c r="U23" s="12" t="n">
        <v>0.5385</v>
      </c>
      <c r="V23" s="12" t="n">
        <v>0.4923</v>
      </c>
      <c r="W23" s="12" t="n">
        <v>0.4837</v>
      </c>
      <c r="X23" s="3" t="n">
        <v>0.8571</v>
      </c>
      <c r="Y23" s="3" t="n">
        <v>0.6764</v>
      </c>
      <c r="Z23" s="14" t="n">
        <f aca="false">Assumptions!$B$3*R23+Assumptions!$B$4*S23+IF(AA23=1,Assumptions!$B$11,Assumptions!$B$5)*X23+IF(AA23=1,Assumptions!$B$12,Assumptions!$B$6)*T23+Assumptions!$B$7*U23+Assumptions!$B$8*V23+Assumptions!$B$9*Y23</f>
        <v>0.725386</v>
      </c>
      <c r="AA23" s="3" t="n">
        <v>0</v>
      </c>
    </row>
    <row r="24" customFormat="false" ht="15" hidden="false" customHeight="false" outlineLevel="0" collapsed="false">
      <c r="A24" s="3" t="s">
        <v>199</v>
      </c>
      <c r="B24" s="3" t="n">
        <v>490</v>
      </c>
      <c r="C24" s="11" t="str">
        <f aca="false">IF(M24&gt;=Assumptions!$B$17,"S+",IF(M24&gt;=Assumptions!$B$18,"S",IF(M24&gt;=Assumptions!$B$19,"A",IF(M24&gt;=Assumptions!$B$20,"B",IF(M24&gt;=Assumptions!$B$21,"C",IF(M24&gt;=Assumptions!$B$22,"D","F"))))))</f>
        <v>S</v>
      </c>
      <c r="D24" s="3" t="s">
        <v>200</v>
      </c>
      <c r="E24" s="3" t="n">
        <v>1</v>
      </c>
      <c r="F24" s="12" t="n">
        <v>0.8326</v>
      </c>
      <c r="G24" s="12" t="n">
        <v>0.85</v>
      </c>
      <c r="H24" s="12" t="n">
        <v>0.5198</v>
      </c>
      <c r="I24" s="12" t="n">
        <v>0.7796</v>
      </c>
      <c r="J24" s="12" t="n">
        <v>0.4984</v>
      </c>
      <c r="K24" s="12" t="n">
        <v>0.7135</v>
      </c>
      <c r="L24" s="3" t="n">
        <v>4.68</v>
      </c>
      <c r="M24" s="12" t="n">
        <f aca="false">Z24-W24</f>
        <v>0.241061</v>
      </c>
      <c r="N24" s="12" t="n">
        <f aca="false">IFERROR((Z24-J24)/L24,"")</f>
        <v>0.0459532051282051</v>
      </c>
      <c r="O24" s="3" t="n">
        <v>19</v>
      </c>
      <c r="P24" s="13" t="b">
        <f aca="false">FALSE()</f>
        <v>0</v>
      </c>
      <c r="Q24" s="3" t="s">
        <v>201</v>
      </c>
      <c r="R24" s="12" t="n">
        <v>0.8124</v>
      </c>
      <c r="S24" s="12" t="n">
        <v>0.6604</v>
      </c>
      <c r="T24" s="3" t="n">
        <v>0.1121</v>
      </c>
      <c r="U24" s="12" t="n">
        <v>0.4899</v>
      </c>
      <c r="V24" s="12" t="n">
        <v>0.4627</v>
      </c>
      <c r="W24" s="12" t="n">
        <v>0.4724</v>
      </c>
      <c r="X24" s="3" t="n">
        <v>0.9234</v>
      </c>
      <c r="Y24" s="3" t="n">
        <v>0.7719</v>
      </c>
      <c r="Z24" s="14" t="n">
        <f aca="false">Assumptions!$B$3*R24+Assumptions!$B$4*S24+IF(AA24=1,Assumptions!$B$11,Assumptions!$B$5)*X24+IF(AA24=1,Assumptions!$B$12,Assumptions!$B$6)*T24+Assumptions!$B$7*U24+Assumptions!$B$8*V24+Assumptions!$B$9*Y24</f>
        <v>0.713461</v>
      </c>
      <c r="AA24" s="3" t="n">
        <v>1</v>
      </c>
    </row>
    <row r="25" customFormat="false" ht="15" hidden="false" customHeight="false" outlineLevel="0" collapsed="false">
      <c r="A25" s="3" t="s">
        <v>202</v>
      </c>
      <c r="B25" s="3" t="n">
        <v>580</v>
      </c>
      <c r="C25" s="11" t="str">
        <f aca="false">IF(M25&gt;=Assumptions!$B$17,"S+",IF(M25&gt;=Assumptions!$B$18,"S",IF(M25&gt;=Assumptions!$B$19,"A",IF(M25&gt;=Assumptions!$B$20,"B",IF(M25&gt;=Assumptions!$B$21,"C",IF(M25&gt;=Assumptions!$B$22,"D","F"))))))</f>
        <v>S</v>
      </c>
      <c r="D25" s="3" t="s">
        <v>203</v>
      </c>
      <c r="E25" s="3" t="n">
        <v>13</v>
      </c>
      <c r="F25" s="12" t="n">
        <v>0.9073</v>
      </c>
      <c r="G25" s="12" t="n">
        <v>0.4</v>
      </c>
      <c r="H25" s="12" t="n">
        <v>0.75</v>
      </c>
      <c r="I25" s="12" t="n">
        <v>0.6222</v>
      </c>
      <c r="J25" s="12" t="n">
        <v>0.4947</v>
      </c>
      <c r="K25" s="12" t="n">
        <v>0.7018</v>
      </c>
      <c r="L25" s="3" t="n">
        <v>4</v>
      </c>
      <c r="M25" s="12" t="n">
        <f aca="false">Z25-W25</f>
        <v>0.240491</v>
      </c>
      <c r="N25" s="12" t="n">
        <f aca="false">IFERROR((Z25-J25)/L25,"")</f>
        <v>0.05177275</v>
      </c>
      <c r="O25" s="3" t="n">
        <v>7</v>
      </c>
      <c r="P25" s="13" t="b">
        <f aca="false">TRUE()</f>
        <v>1</v>
      </c>
      <c r="Q25" s="3" t="s">
        <v>166</v>
      </c>
      <c r="R25" s="12" t="n">
        <v>0.8881</v>
      </c>
      <c r="S25" s="12" t="n">
        <v>0.4152</v>
      </c>
      <c r="T25" s="3" t="n">
        <v>0.9722</v>
      </c>
      <c r="U25" s="12" t="n">
        <v>0.6154</v>
      </c>
      <c r="V25" s="12" t="n">
        <v>0.5127</v>
      </c>
      <c r="W25" s="12" t="n">
        <v>0.4613</v>
      </c>
      <c r="X25" s="3" t="n">
        <v>0.6984</v>
      </c>
      <c r="Y25" s="3" t="n">
        <v>0.6226</v>
      </c>
      <c r="Z25" s="14" t="n">
        <f aca="false">Assumptions!$B$3*R25+Assumptions!$B$4*S25+IF(AA25=1,Assumptions!$B$11,Assumptions!$B$5)*X25+IF(AA25=1,Assumptions!$B$12,Assumptions!$B$6)*T25+Assumptions!$B$7*U25+Assumptions!$B$8*V25+Assumptions!$B$9*Y25</f>
        <v>0.701791</v>
      </c>
      <c r="AA25" s="3" t="n">
        <v>0</v>
      </c>
    </row>
    <row r="26" customFormat="false" ht="15" hidden="false" customHeight="false" outlineLevel="0" collapsed="false">
      <c r="A26" s="3" t="s">
        <v>204</v>
      </c>
      <c r="B26" s="3" t="n">
        <v>483</v>
      </c>
      <c r="C26" s="11" t="str">
        <f aca="false">IF(M26&gt;=Assumptions!$B$17,"S+",IF(M26&gt;=Assumptions!$B$18,"S",IF(M26&gt;=Assumptions!$B$19,"A",IF(M26&gt;=Assumptions!$B$20,"B",IF(M26&gt;=Assumptions!$B$21,"C",IF(M26&gt;=Assumptions!$B$22,"D","F"))))))</f>
        <v>S</v>
      </c>
      <c r="D26" s="3" t="s">
        <v>183</v>
      </c>
      <c r="E26" s="3" t="n">
        <v>6</v>
      </c>
      <c r="F26" s="12" t="n">
        <v>0.8682</v>
      </c>
      <c r="G26" s="12" t="n">
        <v>0.88</v>
      </c>
      <c r="H26" s="12" t="n">
        <v>0.5298</v>
      </c>
      <c r="I26" s="12" t="n">
        <v>0.7891</v>
      </c>
      <c r="J26" s="12" t="n">
        <v>0.3321</v>
      </c>
      <c r="K26" s="12" t="n">
        <v>0.7261</v>
      </c>
      <c r="L26" s="3" t="n">
        <v>6</v>
      </c>
      <c r="M26" s="12" t="n">
        <f aca="false">Z26-W26</f>
        <v>0.238357</v>
      </c>
      <c r="N26" s="12" t="n">
        <f aca="false">IFERROR((Z26-J26)/L26,"")</f>
        <v>0.0656761666666667</v>
      </c>
      <c r="O26" s="3" t="n">
        <v>14</v>
      </c>
      <c r="P26" s="13" t="b">
        <f aca="false">FALSE()</f>
        <v>0</v>
      </c>
      <c r="Q26" s="3" t="s">
        <v>166</v>
      </c>
      <c r="R26" s="12" t="n">
        <v>0.7557</v>
      </c>
      <c r="S26" s="12" t="n">
        <v>0.6939</v>
      </c>
      <c r="T26" s="3" t="n">
        <v>0.1069</v>
      </c>
      <c r="U26" s="12" t="n">
        <v>0.533</v>
      </c>
      <c r="V26" s="12" t="n">
        <v>0.534</v>
      </c>
      <c r="W26" s="12" t="n">
        <v>0.4878</v>
      </c>
      <c r="X26" s="3" t="n">
        <v>0.9701</v>
      </c>
      <c r="Y26" s="3" t="n">
        <v>0.7645</v>
      </c>
      <c r="Z26" s="14" t="n">
        <f aca="false">Assumptions!$B$3*R26+Assumptions!$B$4*S26+IF(AA26=1,Assumptions!$B$11,Assumptions!$B$5)*X26+IF(AA26=1,Assumptions!$B$12,Assumptions!$B$6)*T26+Assumptions!$B$7*U26+Assumptions!$B$8*V26+Assumptions!$B$9*Y26</f>
        <v>0.726157</v>
      </c>
      <c r="AA26" s="3" t="n">
        <v>1</v>
      </c>
    </row>
    <row r="27" customFormat="false" ht="15" hidden="false" customHeight="false" outlineLevel="0" collapsed="false">
      <c r="A27" s="3" t="s">
        <v>205</v>
      </c>
      <c r="B27" s="3" t="n">
        <v>580</v>
      </c>
      <c r="C27" s="11" t="str">
        <f aca="false">IF(M27&gt;=Assumptions!$B$17,"S+",IF(M27&gt;=Assumptions!$B$18,"S",IF(M27&gt;=Assumptions!$B$19,"A",IF(M27&gt;=Assumptions!$B$20,"B",IF(M27&gt;=Assumptions!$B$21,"C",IF(M27&gt;=Assumptions!$B$22,"D","F"))))))</f>
        <v>S</v>
      </c>
      <c r="D27" s="3" t="s">
        <v>206</v>
      </c>
      <c r="E27" s="3" t="n">
        <v>13</v>
      </c>
      <c r="F27" s="12" t="n">
        <v>0.9818</v>
      </c>
      <c r="G27" s="12" t="n">
        <v>0.76</v>
      </c>
      <c r="H27" s="12" t="n">
        <v>0.3889</v>
      </c>
      <c r="I27" s="12" t="n">
        <v>0.7293</v>
      </c>
      <c r="J27" s="12" t="n">
        <v>0.3692</v>
      </c>
      <c r="K27" s="12" t="n">
        <v>0.6573</v>
      </c>
      <c r="L27" s="3" t="n">
        <v>5</v>
      </c>
      <c r="M27" s="12" t="n">
        <f aca="false">Z27-W27</f>
        <v>0.238098</v>
      </c>
      <c r="N27" s="12" t="n">
        <f aca="false">IFERROR((Z27-J27)/L27,"")</f>
        <v>0.0576196</v>
      </c>
      <c r="O27" s="3" t="n">
        <v>7</v>
      </c>
      <c r="P27" s="13" t="b">
        <f aca="false">TRUE()</f>
        <v>1</v>
      </c>
      <c r="Q27" s="3" t="s">
        <v>166</v>
      </c>
      <c r="R27" s="12" t="n">
        <v>0.7732</v>
      </c>
      <c r="S27" s="12" t="n">
        <v>0.7773</v>
      </c>
      <c r="T27" s="3" t="n">
        <v>0.0318</v>
      </c>
      <c r="U27" s="12" t="n">
        <v>0.4615</v>
      </c>
      <c r="V27" s="12" t="n">
        <v>0.3915</v>
      </c>
      <c r="W27" s="12" t="n">
        <v>0.4192</v>
      </c>
      <c r="X27" s="3" t="n">
        <v>0.7341</v>
      </c>
      <c r="Y27" s="3" t="n">
        <v>0.73</v>
      </c>
      <c r="Z27" s="14" t="n">
        <f aca="false">Assumptions!$B$3*R27+Assumptions!$B$4*S27+IF(AA27=1,Assumptions!$B$11,Assumptions!$B$5)*X27+IF(AA27=1,Assumptions!$B$12,Assumptions!$B$6)*T27+Assumptions!$B$7*U27+Assumptions!$B$8*V27+Assumptions!$B$9*Y27</f>
        <v>0.657298</v>
      </c>
      <c r="AA27" s="3" t="n">
        <v>1</v>
      </c>
    </row>
    <row r="28" customFormat="false" ht="15" hidden="false" customHeight="false" outlineLevel="0" collapsed="false">
      <c r="A28" s="3" t="s">
        <v>207</v>
      </c>
      <c r="B28" s="3" t="n">
        <v>580</v>
      </c>
      <c r="C28" s="11" t="str">
        <f aca="false">IF(M28&gt;=Assumptions!$B$17,"S+",IF(M28&gt;=Assumptions!$B$18,"S",IF(M28&gt;=Assumptions!$B$19,"A",IF(M28&gt;=Assumptions!$B$20,"B",IF(M28&gt;=Assumptions!$B$21,"C",IF(M28&gt;=Assumptions!$B$22,"D","F"))))))</f>
        <v>S</v>
      </c>
      <c r="D28" s="3" t="s">
        <v>208</v>
      </c>
      <c r="E28" s="3" t="n">
        <v>13</v>
      </c>
      <c r="F28" s="12" t="n">
        <v>0.8122</v>
      </c>
      <c r="G28" s="12" t="n">
        <v>0.45</v>
      </c>
      <c r="H28" s="12" t="n">
        <v>0.5198</v>
      </c>
      <c r="I28" s="12" t="n">
        <v>0.5907</v>
      </c>
      <c r="J28" s="12" t="n">
        <v>0.3829</v>
      </c>
      <c r="K28" s="12" t="n">
        <v>0.6366</v>
      </c>
      <c r="L28" s="3" t="n">
        <v>4</v>
      </c>
      <c r="M28" s="12" t="n">
        <f aca="false">Z28-W28</f>
        <v>0.238095</v>
      </c>
      <c r="N28" s="12" t="n">
        <f aca="false">IFERROR((Z28-J28)/L28,"")</f>
        <v>0.06342375</v>
      </c>
      <c r="O28" s="3" t="n">
        <v>7</v>
      </c>
      <c r="P28" s="13" t="b">
        <f aca="false">TRUE()</f>
        <v>1</v>
      </c>
      <c r="Q28" s="3" t="s">
        <v>166</v>
      </c>
      <c r="R28" s="12" t="n">
        <v>0.7684</v>
      </c>
      <c r="S28" s="12" t="n">
        <v>0.7473</v>
      </c>
      <c r="T28" s="3" t="n">
        <v>0.0437</v>
      </c>
      <c r="U28" s="12" t="n">
        <v>0.3846</v>
      </c>
      <c r="V28" s="12" t="n">
        <v>0.5242</v>
      </c>
      <c r="W28" s="12" t="n">
        <v>0.3985</v>
      </c>
      <c r="X28" s="3" t="n">
        <v>0.6984</v>
      </c>
      <c r="Y28" s="3" t="n">
        <v>0.5923</v>
      </c>
      <c r="Z28" s="14" t="n">
        <f aca="false">Assumptions!$B$3*R28+Assumptions!$B$4*S28+IF(AA28=1,Assumptions!$B$11,Assumptions!$B$5)*X28+IF(AA28=1,Assumptions!$B$12,Assumptions!$B$6)*T28+Assumptions!$B$7*U28+Assumptions!$B$8*V28+Assumptions!$B$9*Y28</f>
        <v>0.636595</v>
      </c>
      <c r="AA28" s="3" t="n">
        <v>1</v>
      </c>
    </row>
    <row r="29" customFormat="false" ht="15" hidden="false" customHeight="false" outlineLevel="0" collapsed="false">
      <c r="A29" s="3" t="s">
        <v>209</v>
      </c>
      <c r="B29" s="3" t="n">
        <v>600</v>
      </c>
      <c r="C29" s="11" t="str">
        <f aca="false">IF(M29&gt;=Assumptions!$B$17,"S+",IF(M29&gt;=Assumptions!$B$18,"S",IF(M29&gt;=Assumptions!$B$19,"A",IF(M29&gt;=Assumptions!$B$20,"B",IF(M29&gt;=Assumptions!$B$21,"C",IF(M29&gt;=Assumptions!$B$22,"D","F"))))))</f>
        <v>S</v>
      </c>
      <c r="D29" s="3" t="s">
        <v>173</v>
      </c>
      <c r="E29" s="3" t="n">
        <v>4</v>
      </c>
      <c r="F29" s="12" t="n">
        <v>0.7662</v>
      </c>
      <c r="G29" s="12" t="n">
        <v>0.6</v>
      </c>
      <c r="H29" s="12" t="n">
        <v>0.75</v>
      </c>
      <c r="I29" s="12" t="n">
        <v>0.6599</v>
      </c>
      <c r="J29" s="12" t="n">
        <v>0.4568</v>
      </c>
      <c r="K29" s="12" t="n">
        <v>0.6983</v>
      </c>
      <c r="L29" s="3" t="n">
        <v>3.94</v>
      </c>
      <c r="M29" s="12" t="n">
        <f aca="false">Z29-W29</f>
        <v>0.235734</v>
      </c>
      <c r="N29" s="12" t="n">
        <f aca="false">IFERROR((Z29-J29)/L29,"")</f>
        <v>0.0613030456852792</v>
      </c>
      <c r="O29" s="3" t="n">
        <v>16</v>
      </c>
      <c r="P29" s="13" t="b">
        <f aca="false">TRUE()</f>
        <v>1</v>
      </c>
      <c r="Q29" s="3" t="s">
        <v>166</v>
      </c>
      <c r="R29" s="12" t="n">
        <v>0.7311</v>
      </c>
      <c r="S29" s="12" t="n">
        <v>0.7185</v>
      </c>
      <c r="T29" s="3" t="n">
        <v>0.3995</v>
      </c>
      <c r="U29" s="12" t="n">
        <v>0.5962</v>
      </c>
      <c r="V29" s="12" t="n">
        <v>0.5169</v>
      </c>
      <c r="W29" s="12" t="n">
        <v>0.4626</v>
      </c>
      <c r="X29" s="3" t="n">
        <v>0.8571</v>
      </c>
      <c r="Y29" s="3" t="n">
        <v>0.6231</v>
      </c>
      <c r="Z29" s="14" t="n">
        <f aca="false">Assumptions!$B$3*R29+Assumptions!$B$4*S29+IF(AA29=1,Assumptions!$B$11,Assumptions!$B$5)*X29+IF(AA29=1,Assumptions!$B$12,Assumptions!$B$6)*T29+Assumptions!$B$7*U29+Assumptions!$B$8*V29+Assumptions!$B$9*Y29</f>
        <v>0.698334</v>
      </c>
      <c r="AA29" s="3" t="n">
        <v>1</v>
      </c>
    </row>
    <row r="30" customFormat="false" ht="15" hidden="false" customHeight="false" outlineLevel="0" collapsed="false">
      <c r="A30" s="3" t="s">
        <v>210</v>
      </c>
      <c r="B30" s="3" t="n">
        <v>510</v>
      </c>
      <c r="C30" s="11" t="str">
        <f aca="false">IF(M30&gt;=Assumptions!$B$17,"S+",IF(M30&gt;=Assumptions!$B$18,"S",IF(M30&gt;=Assumptions!$B$19,"A",IF(M30&gt;=Assumptions!$B$20,"B",IF(M30&gt;=Assumptions!$B$21,"C",IF(M30&gt;=Assumptions!$B$22,"D","F"))))))</f>
        <v>S</v>
      </c>
      <c r="D30" s="3" t="s">
        <v>173</v>
      </c>
      <c r="E30" s="3" t="n">
        <v>7</v>
      </c>
      <c r="F30" s="12" t="n">
        <v>0.7546</v>
      </c>
      <c r="G30" s="12" t="n">
        <v>0.6</v>
      </c>
      <c r="H30" s="12" t="n">
        <v>0.75</v>
      </c>
      <c r="I30" s="12" t="n">
        <v>0.6578</v>
      </c>
      <c r="J30" s="12" t="n">
        <v>0.4255</v>
      </c>
      <c r="K30" s="12" t="n">
        <v>0.6783</v>
      </c>
      <c r="L30" s="3" t="n">
        <v>4</v>
      </c>
      <c r="M30" s="12" t="n">
        <f aca="false">Z30-W30</f>
        <v>0.235256</v>
      </c>
      <c r="N30" s="12" t="n">
        <f aca="false">IFERROR((Z30-J30)/L30,"")</f>
        <v>0.063214</v>
      </c>
      <c r="O30" s="3" t="n">
        <v>13</v>
      </c>
      <c r="P30" s="13" t="b">
        <f aca="false">FALSE()</f>
        <v>0</v>
      </c>
      <c r="Q30" s="3" t="s">
        <v>166</v>
      </c>
      <c r="R30" s="12" t="n">
        <v>0.7165</v>
      </c>
      <c r="S30" s="12" t="n">
        <v>0.6196</v>
      </c>
      <c r="T30" s="3" t="n">
        <v>0.1243</v>
      </c>
      <c r="U30" s="12" t="n">
        <v>0.574</v>
      </c>
      <c r="V30" s="12" t="n">
        <v>0.4424</v>
      </c>
      <c r="W30" s="12" t="n">
        <v>0.4431</v>
      </c>
      <c r="X30" s="3" t="n">
        <v>0.938</v>
      </c>
      <c r="Y30" s="3" t="n">
        <v>0.6297</v>
      </c>
      <c r="Z30" s="14" t="n">
        <f aca="false">Assumptions!$B$3*R30+Assumptions!$B$4*S30+IF(AA30=1,Assumptions!$B$11,Assumptions!$B$5)*X30+IF(AA30=1,Assumptions!$B$12,Assumptions!$B$6)*T30+Assumptions!$B$7*U30+Assumptions!$B$8*V30+Assumptions!$B$9*Y30</f>
        <v>0.678356</v>
      </c>
      <c r="AA30" s="3" t="n">
        <v>1</v>
      </c>
    </row>
    <row r="31" customFormat="false" ht="15" hidden="false" customHeight="false" outlineLevel="0" collapsed="false">
      <c r="A31" s="3" t="s">
        <v>211</v>
      </c>
      <c r="B31" s="3" t="n">
        <v>630</v>
      </c>
      <c r="C31" s="11" t="str">
        <f aca="false">IF(M31&gt;=Assumptions!$B$17,"S+",IF(M31&gt;=Assumptions!$B$18,"S",IF(M31&gt;=Assumptions!$B$19,"A",IF(M31&gt;=Assumptions!$B$20,"B",IF(M31&gt;=Assumptions!$B$21,"C",IF(M31&gt;=Assumptions!$B$22,"D","F"))))))</f>
        <v>S</v>
      </c>
      <c r="D31" s="3" t="s">
        <v>206</v>
      </c>
      <c r="E31" s="3" t="n">
        <v>7</v>
      </c>
      <c r="F31" s="12" t="n">
        <v>0.98</v>
      </c>
      <c r="G31" s="12" t="n">
        <v>0.76</v>
      </c>
      <c r="H31" s="12" t="n">
        <v>0.5198</v>
      </c>
      <c r="I31" s="12" t="n">
        <v>0.7616</v>
      </c>
      <c r="J31" s="12" t="n">
        <v>0.3884</v>
      </c>
      <c r="K31" s="12" t="n">
        <v>0.65</v>
      </c>
      <c r="L31" s="3" t="n">
        <v>4</v>
      </c>
      <c r="M31" s="12" t="n">
        <f aca="false">Z31-W31</f>
        <v>0.234897</v>
      </c>
      <c r="N31" s="12" t="n">
        <f aca="false">IFERROR((Z31-J31)/L31,"")</f>
        <v>0.06539925</v>
      </c>
      <c r="O31" s="3" t="n">
        <v>13</v>
      </c>
      <c r="P31" s="13" t="b">
        <f aca="false">FALSE()</f>
        <v>0</v>
      </c>
      <c r="Q31" s="3" t="s">
        <v>166</v>
      </c>
      <c r="R31" s="12" t="n">
        <v>0.8353</v>
      </c>
      <c r="S31" s="12" t="n">
        <v>0.7437</v>
      </c>
      <c r="T31" s="3" t="n">
        <v>0.0901</v>
      </c>
      <c r="U31" s="12" t="n">
        <v>0.3432</v>
      </c>
      <c r="V31" s="12" t="n">
        <v>0.5112</v>
      </c>
      <c r="W31" s="12" t="n">
        <v>0.4151</v>
      </c>
      <c r="X31" s="3" t="n">
        <v>0.6407</v>
      </c>
      <c r="Y31" s="3" t="n">
        <v>0.7334</v>
      </c>
      <c r="Z31" s="14" t="n">
        <f aca="false">Assumptions!$B$3*R31+Assumptions!$B$4*S31+IF(AA31=1,Assumptions!$B$11,Assumptions!$B$5)*X31+IF(AA31=1,Assumptions!$B$12,Assumptions!$B$6)*T31+Assumptions!$B$7*U31+Assumptions!$B$8*V31+Assumptions!$B$9*Y31</f>
        <v>0.649997</v>
      </c>
      <c r="AA31" s="3" t="n">
        <v>1</v>
      </c>
    </row>
    <row r="32" customFormat="false" ht="15" hidden="false" customHeight="false" outlineLevel="0" collapsed="false">
      <c r="A32" s="3" t="s">
        <v>212</v>
      </c>
      <c r="B32" s="3" t="n">
        <v>590</v>
      </c>
      <c r="C32" s="11" t="str">
        <f aca="false">IF(M32&gt;=Assumptions!$B$17,"S+",IF(M32&gt;=Assumptions!$B$18,"S",IF(M32&gt;=Assumptions!$B$19,"A",IF(M32&gt;=Assumptions!$B$20,"B",IF(M32&gt;=Assumptions!$B$21,"C",IF(M32&gt;=Assumptions!$B$22,"D","F"))))))</f>
        <v>S</v>
      </c>
      <c r="D32" s="3" t="s">
        <v>200</v>
      </c>
      <c r="E32" s="3" t="n">
        <v>7</v>
      </c>
      <c r="F32" s="12" t="n">
        <v>0.863</v>
      </c>
      <c r="G32" s="12" t="n">
        <v>0.85</v>
      </c>
      <c r="H32" s="12" t="n">
        <v>0.5198</v>
      </c>
      <c r="I32" s="12" t="n">
        <v>0.7872</v>
      </c>
      <c r="J32" s="12" t="n">
        <v>0.5191</v>
      </c>
      <c r="K32" s="12" t="n">
        <v>0.7276</v>
      </c>
      <c r="L32" s="3" t="n">
        <v>4</v>
      </c>
      <c r="M32" s="12" t="n">
        <f aca="false">Z32-W32</f>
        <v>0.233311</v>
      </c>
      <c r="N32" s="12" t="n">
        <f aca="false">IFERROR((Z32-J32)/L32,"")</f>
        <v>0.05212775</v>
      </c>
      <c r="O32" s="3" t="n">
        <v>13</v>
      </c>
      <c r="P32" s="13" t="b">
        <f aca="false">FALSE()</f>
        <v>0</v>
      </c>
      <c r="Q32" s="3" t="s">
        <v>166</v>
      </c>
      <c r="R32" s="12" t="n">
        <v>0.8794</v>
      </c>
      <c r="S32" s="12" t="n">
        <v>0.6709</v>
      </c>
      <c r="T32" s="3" t="n">
        <v>0.0516</v>
      </c>
      <c r="U32" s="12" t="n">
        <v>0.5326</v>
      </c>
      <c r="V32" s="12" t="n">
        <v>0.4738</v>
      </c>
      <c r="W32" s="12" t="n">
        <v>0.4943</v>
      </c>
      <c r="X32" s="3" t="n">
        <v>0.8875</v>
      </c>
      <c r="Y32" s="3" t="n">
        <v>0.7789</v>
      </c>
      <c r="Z32" s="14" t="n">
        <f aca="false">Assumptions!$B$3*R32+Assumptions!$B$4*S32+IF(AA32=1,Assumptions!$B$11,Assumptions!$B$5)*X32+IF(AA32=1,Assumptions!$B$12,Assumptions!$B$6)*T32+Assumptions!$B$7*U32+Assumptions!$B$8*V32+Assumptions!$B$9*Y32</f>
        <v>0.727611</v>
      </c>
      <c r="AA32" s="3" t="n">
        <v>1</v>
      </c>
    </row>
    <row r="33" customFormat="false" ht="15" hidden="false" customHeight="false" outlineLevel="0" collapsed="false">
      <c r="A33" s="3" t="s">
        <v>213</v>
      </c>
      <c r="B33" s="3" t="n">
        <v>530</v>
      </c>
      <c r="C33" s="11" t="str">
        <f aca="false">IF(M33&gt;=Assumptions!$B$17,"S+",IF(M33&gt;=Assumptions!$B$18,"S",IF(M33&gt;=Assumptions!$B$19,"A",IF(M33&gt;=Assumptions!$B$20,"B",IF(M33&gt;=Assumptions!$B$21,"C",IF(M33&gt;=Assumptions!$B$22,"D","F"))))))</f>
        <v>S</v>
      </c>
      <c r="D33" s="3" t="s">
        <v>206</v>
      </c>
      <c r="E33" s="3" t="n">
        <v>4</v>
      </c>
      <c r="F33" s="12" t="n">
        <v>0.832</v>
      </c>
      <c r="G33" s="12" t="n">
        <v>0.88</v>
      </c>
      <c r="H33" s="12" t="n">
        <v>0.5615</v>
      </c>
      <c r="I33" s="12" t="n">
        <v>0.7869</v>
      </c>
      <c r="J33" s="12" t="n">
        <v>0.4152</v>
      </c>
      <c r="K33" s="12" t="n">
        <v>0.6681</v>
      </c>
      <c r="L33" s="3" t="n">
        <v>4.88</v>
      </c>
      <c r="M33" s="12" t="n">
        <f aca="false">Z33-W33</f>
        <v>0.232414</v>
      </c>
      <c r="N33" s="12" t="n">
        <f aca="false">IFERROR((Z33-J33)/L33,"")</f>
        <v>0.0518266393442623</v>
      </c>
      <c r="O33" s="3" t="n">
        <v>16</v>
      </c>
      <c r="P33" s="13" t="b">
        <f aca="false">FALSE()</f>
        <v>0</v>
      </c>
      <c r="Q33" s="3" t="s">
        <v>166</v>
      </c>
      <c r="R33" s="12" t="n">
        <v>0.8021</v>
      </c>
      <c r="S33" s="12" t="n">
        <v>0.7569</v>
      </c>
      <c r="T33" s="3" t="n">
        <v>0.3052</v>
      </c>
      <c r="U33" s="12" t="n">
        <v>0.423</v>
      </c>
      <c r="V33" s="12" t="n">
        <v>0.5487</v>
      </c>
      <c r="W33" s="12" t="n">
        <v>0.4357</v>
      </c>
      <c r="X33" s="3" t="n">
        <v>0.6487</v>
      </c>
      <c r="Y33" s="3" t="n">
        <v>0.7548</v>
      </c>
      <c r="Z33" s="14" t="n">
        <f aca="false">Assumptions!$B$3*R33+Assumptions!$B$4*S33+IF(AA33=1,Assumptions!$B$11,Assumptions!$B$5)*X33+IF(AA33=1,Assumptions!$B$12,Assumptions!$B$6)*T33+Assumptions!$B$7*U33+Assumptions!$B$8*V33+Assumptions!$B$9*Y33</f>
        <v>0.668114</v>
      </c>
      <c r="AA33" s="3" t="n">
        <v>1</v>
      </c>
    </row>
    <row r="34" customFormat="false" ht="15" hidden="false" customHeight="false" outlineLevel="0" collapsed="false">
      <c r="A34" s="3" t="s">
        <v>214</v>
      </c>
      <c r="B34" s="3" t="n">
        <v>445</v>
      </c>
      <c r="C34" s="11" t="str">
        <f aca="false">IF(M34&gt;=Assumptions!$B$17,"S+",IF(M34&gt;=Assumptions!$B$18,"S",IF(M34&gt;=Assumptions!$B$19,"A",IF(M34&gt;=Assumptions!$B$20,"B",IF(M34&gt;=Assumptions!$B$21,"C",IF(M34&gt;=Assumptions!$B$22,"D","F"))))))</f>
        <v>S</v>
      </c>
      <c r="D34" s="3" t="s">
        <v>180</v>
      </c>
      <c r="E34" s="3" t="n">
        <v>3</v>
      </c>
      <c r="F34" s="12" t="n">
        <v>0.8748</v>
      </c>
      <c r="G34" s="12" t="n">
        <v>1</v>
      </c>
      <c r="H34" s="12" t="n">
        <v>0.4762</v>
      </c>
      <c r="I34" s="12" t="n">
        <v>0.8702</v>
      </c>
      <c r="J34" s="12" t="n">
        <v>0.4269</v>
      </c>
      <c r="K34" s="12" t="n">
        <v>0.7252</v>
      </c>
      <c r="L34" s="3" t="n">
        <v>5.88</v>
      </c>
      <c r="M34" s="12" t="n">
        <f aca="false">Z34-W34</f>
        <v>0.23182</v>
      </c>
      <c r="N34" s="12" t="n">
        <f aca="false">IFERROR((Z34-J34)/L34,"")</f>
        <v>0.050734693877551</v>
      </c>
      <c r="O34" s="3" t="n">
        <v>17</v>
      </c>
      <c r="P34" s="13" t="b">
        <f aca="false">FALSE()</f>
        <v>0</v>
      </c>
      <c r="Q34" s="3" t="s">
        <v>166</v>
      </c>
      <c r="R34" s="12" t="n">
        <v>0.7276</v>
      </c>
      <c r="S34" s="12" t="n">
        <v>0.6852</v>
      </c>
      <c r="T34" s="3" t="n">
        <v>0.147</v>
      </c>
      <c r="U34" s="12" t="n">
        <v>0.6063</v>
      </c>
      <c r="V34" s="12" t="n">
        <v>0.4584</v>
      </c>
      <c r="W34" s="12" t="n">
        <v>0.4934</v>
      </c>
      <c r="X34" s="3" t="n">
        <v>0.969</v>
      </c>
      <c r="Y34" s="3" t="n">
        <v>0.8377</v>
      </c>
      <c r="Z34" s="14" t="n">
        <f aca="false">Assumptions!$B$3*R34+Assumptions!$B$4*S34+IF(AA34=1,Assumptions!$B$11,Assumptions!$B$5)*X34+IF(AA34=1,Assumptions!$B$12,Assumptions!$B$6)*T34+Assumptions!$B$7*U34+Assumptions!$B$8*V34+Assumptions!$B$9*Y34</f>
        <v>0.72522</v>
      </c>
      <c r="AA34" s="3" t="n">
        <v>1</v>
      </c>
    </row>
    <row r="35" customFormat="false" ht="15" hidden="false" customHeight="false" outlineLevel="0" collapsed="false">
      <c r="A35" s="3" t="s">
        <v>215</v>
      </c>
      <c r="B35" s="3" t="n">
        <v>530</v>
      </c>
      <c r="C35" s="11" t="str">
        <f aca="false">IF(M35&gt;=Assumptions!$B$17,"S+",IF(M35&gt;=Assumptions!$B$18,"S",IF(M35&gt;=Assumptions!$B$19,"A",IF(M35&gt;=Assumptions!$B$20,"B",IF(M35&gt;=Assumptions!$B$21,"C",IF(M35&gt;=Assumptions!$B$22,"D","F"))))))</f>
        <v>S</v>
      </c>
      <c r="D35" s="3" t="s">
        <v>173</v>
      </c>
      <c r="E35" s="3" t="n">
        <v>2</v>
      </c>
      <c r="F35" s="12" t="n">
        <v>0.8281</v>
      </c>
      <c r="G35" s="12" t="n">
        <v>0.6</v>
      </c>
      <c r="H35" s="12" t="n">
        <v>0.75</v>
      </c>
      <c r="I35" s="12" t="n">
        <v>0.6711</v>
      </c>
      <c r="J35" s="12" t="n">
        <v>0.3925</v>
      </c>
      <c r="K35" s="12" t="n">
        <v>0.6659</v>
      </c>
      <c r="L35" s="3" t="n">
        <v>3.69</v>
      </c>
      <c r="M35" s="12" t="n">
        <f aca="false">Z35-W35</f>
        <v>0.23174</v>
      </c>
      <c r="N35" s="12" t="n">
        <f aca="false">IFERROR((Z35-J35)/L35,"")</f>
        <v>0.0741029810298103</v>
      </c>
      <c r="O35" s="3" t="n">
        <v>18</v>
      </c>
      <c r="P35" s="13" t="b">
        <f aca="false">FALSE()</f>
        <v>0</v>
      </c>
      <c r="Q35" s="3" t="s">
        <v>166</v>
      </c>
      <c r="R35" s="12" t="n">
        <v>0.7381</v>
      </c>
      <c r="S35" s="12" t="n">
        <v>0.6758</v>
      </c>
      <c r="T35" s="3" t="n">
        <v>0.4829</v>
      </c>
      <c r="U35" s="12" t="n">
        <v>0.5855</v>
      </c>
      <c r="V35" s="12" t="n">
        <v>0.5152</v>
      </c>
      <c r="W35" s="12" t="n">
        <v>0.4342</v>
      </c>
      <c r="X35" s="3" t="n">
        <v>0.7284</v>
      </c>
      <c r="Y35" s="3" t="n">
        <v>0.6331</v>
      </c>
      <c r="Z35" s="14" t="n">
        <f aca="false">Assumptions!$B$3*R35+Assumptions!$B$4*S35+IF(AA35=1,Assumptions!$B$11,Assumptions!$B$5)*X35+IF(AA35=1,Assumptions!$B$12,Assumptions!$B$6)*T35+Assumptions!$B$7*U35+Assumptions!$B$8*V35+Assumptions!$B$9*Y35</f>
        <v>0.66594</v>
      </c>
      <c r="AA35" s="3" t="n">
        <v>1</v>
      </c>
    </row>
    <row r="36" customFormat="false" ht="15" hidden="false" customHeight="false" outlineLevel="0" collapsed="false">
      <c r="A36" s="3" t="s">
        <v>216</v>
      </c>
      <c r="B36" s="3" t="n">
        <v>465</v>
      </c>
      <c r="C36" s="11" t="str">
        <f aca="false">IF(M36&gt;=Assumptions!$B$17,"S+",IF(M36&gt;=Assumptions!$B$18,"S",IF(M36&gt;=Assumptions!$B$19,"A",IF(M36&gt;=Assumptions!$B$20,"B",IF(M36&gt;=Assumptions!$B$21,"C",IF(M36&gt;=Assumptions!$B$22,"D","F"))))))</f>
        <v>S</v>
      </c>
      <c r="D36" s="3" t="s">
        <v>186</v>
      </c>
      <c r="E36" s="3" t="n">
        <v>4</v>
      </c>
      <c r="F36" s="12" t="n">
        <v>0.7085</v>
      </c>
      <c r="G36" s="12" t="n">
        <v>0.85</v>
      </c>
      <c r="H36" s="12" t="n">
        <v>0.75</v>
      </c>
      <c r="I36" s="12" t="n">
        <v>0.8045</v>
      </c>
      <c r="J36" s="12" t="n">
        <v>0.4308</v>
      </c>
      <c r="K36" s="12" t="n">
        <v>0.6751</v>
      </c>
      <c r="L36" s="3" t="n">
        <v>3.94</v>
      </c>
      <c r="M36" s="12" t="n">
        <f aca="false">Z36-W36</f>
        <v>0.229246</v>
      </c>
      <c r="N36" s="12" t="n">
        <f aca="false">IFERROR((Z36-J36)/L36,"")</f>
        <v>0.0620167512690355</v>
      </c>
      <c r="O36" s="3" t="n">
        <v>16</v>
      </c>
      <c r="P36" s="13" t="b">
        <f aca="false">FALSE()</f>
        <v>0</v>
      </c>
      <c r="Q36" s="3" t="s">
        <v>166</v>
      </c>
      <c r="R36" s="12" t="n">
        <v>0.8135</v>
      </c>
      <c r="S36" s="12" t="n">
        <v>0.6415</v>
      </c>
      <c r="T36" s="3" t="n">
        <v>0.0962</v>
      </c>
      <c r="U36" s="12" t="n">
        <v>0.6202</v>
      </c>
      <c r="V36" s="12" t="n">
        <v>0.5265</v>
      </c>
      <c r="W36" s="12" t="n">
        <v>0.4459</v>
      </c>
      <c r="X36" s="3" t="n">
        <v>0.6892</v>
      </c>
      <c r="Y36" s="3" t="n">
        <v>0.7822</v>
      </c>
      <c r="Z36" s="14" t="n">
        <f aca="false">Assumptions!$B$3*R36+Assumptions!$B$4*S36+IF(AA36=1,Assumptions!$B$11,Assumptions!$B$5)*X36+IF(AA36=1,Assumptions!$B$12,Assumptions!$B$6)*T36+Assumptions!$B$7*U36+Assumptions!$B$8*V36+Assumptions!$B$9*Y36</f>
        <v>0.675146</v>
      </c>
      <c r="AA36" s="3" t="n">
        <v>1</v>
      </c>
    </row>
    <row r="37" customFormat="false" ht="15" hidden="false" customHeight="false" outlineLevel="0" collapsed="false">
      <c r="A37" s="3" t="s">
        <v>217</v>
      </c>
      <c r="B37" s="3" t="n">
        <v>700</v>
      </c>
      <c r="C37" s="11" t="str">
        <f aca="false">IF(M37&gt;=Assumptions!$B$17,"S+",IF(M37&gt;=Assumptions!$B$18,"S",IF(M37&gt;=Assumptions!$B$19,"A",IF(M37&gt;=Assumptions!$B$20,"B",IF(M37&gt;=Assumptions!$B$21,"C",IF(M37&gt;=Assumptions!$B$22,"D","F"))))))</f>
        <v>S</v>
      </c>
      <c r="D37" s="3" t="s">
        <v>218</v>
      </c>
      <c r="E37" s="3" t="n">
        <v>18</v>
      </c>
      <c r="F37" s="12" t="n">
        <v>0.8684</v>
      </c>
      <c r="G37" s="12" t="n">
        <v>0.6</v>
      </c>
      <c r="H37" s="12" t="n">
        <v>0.75</v>
      </c>
      <c r="I37" s="12" t="n">
        <v>0.7159</v>
      </c>
      <c r="J37" s="12" t="n">
        <v>0.4216</v>
      </c>
      <c r="K37" s="12" t="n">
        <v>0.7141</v>
      </c>
      <c r="L37" s="3" t="n">
        <v>4</v>
      </c>
      <c r="M37" s="12" t="n">
        <f aca="false">Z37-W37</f>
        <v>0.225588</v>
      </c>
      <c r="N37" s="12" t="n">
        <f aca="false">IFERROR((Z37-J37)/L37,"")</f>
        <v>0.073122</v>
      </c>
      <c r="O37" s="3" t="n">
        <v>2</v>
      </c>
      <c r="P37" s="13" t="b">
        <f aca="false">FALSE()</f>
        <v>0</v>
      </c>
      <c r="Q37" s="3" t="s">
        <v>166</v>
      </c>
      <c r="R37" s="12" t="n">
        <v>0.9284</v>
      </c>
      <c r="S37" s="12" t="n">
        <v>0.6862</v>
      </c>
      <c r="T37" s="3" t="n">
        <v>0.375</v>
      </c>
      <c r="U37" s="12" t="n">
        <v>0.5385</v>
      </c>
      <c r="V37" s="12" t="n">
        <v>0.546</v>
      </c>
      <c r="W37" s="12" t="n">
        <v>0.4885</v>
      </c>
      <c r="X37" s="3" t="n">
        <v>0.8704</v>
      </c>
      <c r="Y37" s="3" t="n">
        <v>0.716</v>
      </c>
      <c r="Z37" s="14" t="n">
        <f aca="false">Assumptions!$B$3*R37+Assumptions!$B$4*S37+IF(AA37=1,Assumptions!$B$11,Assumptions!$B$5)*X37+IF(AA37=1,Assumptions!$B$12,Assumptions!$B$6)*T37+Assumptions!$B$7*U37+Assumptions!$B$8*V37+Assumptions!$B$9*Y37</f>
        <v>0.714088</v>
      </c>
      <c r="AA37" s="3" t="n">
        <v>0</v>
      </c>
    </row>
    <row r="38" customFormat="false" ht="15" hidden="false" customHeight="false" outlineLevel="0" collapsed="false">
      <c r="A38" s="3" t="s">
        <v>219</v>
      </c>
      <c r="B38" s="3" t="n">
        <v>600</v>
      </c>
      <c r="C38" s="11" t="str">
        <f aca="false">IF(M38&gt;=Assumptions!$B$17,"S+",IF(M38&gt;=Assumptions!$B$18,"S",IF(M38&gt;=Assumptions!$B$19,"A",IF(M38&gt;=Assumptions!$B$20,"B",IF(M38&gt;=Assumptions!$B$21,"C",IF(M38&gt;=Assumptions!$B$22,"D","F"))))))</f>
        <v>S</v>
      </c>
      <c r="D38" s="3" t="s">
        <v>169</v>
      </c>
      <c r="E38" s="3" t="n">
        <v>7</v>
      </c>
      <c r="F38" s="12" t="n">
        <v>0.6489</v>
      </c>
      <c r="G38" s="12" t="n">
        <v>0.85</v>
      </c>
      <c r="H38" s="12" t="n">
        <v>0.5427</v>
      </c>
      <c r="I38" s="12" t="n">
        <v>0.7483</v>
      </c>
      <c r="J38" s="12" t="n">
        <v>0.3999</v>
      </c>
      <c r="K38" s="12" t="n">
        <v>0.668</v>
      </c>
      <c r="L38" s="3" t="n">
        <v>4</v>
      </c>
      <c r="M38" s="12" t="n">
        <f aca="false">Z38-W38</f>
        <v>0.224605</v>
      </c>
      <c r="N38" s="12" t="n">
        <f aca="false">IFERROR((Z38-J38)/L38,"")</f>
        <v>0.06702625</v>
      </c>
      <c r="O38" s="3" t="n">
        <v>13</v>
      </c>
      <c r="P38" s="13" t="b">
        <f aca="false">TRUE()</f>
        <v>1</v>
      </c>
      <c r="Q38" s="3" t="s">
        <v>166</v>
      </c>
      <c r="R38" s="12" t="n">
        <v>0.8912</v>
      </c>
      <c r="S38" s="12" t="n">
        <v>0.7093</v>
      </c>
      <c r="T38" s="3" t="n">
        <v>0.1193</v>
      </c>
      <c r="U38" s="12" t="n">
        <v>0.3787</v>
      </c>
      <c r="V38" s="12" t="n">
        <v>0.4842</v>
      </c>
      <c r="W38" s="12" t="n">
        <v>0.4434</v>
      </c>
      <c r="X38" s="3" t="n">
        <v>0.6676</v>
      </c>
      <c r="Y38" s="3" t="n">
        <v>0.7377</v>
      </c>
      <c r="Z38" s="14" t="n">
        <f aca="false">Assumptions!$B$3*R38+Assumptions!$B$4*S38+IF(AA38=1,Assumptions!$B$11,Assumptions!$B$5)*X38+IF(AA38=1,Assumptions!$B$12,Assumptions!$B$6)*T38+Assumptions!$B$7*U38+Assumptions!$B$8*V38+Assumptions!$B$9*Y38</f>
        <v>0.668005</v>
      </c>
      <c r="AA38" s="3" t="n">
        <v>1</v>
      </c>
    </row>
    <row r="39" customFormat="false" ht="15" hidden="false" customHeight="false" outlineLevel="0" collapsed="false">
      <c r="A39" s="3" t="s">
        <v>220</v>
      </c>
      <c r="B39" s="3" t="n">
        <v>525</v>
      </c>
      <c r="C39" s="11" t="str">
        <f aca="false">IF(M39&gt;=Assumptions!$B$17,"S+",IF(M39&gt;=Assumptions!$B$18,"S",IF(M39&gt;=Assumptions!$B$19,"A",IF(M39&gt;=Assumptions!$B$20,"B",IF(M39&gt;=Assumptions!$B$21,"C",IF(M39&gt;=Assumptions!$B$22,"D","F"))))))</f>
        <v>S</v>
      </c>
      <c r="D39" s="3" t="s">
        <v>200</v>
      </c>
      <c r="E39" s="3" t="n">
        <v>6</v>
      </c>
      <c r="F39" s="12" t="n">
        <v>0.7314</v>
      </c>
      <c r="G39" s="12" t="n">
        <v>0.85</v>
      </c>
      <c r="H39" s="12" t="n">
        <v>0.5476</v>
      </c>
      <c r="I39" s="12" t="n">
        <v>0.7599</v>
      </c>
      <c r="J39" s="12" t="n">
        <v>0.3594</v>
      </c>
      <c r="K39" s="12" t="n">
        <v>0.7128</v>
      </c>
      <c r="L39" s="3" t="n">
        <v>5</v>
      </c>
      <c r="M39" s="12" t="n">
        <f aca="false">Z39-W39</f>
        <v>0.222986</v>
      </c>
      <c r="N39" s="12" t="n">
        <f aca="false">IFERROR((Z39-J39)/L39,"")</f>
        <v>0.0706772</v>
      </c>
      <c r="O39" s="3" t="n">
        <v>14</v>
      </c>
      <c r="P39" s="13" t="b">
        <f aca="false">FALSE()</f>
        <v>0</v>
      </c>
      <c r="Q39" s="3" t="s">
        <v>166</v>
      </c>
      <c r="R39" s="12" t="n">
        <v>0.7524</v>
      </c>
      <c r="S39" s="12" t="n">
        <v>0.7045</v>
      </c>
      <c r="T39" s="3" t="n">
        <v>0.133</v>
      </c>
      <c r="U39" s="12" t="n">
        <v>0.5275</v>
      </c>
      <c r="V39" s="12" t="n">
        <v>0.4841</v>
      </c>
      <c r="W39" s="12" t="n">
        <v>0.4898</v>
      </c>
      <c r="X39" s="3" t="n">
        <v>0.9389</v>
      </c>
      <c r="Y39" s="3" t="n">
        <v>0.7483</v>
      </c>
      <c r="Z39" s="14" t="n">
        <f aca="false">Assumptions!$B$3*R39+Assumptions!$B$4*S39+IF(AA39=1,Assumptions!$B$11,Assumptions!$B$5)*X39+IF(AA39=1,Assumptions!$B$12,Assumptions!$B$6)*T39+Assumptions!$B$7*U39+Assumptions!$B$8*V39+Assumptions!$B$9*Y39</f>
        <v>0.712786</v>
      </c>
      <c r="AA39" s="3" t="n">
        <v>1</v>
      </c>
    </row>
    <row r="40" customFormat="false" ht="15" hidden="false" customHeight="false" outlineLevel="0" collapsed="false">
      <c r="A40" s="3" t="s">
        <v>221</v>
      </c>
      <c r="B40" s="3" t="n">
        <v>500</v>
      </c>
      <c r="C40" s="11" t="str">
        <f aca="false">IF(M40&gt;=Assumptions!$B$17,"S+",IF(M40&gt;=Assumptions!$B$18,"S",IF(M40&gt;=Assumptions!$B$19,"A",IF(M40&gt;=Assumptions!$B$20,"B",IF(M40&gt;=Assumptions!$B$21,"C",IF(M40&gt;=Assumptions!$B$22,"D","F"))))))</f>
        <v>S</v>
      </c>
      <c r="D40" s="3" t="s">
        <v>186</v>
      </c>
      <c r="E40" s="3" t="n">
        <v>4</v>
      </c>
      <c r="F40" s="12" t="n">
        <v>0.5282</v>
      </c>
      <c r="G40" s="12" t="n">
        <v>0.85</v>
      </c>
      <c r="H40" s="12" t="n">
        <v>0.75</v>
      </c>
      <c r="I40" s="12" t="n">
        <v>0.7721</v>
      </c>
      <c r="J40" s="12" t="n">
        <v>0.4397</v>
      </c>
      <c r="K40" s="12" t="n">
        <v>0.667</v>
      </c>
      <c r="L40" s="3" t="n">
        <v>3.88</v>
      </c>
      <c r="M40" s="12" t="n">
        <f aca="false">Z40-W40</f>
        <v>0.221094</v>
      </c>
      <c r="N40" s="12" t="n">
        <f aca="false">IFERROR((Z40-J40)/L40,"")</f>
        <v>0.0585809278350516</v>
      </c>
      <c r="O40" s="3" t="n">
        <v>16</v>
      </c>
      <c r="P40" s="13" t="b">
        <f aca="false">FALSE()</f>
        <v>0</v>
      </c>
      <c r="Q40" s="3" t="s">
        <v>166</v>
      </c>
      <c r="R40" s="12" t="n">
        <v>0.7395</v>
      </c>
      <c r="S40" s="12" t="n">
        <v>0.6613</v>
      </c>
      <c r="T40" s="3" t="n">
        <v>0.1259</v>
      </c>
      <c r="U40" s="12" t="n">
        <v>0.423</v>
      </c>
      <c r="V40" s="12" t="n">
        <v>0.4407</v>
      </c>
      <c r="W40" s="12" t="n">
        <v>0.4459</v>
      </c>
      <c r="X40" s="3" t="n">
        <v>0.8534</v>
      </c>
      <c r="Y40" s="3" t="n">
        <v>0.749</v>
      </c>
      <c r="Z40" s="14" t="n">
        <f aca="false">Assumptions!$B$3*R40+Assumptions!$B$4*S40+IF(AA40=1,Assumptions!$B$11,Assumptions!$B$5)*X40+IF(AA40=1,Assumptions!$B$12,Assumptions!$B$6)*T40+Assumptions!$B$7*U40+Assumptions!$B$8*V40+Assumptions!$B$9*Y40</f>
        <v>0.666994</v>
      </c>
      <c r="AA40" s="3" t="n">
        <v>1</v>
      </c>
    </row>
    <row r="41" customFormat="false" ht="15" hidden="false" customHeight="false" outlineLevel="0" collapsed="false">
      <c r="A41" s="3" t="s">
        <v>222</v>
      </c>
      <c r="B41" s="3" t="n">
        <v>700</v>
      </c>
      <c r="C41" s="11" t="str">
        <f aca="false">IF(M41&gt;=Assumptions!$B$17,"S+",IF(M41&gt;=Assumptions!$B$18,"S",IF(M41&gt;=Assumptions!$B$19,"A",IF(M41&gt;=Assumptions!$B$20,"B",IF(M41&gt;=Assumptions!$B$21,"C",IF(M41&gt;=Assumptions!$B$22,"D","F"))))))</f>
        <v>S</v>
      </c>
      <c r="D41" s="3" t="s">
        <v>197</v>
      </c>
      <c r="E41" s="3" t="n">
        <v>19</v>
      </c>
      <c r="F41" s="12" t="n">
        <v>0.8438</v>
      </c>
      <c r="G41" s="12" t="n">
        <v>0.4</v>
      </c>
      <c r="H41" s="12" t="n">
        <v>0.75</v>
      </c>
      <c r="I41" s="12" t="n">
        <v>0.6387</v>
      </c>
      <c r="J41" s="12" t="n">
        <v>0.417</v>
      </c>
      <c r="K41" s="12" t="n">
        <v>0.7055</v>
      </c>
      <c r="L41" s="3" t="n">
        <v>4</v>
      </c>
      <c r="M41" s="12" t="n">
        <f aca="false">Z41-W41</f>
        <v>0.221123</v>
      </c>
      <c r="N41" s="12" t="n">
        <f aca="false">IFERROR((Z41-J41)/L41,"")</f>
        <v>0.07213075</v>
      </c>
      <c r="O41" s="3" t="n">
        <v>1</v>
      </c>
      <c r="P41" s="13" t="b">
        <f aca="false">FALSE()</f>
        <v>0</v>
      </c>
      <c r="Q41" s="3" t="s">
        <v>166</v>
      </c>
      <c r="R41" s="12" t="n">
        <v>0.9309</v>
      </c>
      <c r="S41" s="12" t="n">
        <v>0.5768</v>
      </c>
      <c r="T41" s="3" t="n">
        <v>0.5833</v>
      </c>
      <c r="U41" s="12" t="n">
        <v>0.6154</v>
      </c>
      <c r="V41" s="12" t="n">
        <v>0.4385</v>
      </c>
      <c r="W41" s="12" t="n">
        <v>0.4844</v>
      </c>
      <c r="X41" s="3" t="n">
        <v>0.8333</v>
      </c>
      <c r="Y41" s="3" t="n">
        <v>0.6387</v>
      </c>
      <c r="Z41" s="14" t="n">
        <f aca="false">Assumptions!$B$3*R41+Assumptions!$B$4*S41+IF(AA41=1,Assumptions!$B$11,Assumptions!$B$5)*X41+IF(AA41=1,Assumptions!$B$12,Assumptions!$B$6)*T41+Assumptions!$B$7*U41+Assumptions!$B$8*V41+Assumptions!$B$9*Y41</f>
        <v>0.705523</v>
      </c>
      <c r="AA41" s="3" t="n">
        <v>0</v>
      </c>
    </row>
    <row r="42" customFormat="false" ht="15" hidden="false" customHeight="false" outlineLevel="0" collapsed="false">
      <c r="A42" s="3" t="s">
        <v>223</v>
      </c>
      <c r="B42" s="3" t="n">
        <v>625</v>
      </c>
      <c r="C42" s="11" t="str">
        <f aca="false">IF(M42&gt;=Assumptions!$B$17,"S+",IF(M42&gt;=Assumptions!$B$18,"S",IF(M42&gt;=Assumptions!$B$19,"A",IF(M42&gt;=Assumptions!$B$20,"B",IF(M42&gt;=Assumptions!$B$21,"C",IF(M42&gt;=Assumptions!$B$22,"D","F"))))))</f>
        <v>S</v>
      </c>
      <c r="D42" s="3" t="s">
        <v>203</v>
      </c>
      <c r="E42" s="3" t="n">
        <v>6</v>
      </c>
      <c r="F42" s="12" t="n">
        <v>0.3212</v>
      </c>
      <c r="G42" s="12" t="n">
        <v>1</v>
      </c>
      <c r="H42" s="12" t="n">
        <v>0.75</v>
      </c>
      <c r="I42" s="12" t="n">
        <v>0.7464</v>
      </c>
      <c r="J42" s="12" t="n">
        <v>0.4551</v>
      </c>
      <c r="K42" s="12" t="n">
        <v>0.6775</v>
      </c>
      <c r="L42" s="3" t="n">
        <v>4</v>
      </c>
      <c r="M42" s="12" t="n">
        <f aca="false">Z42-W42</f>
        <v>0.221025</v>
      </c>
      <c r="N42" s="12" t="n">
        <f aca="false">IFERROR((Z42-J42)/L42,"")</f>
        <v>0.05560625</v>
      </c>
      <c r="O42" s="3" t="n">
        <v>14</v>
      </c>
      <c r="P42" s="13" t="b">
        <f aca="false">FALSE()</f>
        <v>0</v>
      </c>
      <c r="Q42" s="3" t="s">
        <v>166</v>
      </c>
      <c r="R42" s="12" t="n">
        <v>0.8266</v>
      </c>
      <c r="S42" s="12" t="n">
        <v>0.9043</v>
      </c>
      <c r="T42" s="3" t="n">
        <v>0.1119</v>
      </c>
      <c r="U42" s="12" t="n">
        <v>0.4835</v>
      </c>
      <c r="V42" s="12" t="n">
        <v>0.6018</v>
      </c>
      <c r="W42" s="12" t="n">
        <v>0.4565</v>
      </c>
      <c r="X42" s="3" t="n">
        <v>0.7758</v>
      </c>
      <c r="Y42" s="3" t="n">
        <v>0.7486</v>
      </c>
      <c r="Z42" s="14" t="n">
        <f aca="false">Assumptions!$B$3*R42+Assumptions!$B$4*S42+IF(AA42=1,Assumptions!$B$11,Assumptions!$B$5)*X42+IF(AA42=1,Assumptions!$B$12,Assumptions!$B$6)*T42+Assumptions!$B$7*U42+Assumptions!$B$8*V42+Assumptions!$B$9*Y42</f>
        <v>0.677525</v>
      </c>
      <c r="AA42" s="3" t="n">
        <v>0</v>
      </c>
    </row>
    <row r="43" customFormat="false" ht="15" hidden="false" customHeight="false" outlineLevel="0" collapsed="false">
      <c r="A43" s="3" t="s">
        <v>224</v>
      </c>
      <c r="B43" s="3" t="n">
        <v>495</v>
      </c>
      <c r="C43" s="11" t="str">
        <f aca="false">IF(M43&gt;=Assumptions!$B$17,"S+",IF(M43&gt;=Assumptions!$B$18,"S",IF(M43&gt;=Assumptions!$B$19,"A",IF(M43&gt;=Assumptions!$B$20,"B",IF(M43&gt;=Assumptions!$B$21,"C",IF(M43&gt;=Assumptions!$B$22,"D","F"))))))</f>
        <v>S</v>
      </c>
      <c r="D43" s="3" t="s">
        <v>169</v>
      </c>
      <c r="E43" s="3" t="n">
        <v>7</v>
      </c>
      <c r="F43" s="12" t="n">
        <v>0.8422</v>
      </c>
      <c r="G43" s="12" t="n">
        <v>0.6</v>
      </c>
      <c r="H43" s="12" t="n">
        <v>0.5942</v>
      </c>
      <c r="I43" s="12" t="n">
        <v>0.6473</v>
      </c>
      <c r="J43" s="12" t="n">
        <v>0.3611</v>
      </c>
      <c r="K43" s="12" t="n">
        <v>0.6643</v>
      </c>
      <c r="L43" s="3" t="n">
        <v>4</v>
      </c>
      <c r="M43" s="12" t="n">
        <f aca="false">Z43-W43</f>
        <v>0.220883</v>
      </c>
      <c r="N43" s="12" t="n">
        <f aca="false">IFERROR((Z43-J43)/L43,"")</f>
        <v>0.07579575</v>
      </c>
      <c r="O43" s="3" t="n">
        <v>13</v>
      </c>
      <c r="P43" s="13" t="b">
        <f aca="false">FALSE()</f>
        <v>0</v>
      </c>
      <c r="Q43" s="3" t="s">
        <v>166</v>
      </c>
      <c r="R43" s="12" t="n">
        <v>0.6959</v>
      </c>
      <c r="S43" s="12" t="n">
        <v>0.7009</v>
      </c>
      <c r="T43" s="3" t="n">
        <v>0.1614</v>
      </c>
      <c r="U43" s="12" t="n">
        <v>0.426</v>
      </c>
      <c r="V43" s="12" t="n">
        <v>0.5946</v>
      </c>
      <c r="W43" s="12" t="n">
        <v>0.4434</v>
      </c>
      <c r="X43" s="3" t="n">
        <v>0.8288</v>
      </c>
      <c r="Y43" s="3" t="n">
        <v>0.6484</v>
      </c>
      <c r="Z43" s="14" t="n">
        <f aca="false">Assumptions!$B$3*R43+Assumptions!$B$4*S43+IF(AA43=1,Assumptions!$B$11,Assumptions!$B$5)*X43+IF(AA43=1,Assumptions!$B$12,Assumptions!$B$6)*T43+Assumptions!$B$7*U43+Assumptions!$B$8*V43+Assumptions!$B$9*Y43</f>
        <v>0.664283</v>
      </c>
      <c r="AA43" s="3" t="n">
        <v>1</v>
      </c>
    </row>
    <row r="44" customFormat="false" ht="15" hidden="false" customHeight="false" outlineLevel="0" collapsed="false">
      <c r="A44" s="3" t="s">
        <v>225</v>
      </c>
      <c r="B44" s="3" t="n">
        <v>570</v>
      </c>
      <c r="C44" s="11" t="str">
        <f aca="false">IF(M44&gt;=Assumptions!$B$17,"S+",IF(M44&gt;=Assumptions!$B$18,"S",IF(M44&gt;=Assumptions!$B$19,"A",IF(M44&gt;=Assumptions!$B$20,"B",IF(M44&gt;=Assumptions!$B$21,"C",IF(M44&gt;=Assumptions!$B$22,"D","F"))))))</f>
        <v>S</v>
      </c>
      <c r="D44" s="3" t="s">
        <v>188</v>
      </c>
      <c r="E44" s="3" t="n">
        <v>1</v>
      </c>
      <c r="F44" s="12" t="n">
        <v>0.7698</v>
      </c>
      <c r="G44" s="12" t="n">
        <v>0.6</v>
      </c>
      <c r="H44" s="12" t="n">
        <v>0.75</v>
      </c>
      <c r="I44" s="12" t="n">
        <v>0.6555</v>
      </c>
      <c r="J44" s="12" t="n">
        <v>0.4304</v>
      </c>
      <c r="K44" s="12" t="n">
        <v>0.6354</v>
      </c>
      <c r="L44" s="3" t="n">
        <v>3.55</v>
      </c>
      <c r="M44" s="12" t="n">
        <f aca="false">Z44-W44</f>
        <v>0.214947</v>
      </c>
      <c r="N44" s="12" t="n">
        <f aca="false">IFERROR((Z44-J44)/L44,"")</f>
        <v>0.0577315492957747</v>
      </c>
      <c r="O44" s="3" t="n">
        <v>19</v>
      </c>
      <c r="P44" s="13" t="b">
        <f aca="false">FALSE()</f>
        <v>0</v>
      </c>
      <c r="Q44" s="3" t="s">
        <v>166</v>
      </c>
      <c r="R44" s="12" t="n">
        <v>0.7613</v>
      </c>
      <c r="S44" s="12" t="n">
        <v>0.6646</v>
      </c>
      <c r="T44" s="3" t="n">
        <v>0.5122</v>
      </c>
      <c r="U44" s="12" t="n">
        <v>0.583</v>
      </c>
      <c r="V44" s="12" t="n">
        <v>0.4643</v>
      </c>
      <c r="W44" s="12" t="n">
        <v>0.4204</v>
      </c>
      <c r="X44" s="3" t="n">
        <v>0.6642</v>
      </c>
      <c r="Y44" s="3" t="n">
        <v>0.6061</v>
      </c>
      <c r="Z44" s="14" t="n">
        <f aca="false">Assumptions!$B$3*R44+Assumptions!$B$4*S44+IF(AA44=1,Assumptions!$B$11,Assumptions!$B$5)*X44+IF(AA44=1,Assumptions!$B$12,Assumptions!$B$6)*T44+Assumptions!$B$7*U44+Assumptions!$B$8*V44+Assumptions!$B$9*Y44</f>
        <v>0.635347</v>
      </c>
      <c r="AA44" s="3" t="n">
        <v>0</v>
      </c>
    </row>
    <row r="45" customFormat="false" ht="15" hidden="false" customHeight="false" outlineLevel="0" collapsed="false">
      <c r="A45" s="3" t="s">
        <v>226</v>
      </c>
      <c r="B45" s="3" t="n">
        <v>525</v>
      </c>
      <c r="C45" s="11" t="str">
        <f aca="false">IF(M45&gt;=Assumptions!$B$17,"S+",IF(M45&gt;=Assumptions!$B$18,"S",IF(M45&gt;=Assumptions!$B$19,"A",IF(M45&gt;=Assumptions!$B$20,"B",IF(M45&gt;=Assumptions!$B$21,"C",IF(M45&gt;=Assumptions!$B$22,"D","F"))))))</f>
        <v>S</v>
      </c>
      <c r="D45" s="3" t="s">
        <v>183</v>
      </c>
      <c r="E45" s="3" t="n">
        <v>7</v>
      </c>
      <c r="F45" s="12" t="n">
        <v>0.8194</v>
      </c>
      <c r="G45" s="12" t="n">
        <v>0.76</v>
      </c>
      <c r="H45" s="12" t="n">
        <v>0.4901</v>
      </c>
      <c r="I45" s="12" t="n">
        <v>0.7091</v>
      </c>
      <c r="J45" s="12" t="n">
        <v>0.3404</v>
      </c>
      <c r="K45" s="12" t="n">
        <v>0.6994</v>
      </c>
      <c r="L45" s="3" t="n">
        <v>4</v>
      </c>
      <c r="M45" s="12" t="n">
        <f aca="false">Z45-W45</f>
        <v>0.214793</v>
      </c>
      <c r="N45" s="12" t="n">
        <f aca="false">IFERROR((Z45-J45)/L45,"")</f>
        <v>0.08974825</v>
      </c>
      <c r="O45" s="3" t="n">
        <v>13</v>
      </c>
      <c r="P45" s="13" t="b">
        <f aca="false">FALSE()</f>
        <v>0</v>
      </c>
      <c r="Q45" s="3" t="s">
        <v>166</v>
      </c>
      <c r="R45" s="12" t="n">
        <v>0.7471</v>
      </c>
      <c r="S45" s="12" t="n">
        <v>0.6861</v>
      </c>
      <c r="T45" s="3" t="n">
        <v>0.1048</v>
      </c>
      <c r="U45" s="12" t="n">
        <v>0.4911</v>
      </c>
      <c r="V45" s="12" t="n">
        <v>0.4798</v>
      </c>
      <c r="W45" s="12" t="n">
        <v>0.4846</v>
      </c>
      <c r="X45" s="3" t="n">
        <v>0.9423</v>
      </c>
      <c r="Y45" s="3" t="n">
        <v>0.7</v>
      </c>
      <c r="Z45" s="14" t="n">
        <f aca="false">Assumptions!$B$3*R45+Assumptions!$B$4*S45+IF(AA45=1,Assumptions!$B$11,Assumptions!$B$5)*X45+IF(AA45=1,Assumptions!$B$12,Assumptions!$B$6)*T45+Assumptions!$B$7*U45+Assumptions!$B$8*V45+Assumptions!$B$9*Y45</f>
        <v>0.699393</v>
      </c>
      <c r="AA45" s="3" t="n">
        <v>1</v>
      </c>
    </row>
    <row r="46" customFormat="false" ht="15" hidden="false" customHeight="false" outlineLevel="0" collapsed="false">
      <c r="A46" s="3" t="s">
        <v>227</v>
      </c>
      <c r="B46" s="3" t="n">
        <v>680</v>
      </c>
      <c r="C46" s="11" t="str">
        <f aca="false">IF(M46&gt;=Assumptions!$B$17,"S+",IF(M46&gt;=Assumptions!$B$18,"S",IF(M46&gt;=Assumptions!$B$19,"A",IF(M46&gt;=Assumptions!$B$20,"B",IF(M46&gt;=Assumptions!$B$21,"C",IF(M46&gt;=Assumptions!$B$22,"D","F"))))))</f>
        <v>S</v>
      </c>
      <c r="D46" s="3" t="s">
        <v>228</v>
      </c>
      <c r="E46" s="3" t="n">
        <v>11</v>
      </c>
      <c r="F46" s="12" t="n">
        <v>0.8453</v>
      </c>
      <c r="G46" s="12" t="n">
        <v>0.4</v>
      </c>
      <c r="H46" s="12" t="n">
        <v>0.75</v>
      </c>
      <c r="I46" s="12" t="n">
        <v>0.6125</v>
      </c>
      <c r="J46" s="12" t="n">
        <v>0.4897</v>
      </c>
      <c r="K46" s="12" t="n">
        <v>0.6803</v>
      </c>
      <c r="L46" s="3" t="n">
        <v>4</v>
      </c>
      <c r="M46" s="12" t="n">
        <f aca="false">Z46-W46</f>
        <v>0.214308</v>
      </c>
      <c r="N46" s="12" t="n">
        <f aca="false">IFERROR((Z46-J46)/L46,"")</f>
        <v>0.047652</v>
      </c>
      <c r="O46" s="3" t="n">
        <v>9</v>
      </c>
      <c r="P46" s="13" t="b">
        <f aca="false">FALSE()</f>
        <v>0</v>
      </c>
      <c r="Q46" s="3" t="s">
        <v>166</v>
      </c>
      <c r="R46" s="12" t="n">
        <v>0.9343</v>
      </c>
      <c r="S46" s="12" t="n">
        <v>0.7202</v>
      </c>
      <c r="T46" s="3" t="n">
        <v>0.2994</v>
      </c>
      <c r="U46" s="12" t="n">
        <v>0.4273</v>
      </c>
      <c r="V46" s="12" t="n">
        <v>0.5374</v>
      </c>
      <c r="W46" s="12" t="n">
        <v>0.466</v>
      </c>
      <c r="X46" s="3" t="n">
        <v>0.8138</v>
      </c>
      <c r="Y46" s="3" t="n">
        <v>0.6138</v>
      </c>
      <c r="Z46" s="14" t="n">
        <f aca="false">Assumptions!$B$3*R46+Assumptions!$B$4*S46+IF(AA46=1,Assumptions!$B$11,Assumptions!$B$5)*X46+IF(AA46=1,Assumptions!$B$12,Assumptions!$B$6)*T46+Assumptions!$B$7*U46+Assumptions!$B$8*V46+Assumptions!$B$9*Y46</f>
        <v>0.680308</v>
      </c>
      <c r="AA46" s="3" t="n">
        <v>0</v>
      </c>
    </row>
    <row r="47" customFormat="false" ht="15" hidden="false" customHeight="false" outlineLevel="0" collapsed="false">
      <c r="A47" s="3" t="s">
        <v>229</v>
      </c>
      <c r="B47" s="3" t="n">
        <v>490</v>
      </c>
      <c r="C47" s="11" t="str">
        <f aca="false">IF(M47&gt;=Assumptions!$B$17,"S+",IF(M47&gt;=Assumptions!$B$18,"S",IF(M47&gt;=Assumptions!$B$19,"A",IF(M47&gt;=Assumptions!$B$20,"B",IF(M47&gt;=Assumptions!$B$21,"C",IF(M47&gt;=Assumptions!$B$22,"D","F"))))))</f>
        <v>S</v>
      </c>
      <c r="D47" s="3" t="s">
        <v>200</v>
      </c>
      <c r="E47" s="3" t="n">
        <v>7</v>
      </c>
      <c r="F47" s="12" t="n">
        <v>0.7603</v>
      </c>
      <c r="G47" s="12" t="n">
        <v>0.85</v>
      </c>
      <c r="H47" s="12" t="n">
        <v>0.4722</v>
      </c>
      <c r="I47" s="12" t="n">
        <v>0.752</v>
      </c>
      <c r="J47" s="12" t="n">
        <v>0.5386</v>
      </c>
      <c r="K47" s="12" t="n">
        <v>0.71</v>
      </c>
      <c r="L47" s="3" t="n">
        <v>5</v>
      </c>
      <c r="M47" s="12" t="n">
        <f aca="false">Z47-W47</f>
        <v>0.213899</v>
      </c>
      <c r="N47" s="12" t="n">
        <f aca="false">IFERROR((Z47-J47)/L47,"")</f>
        <v>0.0342798</v>
      </c>
      <c r="O47" s="3" t="n">
        <v>13</v>
      </c>
      <c r="P47" s="13" t="b">
        <f aca="false">FALSE()</f>
        <v>0</v>
      </c>
      <c r="Q47" s="3" t="s">
        <v>166</v>
      </c>
      <c r="R47" s="12" t="n">
        <v>0.8024</v>
      </c>
      <c r="S47" s="12" t="n">
        <v>0.6652</v>
      </c>
      <c r="T47" s="3" t="n">
        <v>0.0473</v>
      </c>
      <c r="U47" s="12" t="n">
        <v>0.4911</v>
      </c>
      <c r="V47" s="12" t="n">
        <v>0.4757</v>
      </c>
      <c r="W47" s="12" t="n">
        <v>0.4961</v>
      </c>
      <c r="X47" s="3" t="n">
        <v>0.9314</v>
      </c>
      <c r="Y47" s="3" t="n">
        <v>0.7473</v>
      </c>
      <c r="Z47" s="14" t="n">
        <f aca="false">Assumptions!$B$3*R47+Assumptions!$B$4*S47+IF(AA47=1,Assumptions!$B$11,Assumptions!$B$5)*X47+IF(AA47=1,Assumptions!$B$12,Assumptions!$B$6)*T47+Assumptions!$B$7*U47+Assumptions!$B$8*V47+Assumptions!$B$9*Y47</f>
        <v>0.709999</v>
      </c>
      <c r="AA47" s="3" t="n">
        <v>1</v>
      </c>
    </row>
    <row r="48" customFormat="false" ht="15" hidden="false" customHeight="false" outlineLevel="0" collapsed="false">
      <c r="A48" s="3" t="s">
        <v>230</v>
      </c>
      <c r="B48" s="3" t="n">
        <v>489</v>
      </c>
      <c r="C48" s="11" t="str">
        <f aca="false">IF(M48&gt;=Assumptions!$B$17,"S+",IF(M48&gt;=Assumptions!$B$18,"S",IF(M48&gt;=Assumptions!$B$19,"A",IF(M48&gt;=Assumptions!$B$20,"B",IF(M48&gt;=Assumptions!$B$21,"C",IF(M48&gt;=Assumptions!$B$22,"D","F"))))))</f>
        <v>S</v>
      </c>
      <c r="D48" s="3" t="s">
        <v>208</v>
      </c>
      <c r="E48" s="3" t="n">
        <v>7</v>
      </c>
      <c r="F48" s="12" t="n">
        <v>0.8135</v>
      </c>
      <c r="G48" s="12" t="n">
        <v>0.45</v>
      </c>
      <c r="H48" s="12" t="n">
        <v>0.4454</v>
      </c>
      <c r="I48" s="12" t="n">
        <v>0.5763</v>
      </c>
      <c r="J48" s="12" t="n">
        <v>0.3637</v>
      </c>
      <c r="K48" s="12" t="n">
        <v>0.6197</v>
      </c>
      <c r="L48" s="3" t="n">
        <v>4</v>
      </c>
      <c r="M48" s="12" t="n">
        <f aca="false">Z48-W48</f>
        <v>0.212471</v>
      </c>
      <c r="N48" s="12" t="n">
        <f aca="false">IFERROR((Z48-J48)/L48,"")</f>
        <v>0.06399275</v>
      </c>
      <c r="O48" s="3" t="n">
        <v>13</v>
      </c>
      <c r="P48" s="13" t="b">
        <f aca="false">FALSE()</f>
        <v>0</v>
      </c>
      <c r="Q48" s="3" t="s">
        <v>166</v>
      </c>
      <c r="R48" s="12" t="n">
        <v>0.8089</v>
      </c>
      <c r="S48" s="12" t="n">
        <v>0.6067</v>
      </c>
      <c r="T48" s="3" t="n">
        <v>0.0162</v>
      </c>
      <c r="U48" s="12" t="n">
        <v>0.4556</v>
      </c>
      <c r="V48" s="12" t="n">
        <v>0.4802</v>
      </c>
      <c r="W48" s="12" t="n">
        <v>0.4072</v>
      </c>
      <c r="X48" s="3" t="n">
        <v>0.6688</v>
      </c>
      <c r="Y48" s="3" t="n">
        <v>0.5881</v>
      </c>
      <c r="Z48" s="14" t="n">
        <f aca="false">Assumptions!$B$3*R48+Assumptions!$B$4*S48+IF(AA48=1,Assumptions!$B$11,Assumptions!$B$5)*X48+IF(AA48=1,Assumptions!$B$12,Assumptions!$B$6)*T48+Assumptions!$B$7*U48+Assumptions!$B$8*V48+Assumptions!$B$9*Y48</f>
        <v>0.619671</v>
      </c>
      <c r="AA48" s="3" t="n">
        <v>1</v>
      </c>
    </row>
    <row r="49" customFormat="false" ht="15" hidden="false" customHeight="false" outlineLevel="0" collapsed="false">
      <c r="A49" s="3" t="s">
        <v>231</v>
      </c>
      <c r="B49" s="3" t="n">
        <v>454</v>
      </c>
      <c r="C49" s="11" t="str">
        <f aca="false">IF(M49&gt;=Assumptions!$B$17,"S+",IF(M49&gt;=Assumptions!$B$18,"S",IF(M49&gt;=Assumptions!$B$19,"A",IF(M49&gt;=Assumptions!$B$20,"B",IF(M49&gt;=Assumptions!$B$21,"C",IF(M49&gt;=Assumptions!$B$22,"D","F"))))))</f>
        <v>S</v>
      </c>
      <c r="D49" s="3" t="s">
        <v>171</v>
      </c>
      <c r="E49" s="3" t="n">
        <v>1</v>
      </c>
      <c r="F49" s="12" t="n">
        <v>0.8443</v>
      </c>
      <c r="G49" s="12" t="n">
        <v>0.45</v>
      </c>
      <c r="H49" s="12" t="n">
        <v>0.75</v>
      </c>
      <c r="I49" s="12" t="n">
        <v>0.581</v>
      </c>
      <c r="J49" s="12" t="n">
        <v>0.3864</v>
      </c>
      <c r="K49" s="12" t="n">
        <v>0.6097</v>
      </c>
      <c r="L49" s="3" t="n">
        <v>3.63</v>
      </c>
      <c r="M49" s="12" t="n">
        <f aca="false">Z49-W49</f>
        <v>0.209906</v>
      </c>
      <c r="N49" s="12" t="n">
        <f aca="false">IFERROR((Z49-J49)/L49,"")</f>
        <v>0.0615168044077135</v>
      </c>
      <c r="O49" s="3" t="n">
        <v>19</v>
      </c>
      <c r="P49" s="13" t="b">
        <f aca="false">FALSE()</f>
        <v>0</v>
      </c>
      <c r="Q49" s="3" t="s">
        <v>201</v>
      </c>
      <c r="R49" s="12" t="n">
        <v>0.7011</v>
      </c>
      <c r="S49" s="12" t="n">
        <v>0.7638</v>
      </c>
      <c r="T49" s="3" t="n">
        <v>0.1291</v>
      </c>
      <c r="U49" s="12" t="n">
        <v>0.4089</v>
      </c>
      <c r="V49" s="12" t="n">
        <v>0.4878</v>
      </c>
      <c r="W49" s="12" t="n">
        <v>0.3998</v>
      </c>
      <c r="X49" s="3" t="n">
        <v>0.6652</v>
      </c>
      <c r="Y49" s="3" t="n">
        <v>0.5349</v>
      </c>
      <c r="Z49" s="14" t="n">
        <f aca="false">Assumptions!$B$3*R49+Assumptions!$B$4*S49+IF(AA49=1,Assumptions!$B$11,Assumptions!$B$5)*X49+IF(AA49=1,Assumptions!$B$12,Assumptions!$B$6)*T49+Assumptions!$B$7*U49+Assumptions!$B$8*V49+Assumptions!$B$9*Y49</f>
        <v>0.609706</v>
      </c>
      <c r="AA49" s="3" t="n">
        <v>1</v>
      </c>
    </row>
    <row r="50" customFormat="false" ht="15" hidden="false" customHeight="false" outlineLevel="0" collapsed="false">
      <c r="A50" s="3" t="s">
        <v>232</v>
      </c>
      <c r="B50" s="3" t="n">
        <v>540</v>
      </c>
      <c r="C50" s="11" t="str">
        <f aca="false">IF(M50&gt;=Assumptions!$B$17,"S+",IF(M50&gt;=Assumptions!$B$18,"S",IF(M50&gt;=Assumptions!$B$19,"A",IF(M50&gt;=Assumptions!$B$20,"B",IF(M50&gt;=Assumptions!$B$21,"C",IF(M50&gt;=Assumptions!$B$22,"D","F"))))))</f>
        <v>A</v>
      </c>
      <c r="D50" s="3" t="s">
        <v>183</v>
      </c>
      <c r="E50" s="3" t="n">
        <v>4</v>
      </c>
      <c r="F50" s="12" t="n">
        <v>0.9959</v>
      </c>
      <c r="G50" s="12" t="n">
        <v>0.64</v>
      </c>
      <c r="H50" s="12" t="n">
        <v>0.4762</v>
      </c>
      <c r="I50" s="12" t="n">
        <v>0.6987</v>
      </c>
      <c r="J50" s="12" t="n">
        <v>0.5541</v>
      </c>
      <c r="K50" s="12" t="n">
        <v>0.7079</v>
      </c>
      <c r="L50" s="3" t="n">
        <v>6.88</v>
      </c>
      <c r="M50" s="12" t="n">
        <f aca="false">Z50-W50</f>
        <v>0.208311</v>
      </c>
      <c r="N50" s="12" t="n">
        <f aca="false">IFERROR((Z50-J50)/L50,"")</f>
        <v>0.02235625</v>
      </c>
      <c r="O50" s="3" t="n">
        <v>16</v>
      </c>
      <c r="P50" s="13" t="b">
        <f aca="false">FALSE()</f>
        <v>0</v>
      </c>
      <c r="Q50" s="3" t="s">
        <v>166</v>
      </c>
      <c r="R50" s="12" t="n">
        <v>0.8865</v>
      </c>
      <c r="S50" s="12" t="n">
        <v>0.7738</v>
      </c>
      <c r="T50" s="3" t="n">
        <v>0.0793</v>
      </c>
      <c r="U50" s="12" t="n">
        <v>0.4182</v>
      </c>
      <c r="V50" s="12" t="n">
        <v>0.4637</v>
      </c>
      <c r="W50" s="12" t="n">
        <v>0.4996</v>
      </c>
      <c r="X50" s="3" t="n">
        <v>0.8158</v>
      </c>
      <c r="Y50" s="3" t="n">
        <v>0.6956</v>
      </c>
      <c r="Z50" s="14" t="n">
        <f aca="false">Assumptions!$B$3*R50+Assumptions!$B$4*S50+IF(AA50=1,Assumptions!$B$11,Assumptions!$B$5)*X50+IF(AA50=1,Assumptions!$B$12,Assumptions!$B$6)*T50+Assumptions!$B$7*U50+Assumptions!$B$8*V50+Assumptions!$B$9*Y50</f>
        <v>0.707911</v>
      </c>
      <c r="AA50" s="3" t="n">
        <v>1</v>
      </c>
    </row>
    <row r="51" customFormat="false" ht="15" hidden="false" customHeight="false" outlineLevel="0" collapsed="false">
      <c r="A51" s="3" t="s">
        <v>233</v>
      </c>
      <c r="B51" s="3" t="n">
        <v>700</v>
      </c>
      <c r="C51" s="11" t="str">
        <f aca="false">IF(M51&gt;=Assumptions!$B$17,"S+",IF(M51&gt;=Assumptions!$B$18,"S",IF(M51&gt;=Assumptions!$B$19,"A",IF(M51&gt;=Assumptions!$B$20,"B",IF(M51&gt;=Assumptions!$B$21,"C",IF(M51&gt;=Assumptions!$B$22,"D","F"))))))</f>
        <v>A</v>
      </c>
      <c r="D51" s="3" t="s">
        <v>228</v>
      </c>
      <c r="E51" s="3" t="n">
        <v>19</v>
      </c>
      <c r="F51" s="12" t="n">
        <v>0.9914</v>
      </c>
      <c r="G51" s="12" t="n">
        <v>0.4</v>
      </c>
      <c r="H51" s="12" t="n">
        <v>0.75</v>
      </c>
      <c r="I51" s="12" t="n">
        <v>0.6592</v>
      </c>
      <c r="J51" s="12" t="n">
        <v>0.4486</v>
      </c>
      <c r="K51" s="12" t="n">
        <v>0.645</v>
      </c>
      <c r="L51" s="3" t="n">
        <v>4</v>
      </c>
      <c r="M51" s="12" t="n">
        <f aca="false">Z51-W51</f>
        <v>0.208252</v>
      </c>
      <c r="N51" s="12" t="n">
        <f aca="false">IFERROR((Z51-J51)/L51,"")</f>
        <v>0.049113</v>
      </c>
      <c r="O51" s="3" t="n">
        <v>1</v>
      </c>
      <c r="P51" s="13" t="b">
        <f aca="false">FALSE()</f>
        <v>0</v>
      </c>
      <c r="Q51" s="3" t="s">
        <v>166</v>
      </c>
      <c r="R51" s="12" t="n">
        <v>0.9517</v>
      </c>
      <c r="S51" s="12" t="n">
        <v>0.3457</v>
      </c>
      <c r="T51" s="3" t="n">
        <v>0.5833</v>
      </c>
      <c r="U51" s="12" t="n">
        <v>0.4615</v>
      </c>
      <c r="V51" s="12" t="n">
        <v>0.4107</v>
      </c>
      <c r="W51" s="12" t="n">
        <v>0.4368</v>
      </c>
      <c r="X51" s="3" t="n">
        <v>0.7407</v>
      </c>
      <c r="Y51" s="3" t="n">
        <v>0.6592</v>
      </c>
      <c r="Z51" s="14" t="n">
        <f aca="false">Assumptions!$B$3*R51+Assumptions!$B$4*S51+IF(AA51=1,Assumptions!$B$11,Assumptions!$B$5)*X51+IF(AA51=1,Assumptions!$B$12,Assumptions!$B$6)*T51+Assumptions!$B$7*U51+Assumptions!$B$8*V51+Assumptions!$B$9*Y51</f>
        <v>0.645052</v>
      </c>
      <c r="AA51" s="3" t="n">
        <v>0</v>
      </c>
    </row>
    <row r="52" customFormat="false" ht="15" hidden="false" customHeight="false" outlineLevel="0" collapsed="false">
      <c r="A52" s="3" t="s">
        <v>234</v>
      </c>
      <c r="B52" s="3" t="n">
        <v>552</v>
      </c>
      <c r="C52" s="11" t="str">
        <f aca="false">IF(M52&gt;=Assumptions!$B$17,"S+",IF(M52&gt;=Assumptions!$B$18,"S",IF(M52&gt;=Assumptions!$B$19,"A",IF(M52&gt;=Assumptions!$B$20,"B",IF(M52&gt;=Assumptions!$B$21,"C",IF(M52&gt;=Assumptions!$B$22,"D","F"))))))</f>
        <v>A</v>
      </c>
      <c r="D52" s="3" t="s">
        <v>180</v>
      </c>
      <c r="E52" s="3" t="n">
        <v>6</v>
      </c>
      <c r="F52" s="12" t="n">
        <v>0.8818</v>
      </c>
      <c r="G52" s="12" t="n">
        <v>0.85</v>
      </c>
      <c r="H52" s="12" t="n">
        <v>0.5298</v>
      </c>
      <c r="I52" s="12" t="n">
        <v>0.7923</v>
      </c>
      <c r="J52" s="12" t="n">
        <v>0.4994</v>
      </c>
      <c r="K52" s="12" t="n">
        <v>0.7034</v>
      </c>
      <c r="L52" s="3" t="n">
        <v>5</v>
      </c>
      <c r="M52" s="12" t="n">
        <f aca="false">Z52-W52</f>
        <v>0.207838</v>
      </c>
      <c r="N52" s="12" t="n">
        <f aca="false">IFERROR((Z52-J52)/L52,"")</f>
        <v>0.0407876</v>
      </c>
      <c r="O52" s="3" t="n">
        <v>14</v>
      </c>
      <c r="P52" s="13" t="b">
        <f aca="false">FALSE()</f>
        <v>0</v>
      </c>
      <c r="Q52" s="3" t="s">
        <v>166</v>
      </c>
      <c r="R52" s="12" t="n">
        <v>0.7473</v>
      </c>
      <c r="S52" s="12" t="n">
        <v>0.684</v>
      </c>
      <c r="T52" s="3" t="n">
        <v>0.1797</v>
      </c>
      <c r="U52" s="12" t="n">
        <v>0.5714</v>
      </c>
      <c r="V52" s="12" t="n">
        <v>0.534</v>
      </c>
      <c r="W52" s="12" t="n">
        <v>0.4955</v>
      </c>
      <c r="X52" s="3" t="n">
        <v>0.8498</v>
      </c>
      <c r="Y52" s="3" t="n">
        <v>0.7942</v>
      </c>
      <c r="Z52" s="14" t="n">
        <f aca="false">Assumptions!$B$3*R52+Assumptions!$B$4*S52+IF(AA52=1,Assumptions!$B$11,Assumptions!$B$5)*X52+IF(AA52=1,Assumptions!$B$12,Assumptions!$B$6)*T52+Assumptions!$B$7*U52+Assumptions!$B$8*V52+Assumptions!$B$9*Y52</f>
        <v>0.703338</v>
      </c>
      <c r="AA52" s="3" t="n">
        <v>1</v>
      </c>
    </row>
    <row r="53" customFormat="false" ht="15" hidden="false" customHeight="false" outlineLevel="0" collapsed="false">
      <c r="A53" s="3" t="s">
        <v>235</v>
      </c>
      <c r="B53" s="3" t="n">
        <v>425</v>
      </c>
      <c r="C53" s="11" t="str">
        <f aca="false">IF(M53&gt;=Assumptions!$B$17,"S+",IF(M53&gt;=Assumptions!$B$18,"S",IF(M53&gt;=Assumptions!$B$19,"A",IF(M53&gt;=Assumptions!$B$20,"B",IF(M53&gt;=Assumptions!$B$21,"C",IF(M53&gt;=Assumptions!$B$22,"D","F"))))))</f>
        <v>A</v>
      </c>
      <c r="D53" s="3" t="s">
        <v>188</v>
      </c>
      <c r="E53" s="3" t="n">
        <v>4</v>
      </c>
      <c r="F53" s="12" t="n">
        <v>0.8069</v>
      </c>
      <c r="G53" s="12" t="n">
        <v>0.85</v>
      </c>
      <c r="H53" s="12" t="n">
        <v>0.75</v>
      </c>
      <c r="I53" s="12" t="n">
        <v>0.8235</v>
      </c>
      <c r="J53" s="12" t="n">
        <v>0.3862</v>
      </c>
      <c r="K53" s="12" t="n">
        <v>0.5985</v>
      </c>
      <c r="L53" s="3" t="n">
        <v>6.88</v>
      </c>
      <c r="M53" s="12" t="n">
        <f aca="false">Z53-W53</f>
        <v>0.207211</v>
      </c>
      <c r="N53" s="12" t="n">
        <f aca="false">IFERROR((Z53-J53)/L53,"")</f>
        <v>0.0308591569767442</v>
      </c>
      <c r="O53" s="3" t="n">
        <v>16</v>
      </c>
      <c r="P53" s="13" t="b">
        <f aca="false">FALSE()</f>
        <v>0</v>
      </c>
      <c r="Q53" s="3" t="s">
        <v>166</v>
      </c>
      <c r="R53" s="12" t="n">
        <v>0.5417</v>
      </c>
      <c r="S53" s="12" t="n">
        <v>0.646</v>
      </c>
      <c r="T53" s="3" t="n">
        <v>0.3995</v>
      </c>
      <c r="U53" s="12" t="n">
        <v>0.4856</v>
      </c>
      <c r="V53" s="12" t="n">
        <v>0.5075</v>
      </c>
      <c r="W53" s="12" t="n">
        <v>0.3913</v>
      </c>
      <c r="X53" s="3" t="n">
        <v>0.7874</v>
      </c>
      <c r="Y53" s="3" t="n">
        <v>0.8246</v>
      </c>
      <c r="Z53" s="14" t="n">
        <f aca="false">Assumptions!$B$3*R53+Assumptions!$B$4*S53+IF(AA53=1,Assumptions!$B$11,Assumptions!$B$5)*X53+IF(AA53=1,Assumptions!$B$12,Assumptions!$B$6)*T53+Assumptions!$B$7*U53+Assumptions!$B$8*V53+Assumptions!$B$9*Y53</f>
        <v>0.598511</v>
      </c>
      <c r="AA53" s="3" t="n">
        <v>0</v>
      </c>
    </row>
    <row r="54" customFormat="false" ht="15" hidden="false" customHeight="false" outlineLevel="0" collapsed="false">
      <c r="A54" s="3" t="s">
        <v>236</v>
      </c>
      <c r="B54" s="3" t="n">
        <v>490</v>
      </c>
      <c r="C54" s="11" t="str">
        <f aca="false">IF(M54&gt;=Assumptions!$B$17,"S+",IF(M54&gt;=Assumptions!$B$18,"S",IF(M54&gt;=Assumptions!$B$19,"A",IF(M54&gt;=Assumptions!$B$20,"B",IF(M54&gt;=Assumptions!$B$21,"C",IF(M54&gt;=Assumptions!$B$22,"D","F"))))))</f>
        <v>A</v>
      </c>
      <c r="D54" s="3" t="s">
        <v>237</v>
      </c>
      <c r="E54" s="3" t="n">
        <v>3</v>
      </c>
      <c r="F54" s="12" t="n">
        <v>0.7828</v>
      </c>
      <c r="G54" s="12" t="n">
        <v>0.6</v>
      </c>
      <c r="H54" s="12" t="n">
        <v>0.75</v>
      </c>
      <c r="I54" s="12" t="n">
        <v>0.6629</v>
      </c>
      <c r="J54" s="12" t="n">
        <v>0.4086</v>
      </c>
      <c r="K54" s="12" t="n">
        <v>0.6056</v>
      </c>
      <c r="L54" s="3" t="n">
        <v>3.82</v>
      </c>
      <c r="M54" s="12" t="n">
        <f aca="false">Z54-W54</f>
        <v>0.20536</v>
      </c>
      <c r="N54" s="12" t="n">
        <f aca="false">IFERROR((Z54-J54)/L54,"")</f>
        <v>0.0515602094240838</v>
      </c>
      <c r="O54" s="3" t="n">
        <v>17</v>
      </c>
      <c r="P54" s="13" t="b">
        <f aca="false">FALSE()</f>
        <v>0</v>
      </c>
      <c r="Q54" s="3" t="s">
        <v>166</v>
      </c>
      <c r="R54" s="12" t="n">
        <v>0.8574</v>
      </c>
      <c r="S54" s="12" t="n">
        <v>0.5134</v>
      </c>
      <c r="T54" s="3" t="n">
        <v>0.4081</v>
      </c>
      <c r="U54" s="12" t="n">
        <v>0.4163</v>
      </c>
      <c r="V54" s="12" t="n">
        <v>0.382</v>
      </c>
      <c r="W54" s="12" t="n">
        <v>0.4002</v>
      </c>
      <c r="X54" s="3" t="n">
        <v>0.6799</v>
      </c>
      <c r="Y54" s="3" t="n">
        <v>0.6422</v>
      </c>
      <c r="Z54" s="14" t="n">
        <f aca="false">Assumptions!$B$3*R54+Assumptions!$B$4*S54+IF(AA54=1,Assumptions!$B$11,Assumptions!$B$5)*X54+IF(AA54=1,Assumptions!$B$12,Assumptions!$B$6)*T54+Assumptions!$B$7*U54+Assumptions!$B$8*V54+Assumptions!$B$9*Y54</f>
        <v>0.60556</v>
      </c>
      <c r="AA54" s="3" t="n">
        <v>0</v>
      </c>
    </row>
    <row r="55" customFormat="false" ht="15" hidden="false" customHeight="false" outlineLevel="0" collapsed="false">
      <c r="A55" s="3" t="s">
        <v>238</v>
      </c>
      <c r="B55" s="3" t="n">
        <v>490</v>
      </c>
      <c r="C55" s="11" t="str">
        <f aca="false">IF(M55&gt;=Assumptions!$B$17,"S+",IF(M55&gt;=Assumptions!$B$18,"S",IF(M55&gt;=Assumptions!$B$19,"A",IF(M55&gt;=Assumptions!$B$20,"B",IF(M55&gt;=Assumptions!$B$21,"C",IF(M55&gt;=Assumptions!$B$22,"D","F"))))))</f>
        <v>A</v>
      </c>
      <c r="D55" s="3" t="s">
        <v>175</v>
      </c>
      <c r="E55" s="3" t="n">
        <v>4</v>
      </c>
      <c r="F55" s="12" t="n">
        <v>0.8654</v>
      </c>
      <c r="G55" s="12" t="n">
        <v>0.6</v>
      </c>
      <c r="H55" s="12" t="n">
        <v>0.75</v>
      </c>
      <c r="I55" s="12" t="n">
        <v>0.6698</v>
      </c>
      <c r="J55" s="12" t="n">
        <v>0.3342</v>
      </c>
      <c r="K55" s="12" t="n">
        <v>0.6018</v>
      </c>
      <c r="L55" s="3" t="n">
        <v>5.78</v>
      </c>
      <c r="M55" s="12" t="n">
        <f aca="false">Z55-W55</f>
        <v>0.205141</v>
      </c>
      <c r="N55" s="12" t="n">
        <f aca="false">IFERROR((Z55-J55)/L55,"")</f>
        <v>0.0462873702422146</v>
      </c>
      <c r="O55" s="3" t="n">
        <v>16</v>
      </c>
      <c r="P55" s="13" t="b">
        <f aca="false">FALSE()</f>
        <v>0</v>
      </c>
      <c r="Q55" s="3" t="s">
        <v>166</v>
      </c>
      <c r="R55" s="12" t="n">
        <v>0.7276</v>
      </c>
      <c r="S55" s="12" t="n">
        <v>0.6424</v>
      </c>
      <c r="T55" s="3" t="n">
        <v>0.2425</v>
      </c>
      <c r="U55" s="12" t="n">
        <v>0.476</v>
      </c>
      <c r="V55" s="12" t="n">
        <v>0.4691</v>
      </c>
      <c r="W55" s="12" t="n">
        <v>0.3966</v>
      </c>
      <c r="X55" s="3" t="n">
        <v>0.7934</v>
      </c>
      <c r="Y55" s="3" t="n">
        <v>0.6096</v>
      </c>
      <c r="Z55" s="14" t="n">
        <f aca="false">Assumptions!$B$3*R55+Assumptions!$B$4*S55+IF(AA55=1,Assumptions!$B$11,Assumptions!$B$5)*X55+IF(AA55=1,Assumptions!$B$12,Assumptions!$B$6)*T55+Assumptions!$B$7*U55+Assumptions!$B$8*V55+Assumptions!$B$9*Y55</f>
        <v>0.601741</v>
      </c>
      <c r="AA55" s="3" t="n">
        <v>0</v>
      </c>
    </row>
    <row r="56" customFormat="false" ht="15" hidden="false" customHeight="false" outlineLevel="0" collapsed="false">
      <c r="A56" s="3" t="s">
        <v>239</v>
      </c>
      <c r="B56" s="3" t="n">
        <v>470</v>
      </c>
      <c r="C56" s="11" t="str">
        <f aca="false">IF(M56&gt;=Assumptions!$B$17,"S+",IF(M56&gt;=Assumptions!$B$18,"S",IF(M56&gt;=Assumptions!$B$19,"A",IF(M56&gt;=Assumptions!$B$20,"B",IF(M56&gt;=Assumptions!$B$21,"C",IF(M56&gt;=Assumptions!$B$22,"D","F"))))))</f>
        <v>A</v>
      </c>
      <c r="D56" s="3" t="s">
        <v>173</v>
      </c>
      <c r="E56" s="3" t="n">
        <v>4</v>
      </c>
      <c r="F56" s="12" t="n">
        <v>0.5954</v>
      </c>
      <c r="G56" s="12" t="n">
        <v>0.85</v>
      </c>
      <c r="H56" s="12" t="n">
        <v>0.75</v>
      </c>
      <c r="I56" s="12" t="n">
        <v>0.7842</v>
      </c>
      <c r="J56" s="12" t="n">
        <v>0.3718</v>
      </c>
      <c r="K56" s="12" t="n">
        <v>0.6299</v>
      </c>
      <c r="L56" s="3" t="n">
        <v>5.88</v>
      </c>
      <c r="M56" s="12" t="n">
        <f aca="false">Z56-W56</f>
        <v>0.205154</v>
      </c>
      <c r="N56" s="12" t="n">
        <f aca="false">IFERROR((Z56-J56)/L56,"")</f>
        <v>0.0438867346938776</v>
      </c>
      <c r="O56" s="3" t="n">
        <v>16</v>
      </c>
      <c r="P56" s="13" t="b">
        <f aca="false">FALSE()</f>
        <v>0</v>
      </c>
      <c r="Q56" s="3" t="s">
        <v>166</v>
      </c>
      <c r="R56" s="12" t="n">
        <v>0.6247</v>
      </c>
      <c r="S56" s="12" t="n">
        <v>0.6287</v>
      </c>
      <c r="T56" s="3" t="n">
        <v>0.2656</v>
      </c>
      <c r="U56" s="12" t="n">
        <v>0.5289</v>
      </c>
      <c r="V56" s="12" t="n">
        <v>0.5989</v>
      </c>
      <c r="W56" s="12" t="n">
        <v>0.4247</v>
      </c>
      <c r="X56" s="3" t="n">
        <v>0.6991</v>
      </c>
      <c r="Y56" s="3" t="n">
        <v>0.7595</v>
      </c>
      <c r="Z56" s="14" t="n">
        <f aca="false">Assumptions!$B$3*R56+Assumptions!$B$4*S56+IF(AA56=1,Assumptions!$B$11,Assumptions!$B$5)*X56+IF(AA56=1,Assumptions!$B$12,Assumptions!$B$6)*T56+Assumptions!$B$7*U56+Assumptions!$B$8*V56+Assumptions!$B$9*Y56</f>
        <v>0.629854</v>
      </c>
      <c r="AA56" s="3" t="n">
        <v>1</v>
      </c>
    </row>
    <row r="57" customFormat="false" ht="15" hidden="false" customHeight="false" outlineLevel="0" collapsed="false">
      <c r="A57" s="3" t="s">
        <v>240</v>
      </c>
      <c r="B57" s="3" t="n">
        <v>580</v>
      </c>
      <c r="C57" s="11" t="str">
        <f aca="false">IF(M57&gt;=Assumptions!$B$17,"S+",IF(M57&gt;=Assumptions!$B$18,"S",IF(M57&gt;=Assumptions!$B$19,"A",IF(M57&gt;=Assumptions!$B$20,"B",IF(M57&gt;=Assumptions!$B$21,"C",IF(M57&gt;=Assumptions!$B$22,"D","F"))))))</f>
        <v>A</v>
      </c>
      <c r="D57" s="3" t="s">
        <v>197</v>
      </c>
      <c r="E57" s="3" t="n">
        <v>9</v>
      </c>
      <c r="F57" s="12" t="n">
        <v>0.8812</v>
      </c>
      <c r="G57" s="12" t="n">
        <v>0.6</v>
      </c>
      <c r="H57" s="12" t="n">
        <v>0.75</v>
      </c>
      <c r="I57" s="12" t="n">
        <v>0.7369</v>
      </c>
      <c r="J57" s="12" t="n">
        <v>0.4513</v>
      </c>
      <c r="K57" s="12" t="n">
        <v>0.6895</v>
      </c>
      <c r="L57" s="3" t="n">
        <v>4</v>
      </c>
      <c r="M57" s="12" t="n">
        <f aca="false">Z57-W57</f>
        <v>0.203364</v>
      </c>
      <c r="N57" s="12" t="n">
        <f aca="false">IFERROR((Z57-J57)/L57,"")</f>
        <v>0.059541</v>
      </c>
      <c r="O57" s="3" t="n">
        <v>11</v>
      </c>
      <c r="P57" s="13" t="b">
        <f aca="false">TRUE()</f>
        <v>1</v>
      </c>
      <c r="Q57" s="3" t="s">
        <v>166</v>
      </c>
      <c r="R57" s="12" t="n">
        <v>0.8769</v>
      </c>
      <c r="S57" s="12" t="n">
        <v>0.5879</v>
      </c>
      <c r="T57" s="3" t="n">
        <v>0.5318</v>
      </c>
      <c r="U57" s="12" t="n">
        <v>0.5385</v>
      </c>
      <c r="V57" s="12" t="n">
        <v>0.5049</v>
      </c>
      <c r="W57" s="12" t="n">
        <v>0.4861</v>
      </c>
      <c r="X57" s="3" t="n">
        <v>0.7895</v>
      </c>
      <c r="Y57" s="3" t="n">
        <v>0.7376</v>
      </c>
      <c r="Z57" s="14" t="n">
        <f aca="false">Assumptions!$B$3*R57+Assumptions!$B$4*S57+IF(AA57=1,Assumptions!$B$11,Assumptions!$B$5)*X57+IF(AA57=1,Assumptions!$B$12,Assumptions!$B$6)*T57+Assumptions!$B$7*U57+Assumptions!$B$8*V57+Assumptions!$B$9*Y57</f>
        <v>0.689464</v>
      </c>
      <c r="AA57" s="3" t="n">
        <v>0</v>
      </c>
    </row>
    <row r="58" customFormat="false" ht="15" hidden="false" customHeight="false" outlineLevel="0" collapsed="false">
      <c r="A58" s="3" t="s">
        <v>241</v>
      </c>
      <c r="B58" s="3" t="n">
        <v>535</v>
      </c>
      <c r="C58" s="11" t="str">
        <f aca="false">IF(M58&gt;=Assumptions!$B$17,"S+",IF(M58&gt;=Assumptions!$B$18,"S",IF(M58&gt;=Assumptions!$B$19,"A",IF(M58&gt;=Assumptions!$B$20,"B",IF(M58&gt;=Assumptions!$B$21,"C",IF(M58&gt;=Assumptions!$B$22,"D","F"))))))</f>
        <v>A</v>
      </c>
      <c r="D58" s="3" t="s">
        <v>208</v>
      </c>
      <c r="E58" s="3" t="n">
        <v>1</v>
      </c>
      <c r="F58" s="12" t="n">
        <v>0.7644</v>
      </c>
      <c r="G58" s="12" t="n">
        <v>0.6</v>
      </c>
      <c r="H58" s="12" t="n">
        <v>0.5179</v>
      </c>
      <c r="I58" s="12" t="n">
        <v>0.6411</v>
      </c>
      <c r="J58" s="12" t="n">
        <v>0.4481</v>
      </c>
      <c r="K58" s="12" t="n">
        <v>0.633</v>
      </c>
      <c r="L58" s="3" t="n">
        <v>5.66</v>
      </c>
      <c r="M58" s="12" t="n">
        <f aca="false">Z58-W58</f>
        <v>0.203215</v>
      </c>
      <c r="N58" s="12" t="n">
        <f aca="false">IFERROR((Z58-J58)/L58,"")</f>
        <v>0.0326704946996466</v>
      </c>
      <c r="O58" s="3" t="n">
        <v>19</v>
      </c>
      <c r="P58" s="13" t="b">
        <f aca="false">FALSE()</f>
        <v>0</v>
      </c>
      <c r="Q58" s="3" t="s">
        <v>166</v>
      </c>
      <c r="R58" s="12" t="n">
        <v>0.7685</v>
      </c>
      <c r="S58" s="12" t="n">
        <v>0.8181</v>
      </c>
      <c r="T58" s="3" t="n">
        <v>0.2621</v>
      </c>
      <c r="U58" s="12" t="n">
        <v>0.3886</v>
      </c>
      <c r="V58" s="12" t="n">
        <v>0.52</v>
      </c>
      <c r="W58" s="12" t="n">
        <v>0.4298</v>
      </c>
      <c r="X58" s="3" t="n">
        <v>0.5799</v>
      </c>
      <c r="Y58" s="3" t="n">
        <v>0.6477</v>
      </c>
      <c r="Z58" s="14" t="n">
        <f aca="false">Assumptions!$B$3*R58+Assumptions!$B$4*S58+IF(AA58=1,Assumptions!$B$11,Assumptions!$B$5)*X58+IF(AA58=1,Assumptions!$B$12,Assumptions!$B$6)*T58+Assumptions!$B$7*U58+Assumptions!$B$8*V58+Assumptions!$B$9*Y58</f>
        <v>0.633015</v>
      </c>
      <c r="AA58" s="3" t="n">
        <v>1</v>
      </c>
    </row>
    <row r="59" customFormat="false" ht="15" hidden="false" customHeight="false" outlineLevel="0" collapsed="false">
      <c r="A59" s="3" t="s">
        <v>242</v>
      </c>
      <c r="B59" s="3" t="n">
        <v>485</v>
      </c>
      <c r="C59" s="11" t="str">
        <f aca="false">IF(M59&gt;=Assumptions!$B$17,"S+",IF(M59&gt;=Assumptions!$B$18,"S",IF(M59&gt;=Assumptions!$B$19,"A",IF(M59&gt;=Assumptions!$B$20,"B",IF(M59&gt;=Assumptions!$B$21,"C",IF(M59&gt;=Assumptions!$B$22,"D","F"))))))</f>
        <v>A</v>
      </c>
      <c r="D59" s="3" t="s">
        <v>169</v>
      </c>
      <c r="E59" s="3" t="n">
        <v>4</v>
      </c>
      <c r="F59" s="12" t="n">
        <v>0.6262</v>
      </c>
      <c r="G59" s="12" t="n">
        <v>1</v>
      </c>
      <c r="H59" s="12" t="n">
        <v>0.5298</v>
      </c>
      <c r="I59" s="12" t="n">
        <v>0.8312</v>
      </c>
      <c r="J59" s="12" t="n">
        <v>0.4131</v>
      </c>
      <c r="K59" s="12" t="n">
        <v>0.6625</v>
      </c>
      <c r="L59" s="3" t="n">
        <v>6.91</v>
      </c>
      <c r="M59" s="12" t="n">
        <f aca="false">Z59-W59</f>
        <v>0.20123</v>
      </c>
      <c r="N59" s="12" t="n">
        <f aca="false">IFERROR((Z59-J59)/L59,"")</f>
        <v>0.0360969609261939</v>
      </c>
      <c r="O59" s="3" t="n">
        <v>16</v>
      </c>
      <c r="P59" s="13" t="b">
        <f aca="false">FALSE()</f>
        <v>0</v>
      </c>
      <c r="Q59" s="3" t="s">
        <v>166</v>
      </c>
      <c r="R59" s="12" t="n">
        <v>0.57</v>
      </c>
      <c r="S59" s="12" t="n">
        <v>0.6441</v>
      </c>
      <c r="T59" s="3" t="n">
        <v>0.3683</v>
      </c>
      <c r="U59" s="12" t="n">
        <v>0.6779</v>
      </c>
      <c r="V59" s="12" t="n">
        <v>0.5359</v>
      </c>
      <c r="W59" s="12" t="n">
        <v>0.4613</v>
      </c>
      <c r="X59" s="3" t="n">
        <v>0.8116</v>
      </c>
      <c r="Y59" s="3" t="n">
        <v>0.8146</v>
      </c>
      <c r="Z59" s="14" t="n">
        <f aca="false">Assumptions!$B$3*R59+Assumptions!$B$4*S59+IF(AA59=1,Assumptions!$B$11,Assumptions!$B$5)*X59+IF(AA59=1,Assumptions!$B$12,Assumptions!$B$6)*T59+Assumptions!$B$7*U59+Assumptions!$B$8*V59+Assumptions!$B$9*Y59</f>
        <v>0.66253</v>
      </c>
      <c r="AA59" s="3" t="n">
        <v>1</v>
      </c>
    </row>
    <row r="60" customFormat="false" ht="15" hidden="false" customHeight="false" outlineLevel="0" collapsed="false">
      <c r="A60" s="3" t="s">
        <v>243</v>
      </c>
      <c r="B60" s="3" t="n">
        <v>454</v>
      </c>
      <c r="C60" s="11" t="str">
        <f aca="false">IF(M60&gt;=Assumptions!$B$17,"S+",IF(M60&gt;=Assumptions!$B$18,"S",IF(M60&gt;=Assumptions!$B$19,"A",IF(M60&gt;=Assumptions!$B$20,"B",IF(M60&gt;=Assumptions!$B$21,"C",IF(M60&gt;=Assumptions!$B$22,"D","F"))))))</f>
        <v>A</v>
      </c>
      <c r="D60" s="3" t="s">
        <v>171</v>
      </c>
      <c r="E60" s="3" t="n">
        <v>2</v>
      </c>
      <c r="F60" s="12" t="n">
        <v>0.8443</v>
      </c>
      <c r="G60" s="12" t="n">
        <v>0.45</v>
      </c>
      <c r="H60" s="12" t="n">
        <v>0.75</v>
      </c>
      <c r="I60" s="12" t="n">
        <v>0.581</v>
      </c>
      <c r="J60" s="12" t="n">
        <v>0.3838</v>
      </c>
      <c r="K60" s="12" t="n">
        <v>0.599</v>
      </c>
      <c r="L60" s="3" t="n">
        <v>4.64</v>
      </c>
      <c r="M60" s="12" t="n">
        <f aca="false">Z60-W60</f>
        <v>0.20075</v>
      </c>
      <c r="N60" s="12" t="n">
        <f aca="false">IFERROR((Z60-J60)/L60,"")</f>
        <v>0.0463685344827586</v>
      </c>
      <c r="O60" s="3" t="n">
        <v>18</v>
      </c>
      <c r="P60" s="13" t="b">
        <f aca="false">FALSE()</f>
        <v>0</v>
      </c>
      <c r="Q60" s="3" t="s">
        <v>166</v>
      </c>
      <c r="R60" s="12" t="n">
        <v>0.6079</v>
      </c>
      <c r="S60" s="12" t="n">
        <v>0.71</v>
      </c>
      <c r="T60" s="3" t="n">
        <v>0.1428</v>
      </c>
      <c r="U60" s="12" t="n">
        <v>0.4274</v>
      </c>
      <c r="V60" s="12" t="n">
        <v>0.4906</v>
      </c>
      <c r="W60" s="12" t="n">
        <v>0.3982</v>
      </c>
      <c r="X60" s="3" t="n">
        <v>0.7407</v>
      </c>
      <c r="Y60" s="3" t="n">
        <v>0.5421</v>
      </c>
      <c r="Z60" s="14" t="n">
        <f aca="false">Assumptions!$B$3*R60+Assumptions!$B$4*S60+IF(AA60=1,Assumptions!$B$11,Assumptions!$B$5)*X60+IF(AA60=1,Assumptions!$B$12,Assumptions!$B$6)*T60+Assumptions!$B$7*U60+Assumptions!$B$8*V60+Assumptions!$B$9*Y60</f>
        <v>0.59895</v>
      </c>
      <c r="AA60" s="3" t="n">
        <v>1</v>
      </c>
    </row>
    <row r="61" customFormat="false" ht="15" hidden="false" customHeight="false" outlineLevel="0" collapsed="false">
      <c r="A61" s="3" t="s">
        <v>244</v>
      </c>
      <c r="B61" s="3" t="n">
        <v>520</v>
      </c>
      <c r="C61" s="11" t="str">
        <f aca="false">IF(M61&gt;=Assumptions!$B$17,"S+",IF(M61&gt;=Assumptions!$B$18,"S",IF(M61&gt;=Assumptions!$B$19,"A",IF(M61&gt;=Assumptions!$B$20,"B",IF(M61&gt;=Assumptions!$B$21,"C",IF(M61&gt;=Assumptions!$B$22,"D","F"))))))</f>
        <v>A</v>
      </c>
      <c r="D61" s="3" t="s">
        <v>169</v>
      </c>
      <c r="E61" s="3" t="n">
        <v>2</v>
      </c>
      <c r="F61" s="12" t="n">
        <v>0.4512</v>
      </c>
      <c r="G61" s="12" t="n">
        <v>1</v>
      </c>
      <c r="H61" s="12" t="n">
        <v>0.5198</v>
      </c>
      <c r="I61" s="12" t="n">
        <v>0.7942</v>
      </c>
      <c r="J61" s="12" t="n">
        <v>0.4224</v>
      </c>
      <c r="K61" s="12" t="n">
        <v>0.637</v>
      </c>
      <c r="L61" s="3" t="n">
        <v>4.75</v>
      </c>
      <c r="M61" s="12" t="n">
        <f aca="false">Z61-W61</f>
        <v>0.20035</v>
      </c>
      <c r="N61" s="12" t="n">
        <f aca="false">IFERROR((Z61-J61)/L61,"")</f>
        <v>0.0451684210526316</v>
      </c>
      <c r="O61" s="3" t="n">
        <v>18</v>
      </c>
      <c r="P61" s="13" t="b">
        <f aca="false">FALSE()</f>
        <v>0</v>
      </c>
      <c r="Q61" s="3" t="s">
        <v>166</v>
      </c>
      <c r="R61" s="12" t="n">
        <v>0.7936</v>
      </c>
      <c r="S61" s="12" t="n">
        <v>0.547</v>
      </c>
      <c r="T61" s="3" t="n">
        <v>0.5538</v>
      </c>
      <c r="U61" s="12" t="n">
        <v>0.4573</v>
      </c>
      <c r="V61" s="12" t="n">
        <v>0.4618</v>
      </c>
      <c r="W61" s="12" t="n">
        <v>0.4366</v>
      </c>
      <c r="X61" s="3" t="n">
        <v>0.6446</v>
      </c>
      <c r="Y61" s="3" t="n">
        <v>0.7518</v>
      </c>
      <c r="Z61" s="14" t="n">
        <f aca="false">Assumptions!$B$3*R61+Assumptions!$B$4*S61+IF(AA61=1,Assumptions!$B$11,Assumptions!$B$5)*X61+IF(AA61=1,Assumptions!$B$12,Assumptions!$B$6)*T61+Assumptions!$B$7*U61+Assumptions!$B$8*V61+Assumptions!$B$9*Y61</f>
        <v>0.63695</v>
      </c>
      <c r="AA61" s="3" t="n">
        <v>1</v>
      </c>
    </row>
    <row r="62" customFormat="false" ht="15" hidden="false" customHeight="false" outlineLevel="0" collapsed="false">
      <c r="A62" s="3" t="s">
        <v>245</v>
      </c>
      <c r="B62" s="3" t="n">
        <v>440</v>
      </c>
      <c r="C62" s="11" t="str">
        <f aca="false">IF(M62&gt;=Assumptions!$B$17,"S+",IF(M62&gt;=Assumptions!$B$18,"S",IF(M62&gt;=Assumptions!$B$19,"A",IF(M62&gt;=Assumptions!$B$20,"B",IF(M62&gt;=Assumptions!$B$21,"C",IF(M62&gt;=Assumptions!$B$22,"D","F"))))))</f>
        <v>A</v>
      </c>
      <c r="D62" s="3" t="s">
        <v>173</v>
      </c>
      <c r="E62" s="3" t="n">
        <v>3</v>
      </c>
      <c r="F62" s="12" t="n">
        <v>0.7305</v>
      </c>
      <c r="G62" s="12" t="n">
        <v>0.6</v>
      </c>
      <c r="H62" s="12" t="n">
        <v>0.75</v>
      </c>
      <c r="I62" s="12" t="n">
        <v>0.6535</v>
      </c>
      <c r="J62" s="12" t="n">
        <v>0.324</v>
      </c>
      <c r="K62" s="12" t="n">
        <v>0.6334</v>
      </c>
      <c r="L62" s="3" t="n">
        <v>3.88</v>
      </c>
      <c r="M62" s="12" t="n">
        <f aca="false">Z62-W62</f>
        <v>0.199772</v>
      </c>
      <c r="N62" s="12" t="n">
        <f aca="false">IFERROR((Z62-J62)/L62,"")</f>
        <v>0.0797350515463918</v>
      </c>
      <c r="O62" s="3" t="n">
        <v>17</v>
      </c>
      <c r="P62" s="13" t="b">
        <f aca="false">FALSE()</f>
        <v>0</v>
      </c>
      <c r="Q62" s="3" t="s">
        <v>166</v>
      </c>
      <c r="R62" s="12" t="n">
        <v>0.7052</v>
      </c>
      <c r="S62" s="12" t="n">
        <v>0.5978</v>
      </c>
      <c r="T62" s="3" t="n">
        <v>0.192</v>
      </c>
      <c r="U62" s="12" t="n">
        <v>0.4751</v>
      </c>
      <c r="V62" s="12" t="n">
        <v>0.4584</v>
      </c>
      <c r="W62" s="12" t="n">
        <v>0.4336</v>
      </c>
      <c r="X62" s="3" t="n">
        <v>0.7994</v>
      </c>
      <c r="Y62" s="3" t="n">
        <v>0.6288</v>
      </c>
      <c r="Z62" s="14" t="n">
        <f aca="false">Assumptions!$B$3*R62+Assumptions!$B$4*S62+IF(AA62=1,Assumptions!$B$11,Assumptions!$B$5)*X62+IF(AA62=1,Assumptions!$B$12,Assumptions!$B$6)*T62+Assumptions!$B$7*U62+Assumptions!$B$8*V62+Assumptions!$B$9*Y62</f>
        <v>0.633372</v>
      </c>
      <c r="AA62" s="3" t="n">
        <v>1</v>
      </c>
    </row>
    <row r="63" customFormat="false" ht="15" hidden="false" customHeight="false" outlineLevel="0" collapsed="false">
      <c r="A63" s="3" t="s">
        <v>246</v>
      </c>
      <c r="B63" s="3" t="n">
        <v>640</v>
      </c>
      <c r="C63" s="11" t="str">
        <f aca="false">IF(M63&gt;=Assumptions!$B$17,"S+",IF(M63&gt;=Assumptions!$B$18,"S",IF(M63&gt;=Assumptions!$B$19,"A",IF(M63&gt;=Assumptions!$B$20,"B",IF(M63&gt;=Assumptions!$B$21,"C",IF(M63&gt;=Assumptions!$B$22,"D","F"))))))</f>
        <v>A</v>
      </c>
      <c r="D63" s="3" t="s">
        <v>247</v>
      </c>
      <c r="E63" s="3" t="n">
        <v>5</v>
      </c>
      <c r="F63" s="12" t="n">
        <v>0.8791</v>
      </c>
      <c r="G63" s="12" t="n">
        <v>0.6</v>
      </c>
      <c r="H63" s="12" t="n">
        <v>0.75</v>
      </c>
      <c r="I63" s="12" t="n">
        <v>0.7193</v>
      </c>
      <c r="J63" s="12" t="n">
        <v>0.536</v>
      </c>
      <c r="K63" s="12" t="n">
        <v>0.655</v>
      </c>
      <c r="L63" s="3" t="n">
        <v>5.93</v>
      </c>
      <c r="M63" s="12" t="n">
        <f aca="false">Z63-W63</f>
        <v>0.198509</v>
      </c>
      <c r="N63" s="12" t="n">
        <f aca="false">IFERROR((Z63-J63)/L63,"")</f>
        <v>0.0200689713322091</v>
      </c>
      <c r="O63" s="3" t="n">
        <v>15</v>
      </c>
      <c r="P63" s="13" t="b">
        <f aca="false">FALSE()</f>
        <v>0</v>
      </c>
      <c r="Q63" s="3" t="s">
        <v>166</v>
      </c>
      <c r="R63" s="12" t="n">
        <v>0.9238</v>
      </c>
      <c r="S63" s="12" t="n">
        <v>0.7877</v>
      </c>
      <c r="T63" s="3" t="n">
        <v>0.0632</v>
      </c>
      <c r="U63" s="12" t="n">
        <v>0.4307</v>
      </c>
      <c r="V63" s="12" t="n">
        <v>0.4168</v>
      </c>
      <c r="W63" s="12" t="n">
        <v>0.4565</v>
      </c>
      <c r="X63" s="3" t="n">
        <v>0.8004</v>
      </c>
      <c r="Y63" s="3" t="n">
        <v>0.721</v>
      </c>
      <c r="Z63" s="14" t="n">
        <f aca="false">Assumptions!$B$3*R63+Assumptions!$B$4*S63+IF(AA63=1,Assumptions!$B$11,Assumptions!$B$5)*X63+IF(AA63=1,Assumptions!$B$12,Assumptions!$B$6)*T63+Assumptions!$B$7*U63+Assumptions!$B$8*V63+Assumptions!$B$9*Y63</f>
        <v>0.655009</v>
      </c>
      <c r="AA63" s="3" t="n">
        <v>0</v>
      </c>
    </row>
    <row r="64" customFormat="false" ht="15" hidden="false" customHeight="false" outlineLevel="0" collapsed="false">
      <c r="A64" s="3" t="s">
        <v>248</v>
      </c>
      <c r="B64" s="3" t="n">
        <v>579</v>
      </c>
      <c r="C64" s="11" t="str">
        <f aca="false">IF(M64&gt;=Assumptions!$B$17,"S+",IF(M64&gt;=Assumptions!$B$18,"S",IF(M64&gt;=Assumptions!$B$19,"A",IF(M64&gt;=Assumptions!$B$20,"B",IF(M64&gt;=Assumptions!$B$21,"C",IF(M64&gt;=Assumptions!$B$22,"D","F"))))))</f>
        <v>A</v>
      </c>
      <c r="D64" s="3" t="s">
        <v>197</v>
      </c>
      <c r="E64" s="3" t="n">
        <v>7</v>
      </c>
      <c r="F64" s="12" t="n">
        <v>0.9531</v>
      </c>
      <c r="G64" s="12" t="n">
        <v>0.6</v>
      </c>
      <c r="H64" s="12" t="n">
        <v>0.75</v>
      </c>
      <c r="I64" s="12" t="n">
        <v>0.7642</v>
      </c>
      <c r="J64" s="12" t="n">
        <v>0.4731</v>
      </c>
      <c r="K64" s="12" t="n">
        <v>0.6906</v>
      </c>
      <c r="L64" s="3" t="n">
        <v>4</v>
      </c>
      <c r="M64" s="12" t="n">
        <f aca="false">Z64-W64</f>
        <v>0.198089</v>
      </c>
      <c r="N64" s="12" t="n">
        <f aca="false">IFERROR((Z64-J64)/L64,"")</f>
        <v>0.05437225</v>
      </c>
      <c r="O64" s="3" t="n">
        <v>13</v>
      </c>
      <c r="P64" s="13" t="b">
        <f aca="false">FALSE()</f>
        <v>0</v>
      </c>
      <c r="Q64" s="3" t="s">
        <v>166</v>
      </c>
      <c r="R64" s="12" t="n">
        <v>0.8467</v>
      </c>
      <c r="S64" s="12" t="n">
        <v>0.544</v>
      </c>
      <c r="T64" s="3" t="n">
        <v>0.5795</v>
      </c>
      <c r="U64" s="12" t="n">
        <v>0.5681</v>
      </c>
      <c r="V64" s="12" t="n">
        <v>0.4969</v>
      </c>
      <c r="W64" s="12" t="n">
        <v>0.4925</v>
      </c>
      <c r="X64" s="3" t="n">
        <v>0.8233</v>
      </c>
      <c r="Y64" s="3" t="n">
        <v>0.7611</v>
      </c>
      <c r="Z64" s="14" t="n">
        <f aca="false">Assumptions!$B$3*R64+Assumptions!$B$4*S64+IF(AA64=1,Assumptions!$B$11,Assumptions!$B$5)*X64+IF(AA64=1,Assumptions!$B$12,Assumptions!$B$6)*T64+Assumptions!$B$7*U64+Assumptions!$B$8*V64+Assumptions!$B$9*Y64</f>
        <v>0.690589</v>
      </c>
      <c r="AA64" s="3" t="n">
        <v>0</v>
      </c>
    </row>
    <row r="65" customFormat="false" ht="15" hidden="false" customHeight="false" outlineLevel="0" collapsed="false">
      <c r="A65" s="3" t="s">
        <v>249</v>
      </c>
      <c r="B65" s="3" t="n">
        <v>600</v>
      </c>
      <c r="C65" s="11" t="str">
        <f aca="false">IF(M65&gt;=Assumptions!$B$17,"S+",IF(M65&gt;=Assumptions!$B$18,"S",IF(M65&gt;=Assumptions!$B$19,"A",IF(M65&gt;=Assumptions!$B$20,"B",IF(M65&gt;=Assumptions!$B$21,"C",IF(M65&gt;=Assumptions!$B$22,"D","F"))))))</f>
        <v>A</v>
      </c>
      <c r="D65" s="3" t="s">
        <v>228</v>
      </c>
      <c r="E65" s="3" t="n">
        <v>7</v>
      </c>
      <c r="F65" s="12" t="n">
        <v>0.8781</v>
      </c>
      <c r="G65" s="12" t="n">
        <v>0.4</v>
      </c>
      <c r="H65" s="12" t="n">
        <v>0.75</v>
      </c>
      <c r="I65" s="12" t="n">
        <v>0.623</v>
      </c>
      <c r="J65" s="12" t="n">
        <v>0.4499</v>
      </c>
      <c r="K65" s="12" t="n">
        <v>0.6599</v>
      </c>
      <c r="L65" s="3" t="n">
        <v>4</v>
      </c>
      <c r="M65" s="12" t="n">
        <f aca="false">Z65-W65</f>
        <v>0.195803</v>
      </c>
      <c r="N65" s="12" t="n">
        <f aca="false">IFERROR((Z65-J65)/L65,"")</f>
        <v>0.05250075</v>
      </c>
      <c r="O65" s="3" t="n">
        <v>13</v>
      </c>
      <c r="P65" s="13" t="b">
        <f aca="false">FALSE()</f>
        <v>0</v>
      </c>
      <c r="Q65" s="3" t="s">
        <v>166</v>
      </c>
      <c r="R65" s="12" t="n">
        <v>0.8803</v>
      </c>
      <c r="S65" s="12" t="n">
        <v>0.6854</v>
      </c>
      <c r="T65" s="3" t="n">
        <v>0.2653</v>
      </c>
      <c r="U65" s="12" t="n">
        <v>0.3728</v>
      </c>
      <c r="V65" s="12" t="n">
        <v>0.4757</v>
      </c>
      <c r="W65" s="12" t="n">
        <v>0.4641</v>
      </c>
      <c r="X65" s="3" t="n">
        <v>0.9017</v>
      </c>
      <c r="Y65" s="3" t="n">
        <v>0.625</v>
      </c>
      <c r="Z65" s="14" t="n">
        <f aca="false">Assumptions!$B$3*R65+Assumptions!$B$4*S65+IF(AA65=1,Assumptions!$B$11,Assumptions!$B$5)*X65+IF(AA65=1,Assumptions!$B$12,Assumptions!$B$6)*T65+Assumptions!$B$7*U65+Assumptions!$B$8*V65+Assumptions!$B$9*Y65</f>
        <v>0.659903</v>
      </c>
      <c r="AA65" s="3" t="n">
        <v>0</v>
      </c>
    </row>
    <row r="66" customFormat="false" ht="15" hidden="false" customHeight="false" outlineLevel="0" collapsed="false">
      <c r="A66" s="3" t="s">
        <v>250</v>
      </c>
      <c r="B66" s="3" t="n">
        <v>470</v>
      </c>
      <c r="C66" s="11" t="str">
        <f aca="false">IF(M66&gt;=Assumptions!$B$17,"S+",IF(M66&gt;=Assumptions!$B$18,"S",IF(M66&gt;=Assumptions!$B$19,"A",IF(M66&gt;=Assumptions!$B$20,"B",IF(M66&gt;=Assumptions!$B$21,"C",IF(M66&gt;=Assumptions!$B$22,"D","F"))))))</f>
        <v>A</v>
      </c>
      <c r="D66" s="3" t="s">
        <v>180</v>
      </c>
      <c r="E66" s="3" t="n">
        <v>1</v>
      </c>
      <c r="F66" s="12" t="n">
        <v>0.7433</v>
      </c>
      <c r="G66" s="12" t="n">
        <v>1</v>
      </c>
      <c r="H66" s="12" t="n">
        <v>0.5476</v>
      </c>
      <c r="I66" s="12" t="n">
        <v>0.8582</v>
      </c>
      <c r="J66" s="12" t="n">
        <v>0.4595</v>
      </c>
      <c r="K66" s="12" t="n">
        <v>0.6842</v>
      </c>
      <c r="L66" s="3" t="n">
        <v>6.47</v>
      </c>
      <c r="M66" s="12" t="n">
        <f aca="false">Z66-W66</f>
        <v>0.195089</v>
      </c>
      <c r="N66" s="12" t="n">
        <f aca="false">IFERROR((Z66-J66)/L66,"")</f>
        <v>0.0347278207109737</v>
      </c>
      <c r="O66" s="3" t="n">
        <v>19</v>
      </c>
      <c r="P66" s="13" t="b">
        <f aca="false">FALSE()</f>
        <v>0</v>
      </c>
      <c r="Q66" s="3" t="s">
        <v>166</v>
      </c>
      <c r="R66" s="12" t="n">
        <v>0.6721</v>
      </c>
      <c r="S66" s="12" t="n">
        <v>0.685</v>
      </c>
      <c r="T66" s="3" t="n">
        <v>0.3479</v>
      </c>
      <c r="U66" s="12" t="n">
        <v>0.5061</v>
      </c>
      <c r="V66" s="12" t="n">
        <v>0.4905</v>
      </c>
      <c r="W66" s="12" t="n">
        <v>0.4891</v>
      </c>
      <c r="X66" s="3" t="n">
        <v>0.8728</v>
      </c>
      <c r="Y66" s="3" t="n">
        <v>0.7874</v>
      </c>
      <c r="Z66" s="14" t="n">
        <f aca="false">Assumptions!$B$3*R66+Assumptions!$B$4*S66+IF(AA66=1,Assumptions!$B$11,Assumptions!$B$5)*X66+IF(AA66=1,Assumptions!$B$12,Assumptions!$B$6)*T66+Assumptions!$B$7*U66+Assumptions!$B$8*V66+Assumptions!$B$9*Y66</f>
        <v>0.684189</v>
      </c>
      <c r="AA66" s="3" t="n">
        <v>1</v>
      </c>
    </row>
    <row r="67" customFormat="false" ht="15" hidden="false" customHeight="false" outlineLevel="0" collapsed="false">
      <c r="A67" s="3" t="s">
        <v>251</v>
      </c>
      <c r="B67" s="3" t="n">
        <v>490</v>
      </c>
      <c r="C67" s="11" t="str">
        <f aca="false">IF(M67&gt;=Assumptions!$B$17,"S+",IF(M67&gt;=Assumptions!$B$18,"S",IF(M67&gt;=Assumptions!$B$19,"A",IF(M67&gt;=Assumptions!$B$20,"B",IF(M67&gt;=Assumptions!$B$21,"C",IF(M67&gt;=Assumptions!$B$22,"D","F"))))))</f>
        <v>A</v>
      </c>
      <c r="D67" s="3" t="s">
        <v>200</v>
      </c>
      <c r="E67" s="3" t="n">
        <v>4</v>
      </c>
      <c r="F67" s="12" t="n">
        <v>0.83</v>
      </c>
      <c r="G67" s="12" t="n">
        <v>0.85</v>
      </c>
      <c r="H67" s="12" t="n">
        <v>0.5198</v>
      </c>
      <c r="I67" s="12" t="n">
        <v>0.779</v>
      </c>
      <c r="J67" s="12" t="n">
        <v>0.4455</v>
      </c>
      <c r="K67" s="12" t="n">
        <v>0.6919</v>
      </c>
      <c r="L67" s="3" t="n">
        <v>4.94</v>
      </c>
      <c r="M67" s="12" t="n">
        <f aca="false">Z67-W67</f>
        <v>0.194458</v>
      </c>
      <c r="N67" s="12" t="n">
        <f aca="false">IFERROR((Z67-J67)/L67,"")</f>
        <v>0.04987004048583</v>
      </c>
      <c r="O67" s="3" t="n">
        <v>16</v>
      </c>
      <c r="P67" s="13" t="b">
        <f aca="false">FALSE()</f>
        <v>0</v>
      </c>
      <c r="Q67" s="3" t="s">
        <v>166</v>
      </c>
      <c r="R67" s="12" t="n">
        <v>0.8036</v>
      </c>
      <c r="S67" s="12" t="n">
        <v>0.6068</v>
      </c>
      <c r="T67" s="3" t="n">
        <v>0.077</v>
      </c>
      <c r="U67" s="12" t="n">
        <v>0.4856</v>
      </c>
      <c r="V67" s="12" t="n">
        <v>0.4566</v>
      </c>
      <c r="W67" s="12" t="n">
        <v>0.4974</v>
      </c>
      <c r="X67" s="3" t="n">
        <v>0.8924</v>
      </c>
      <c r="Y67" s="3" t="n">
        <v>0.7586</v>
      </c>
      <c r="Z67" s="14" t="n">
        <f aca="false">Assumptions!$B$3*R67+Assumptions!$B$4*S67+IF(AA67=1,Assumptions!$B$11,Assumptions!$B$5)*X67+IF(AA67=1,Assumptions!$B$12,Assumptions!$B$6)*T67+Assumptions!$B$7*U67+Assumptions!$B$8*V67+Assumptions!$B$9*Y67</f>
        <v>0.691858</v>
      </c>
      <c r="AA67" s="3" t="n">
        <v>1</v>
      </c>
    </row>
    <row r="68" customFormat="false" ht="15" hidden="false" customHeight="false" outlineLevel="0" collapsed="false">
      <c r="A68" s="3" t="s">
        <v>252</v>
      </c>
      <c r="B68" s="3" t="n">
        <v>680</v>
      </c>
      <c r="C68" s="11" t="str">
        <f aca="false">IF(M68&gt;=Assumptions!$B$17,"S+",IF(M68&gt;=Assumptions!$B$18,"S",IF(M68&gt;=Assumptions!$B$19,"A",IF(M68&gt;=Assumptions!$B$20,"B",IF(M68&gt;=Assumptions!$B$21,"C",IF(M68&gt;=Assumptions!$B$22,"D","F"))))))</f>
        <v>A</v>
      </c>
      <c r="D68" s="3" t="s">
        <v>253</v>
      </c>
      <c r="E68" s="3" t="n">
        <v>13</v>
      </c>
      <c r="F68" s="12" t="n">
        <v>0.9239</v>
      </c>
      <c r="G68" s="12" t="n">
        <v>0.4</v>
      </c>
      <c r="H68" s="12" t="n">
        <v>0.75</v>
      </c>
      <c r="I68" s="12" t="n">
        <v>0.6376</v>
      </c>
      <c r="J68" s="12" t="n">
        <v>0.4021</v>
      </c>
      <c r="K68" s="12" t="n">
        <v>0.6745</v>
      </c>
      <c r="L68" s="3" t="n">
        <v>4</v>
      </c>
      <c r="M68" s="12" t="n">
        <f aca="false">Z68-W68</f>
        <v>0.1941</v>
      </c>
      <c r="N68" s="12" t="n">
        <f aca="false">IFERROR((Z68-J68)/L68,"")</f>
        <v>0.0681</v>
      </c>
      <c r="O68" s="3" t="n">
        <v>7</v>
      </c>
      <c r="P68" s="13" t="b">
        <f aca="false">TRUE()</f>
        <v>1</v>
      </c>
      <c r="Q68" s="3" t="s">
        <v>166</v>
      </c>
      <c r="R68" s="12" t="n">
        <v>0.8951</v>
      </c>
      <c r="S68" s="12" t="n">
        <v>0.7116</v>
      </c>
      <c r="T68" s="3" t="n">
        <v>0.2421</v>
      </c>
      <c r="U68" s="12" t="n">
        <v>0.4615</v>
      </c>
      <c r="V68" s="12" t="n">
        <v>0.4966</v>
      </c>
      <c r="W68" s="12" t="n">
        <v>0.4804</v>
      </c>
      <c r="X68" s="3" t="n">
        <v>0.8836</v>
      </c>
      <c r="Y68" s="3" t="n">
        <v>0.6383</v>
      </c>
      <c r="Z68" s="14" t="n">
        <f aca="false">Assumptions!$B$3*R68+Assumptions!$B$4*S68+IF(AA68=1,Assumptions!$B$11,Assumptions!$B$5)*X68+IF(AA68=1,Assumptions!$B$12,Assumptions!$B$6)*T68+Assumptions!$B$7*U68+Assumptions!$B$8*V68+Assumptions!$B$9*Y68</f>
        <v>0.6745</v>
      </c>
      <c r="AA68" s="3" t="n">
        <v>0</v>
      </c>
    </row>
    <row r="69" customFormat="false" ht="15" hidden="false" customHeight="false" outlineLevel="0" collapsed="false">
      <c r="A69" s="3" t="s">
        <v>254</v>
      </c>
      <c r="B69" s="3" t="n">
        <v>700</v>
      </c>
      <c r="C69" s="11" t="str">
        <f aca="false">IF(M69&gt;=Assumptions!$B$17,"S+",IF(M69&gt;=Assumptions!$B$18,"S",IF(M69&gt;=Assumptions!$B$19,"A",IF(M69&gt;=Assumptions!$B$20,"B",IF(M69&gt;=Assumptions!$B$21,"C",IF(M69&gt;=Assumptions!$B$22,"D","F"))))))</f>
        <v>A</v>
      </c>
      <c r="D69" s="3" t="s">
        <v>190</v>
      </c>
      <c r="E69" s="3" t="n">
        <v>18</v>
      </c>
      <c r="F69" s="12" t="n">
        <v>0.8786</v>
      </c>
      <c r="G69" s="12" t="n">
        <v>0.6</v>
      </c>
      <c r="H69" s="12" t="n">
        <v>0.75</v>
      </c>
      <c r="I69" s="12" t="n">
        <v>0.7359</v>
      </c>
      <c r="J69" s="12" t="n">
        <v>0.4686</v>
      </c>
      <c r="K69" s="12" t="n">
        <v>0.6371</v>
      </c>
      <c r="L69" s="3" t="n">
        <v>4</v>
      </c>
      <c r="M69" s="12" t="n">
        <f aca="false">Z69-W69</f>
        <v>0.19396</v>
      </c>
      <c r="N69" s="12" t="n">
        <f aca="false">IFERROR((Z69-J69)/L69,"")</f>
        <v>0.042115</v>
      </c>
      <c r="O69" s="3" t="n">
        <v>2</v>
      </c>
      <c r="P69" s="13" t="b">
        <f aca="false">FALSE()</f>
        <v>0</v>
      </c>
      <c r="Q69" s="3" t="s">
        <v>166</v>
      </c>
      <c r="R69" s="12" t="n">
        <v>0.9622</v>
      </c>
      <c r="S69" s="12" t="n">
        <v>0.6205</v>
      </c>
      <c r="T69" s="3" t="n">
        <v>0.5416</v>
      </c>
      <c r="U69" s="12" t="n">
        <v>0.3846</v>
      </c>
      <c r="V69" s="12" t="n">
        <v>0.4555</v>
      </c>
      <c r="W69" s="12" t="n">
        <v>0.4431</v>
      </c>
      <c r="X69" s="3" t="n">
        <v>0.4166</v>
      </c>
      <c r="Y69" s="3" t="n">
        <v>0.736</v>
      </c>
      <c r="Z69" s="14" t="n">
        <f aca="false">Assumptions!$B$3*R69+Assumptions!$B$4*S69+IF(AA69=1,Assumptions!$B$11,Assumptions!$B$5)*X69+IF(AA69=1,Assumptions!$B$12,Assumptions!$B$6)*T69+Assumptions!$B$7*U69+Assumptions!$B$8*V69+Assumptions!$B$9*Y69</f>
        <v>0.63706</v>
      </c>
      <c r="AA69" s="3" t="n">
        <v>0</v>
      </c>
    </row>
    <row r="70" customFormat="false" ht="15" hidden="false" customHeight="false" outlineLevel="0" collapsed="false">
      <c r="A70" s="3" t="s">
        <v>255</v>
      </c>
      <c r="B70" s="3" t="n">
        <v>470</v>
      </c>
      <c r="C70" s="11" t="str">
        <f aca="false">IF(M70&gt;=Assumptions!$B$17,"S+",IF(M70&gt;=Assumptions!$B$18,"S",IF(M70&gt;=Assumptions!$B$19,"A",IF(M70&gt;=Assumptions!$B$20,"B",IF(M70&gt;=Assumptions!$B$21,"C",IF(M70&gt;=Assumptions!$B$22,"D","F"))))))</f>
        <v>A</v>
      </c>
      <c r="D70" s="3" t="s">
        <v>180</v>
      </c>
      <c r="E70" s="3" t="n">
        <v>4</v>
      </c>
      <c r="F70" s="12" t="n">
        <v>0.6463</v>
      </c>
      <c r="G70" s="12" t="n">
        <v>1</v>
      </c>
      <c r="H70" s="12" t="n">
        <v>0.5149</v>
      </c>
      <c r="I70" s="12" t="n">
        <v>0.8322</v>
      </c>
      <c r="J70" s="12" t="n">
        <v>0.3783</v>
      </c>
      <c r="K70" s="12" t="n">
        <v>0.692</v>
      </c>
      <c r="L70" s="3" t="n">
        <v>7</v>
      </c>
      <c r="M70" s="12" t="n">
        <f aca="false">Z70-W70</f>
        <v>0.19198</v>
      </c>
      <c r="N70" s="12" t="n">
        <f aca="false">IFERROR((Z70-J70)/L70,"")</f>
        <v>0.0448114285714286</v>
      </c>
      <c r="O70" s="3" t="n">
        <v>16</v>
      </c>
      <c r="P70" s="13" t="b">
        <f aca="false">FALSE()</f>
        <v>0</v>
      </c>
      <c r="Q70" s="3" t="s">
        <v>166</v>
      </c>
      <c r="R70" s="12" t="n">
        <v>0.7505</v>
      </c>
      <c r="S70" s="12" t="n">
        <v>0.6527</v>
      </c>
      <c r="T70" s="3" t="n">
        <v>0.2704</v>
      </c>
      <c r="U70" s="12" t="n">
        <v>0.6779</v>
      </c>
      <c r="V70" s="12" t="n">
        <v>0.5187</v>
      </c>
      <c r="W70" s="12" t="n">
        <v>0.5</v>
      </c>
      <c r="X70" s="3" t="n">
        <v>0.7623</v>
      </c>
      <c r="Y70" s="3" t="n">
        <v>0.8033</v>
      </c>
      <c r="Z70" s="14" t="n">
        <f aca="false">Assumptions!$B$3*R70+Assumptions!$B$4*S70+IF(AA70=1,Assumptions!$B$11,Assumptions!$B$5)*X70+IF(AA70=1,Assumptions!$B$12,Assumptions!$B$6)*T70+Assumptions!$B$7*U70+Assumptions!$B$8*V70+Assumptions!$B$9*Y70</f>
        <v>0.69198</v>
      </c>
      <c r="AA70" s="3" t="n">
        <v>1</v>
      </c>
    </row>
    <row r="71" customFormat="false" ht="15" hidden="false" customHeight="false" outlineLevel="0" collapsed="false">
      <c r="A71" s="3" t="s">
        <v>256</v>
      </c>
      <c r="B71" s="3" t="n">
        <v>495</v>
      </c>
      <c r="C71" s="11" t="str">
        <f aca="false">IF(M71&gt;=Assumptions!$B$17,"S+",IF(M71&gt;=Assumptions!$B$18,"S",IF(M71&gt;=Assumptions!$B$19,"A",IF(M71&gt;=Assumptions!$B$20,"B",IF(M71&gt;=Assumptions!$B$21,"C",IF(M71&gt;=Assumptions!$B$22,"D","F"))))))</f>
        <v>A</v>
      </c>
      <c r="D71" s="3" t="s">
        <v>190</v>
      </c>
      <c r="E71" s="3" t="n">
        <v>7</v>
      </c>
      <c r="F71" s="12" t="n">
        <v>0.9927</v>
      </c>
      <c r="G71" s="12" t="n">
        <v>0.8</v>
      </c>
      <c r="H71" s="12" t="n">
        <v>0.75</v>
      </c>
      <c r="I71" s="12" t="n">
        <v>0.8632</v>
      </c>
      <c r="J71" s="12" t="n">
        <v>0.4218</v>
      </c>
      <c r="K71" s="12" t="n">
        <v>0.6675</v>
      </c>
      <c r="L71" s="3" t="n">
        <v>4</v>
      </c>
      <c r="M71" s="12" t="n">
        <f aca="false">Z71-W71</f>
        <v>0.19061</v>
      </c>
      <c r="N71" s="12" t="n">
        <f aca="false">IFERROR((Z71-J71)/L71,"")</f>
        <v>0.0614275</v>
      </c>
      <c r="O71" s="3" t="n">
        <v>13</v>
      </c>
      <c r="P71" s="13" t="b">
        <f aca="false">FALSE()</f>
        <v>0</v>
      </c>
      <c r="Q71" s="3" t="s">
        <v>166</v>
      </c>
      <c r="R71" s="12" t="n">
        <v>0.9037</v>
      </c>
      <c r="S71" s="12" t="n">
        <v>0.2788</v>
      </c>
      <c r="T71" s="3" t="n">
        <v>0.7779</v>
      </c>
      <c r="U71" s="12" t="n">
        <v>0.645</v>
      </c>
      <c r="V71" s="12" t="n">
        <v>0.4668</v>
      </c>
      <c r="W71" s="12" t="n">
        <v>0.4769</v>
      </c>
      <c r="X71" s="3" t="n">
        <v>0.5947</v>
      </c>
      <c r="Y71" s="3" t="n">
        <v>0.8638</v>
      </c>
      <c r="Z71" s="14" t="n">
        <f aca="false">Assumptions!$B$3*R71+Assumptions!$B$4*S71+IF(AA71=1,Assumptions!$B$11,Assumptions!$B$5)*X71+IF(AA71=1,Assumptions!$B$12,Assumptions!$B$6)*T71+Assumptions!$B$7*U71+Assumptions!$B$8*V71+Assumptions!$B$9*Y71</f>
        <v>0.66751</v>
      </c>
      <c r="AA71" s="3" t="n">
        <v>0</v>
      </c>
    </row>
    <row r="72" customFormat="false" ht="15" hidden="false" customHeight="false" outlineLevel="0" collapsed="false">
      <c r="A72" s="3" t="s">
        <v>257</v>
      </c>
      <c r="B72" s="3" t="n">
        <v>600</v>
      </c>
      <c r="C72" s="11" t="str">
        <f aca="false">IF(M72&gt;=Assumptions!$B$17,"S+",IF(M72&gt;=Assumptions!$B$18,"S",IF(M72&gt;=Assumptions!$B$19,"A",IF(M72&gt;=Assumptions!$B$20,"B",IF(M72&gt;=Assumptions!$B$21,"C",IF(M72&gt;=Assumptions!$B$22,"D","F"))))))</f>
        <v>A</v>
      </c>
      <c r="D72" s="3" t="s">
        <v>180</v>
      </c>
      <c r="E72" s="3" t="n">
        <v>7</v>
      </c>
      <c r="F72" s="12" t="n">
        <v>0.745</v>
      </c>
      <c r="G72" s="12" t="n">
        <v>1</v>
      </c>
      <c r="H72" s="12" t="n">
        <v>0.3948</v>
      </c>
      <c r="I72" s="12" t="n">
        <v>0.828</v>
      </c>
      <c r="J72" s="12" t="n">
        <v>0.3851</v>
      </c>
      <c r="K72" s="12" t="n">
        <v>0.6886</v>
      </c>
      <c r="L72" s="3" t="n">
        <v>4</v>
      </c>
      <c r="M72" s="12" t="n">
        <f aca="false">Z72-W72</f>
        <v>0.190152</v>
      </c>
      <c r="N72" s="12" t="n">
        <f aca="false">IFERROR((Z72-J72)/L72,"")</f>
        <v>0.075888</v>
      </c>
      <c r="O72" s="3" t="n">
        <v>13</v>
      </c>
      <c r="P72" s="13" t="b">
        <f aca="false">TRUE()</f>
        <v>1</v>
      </c>
      <c r="Q72" s="3" t="s">
        <v>166</v>
      </c>
      <c r="R72" s="12" t="n">
        <v>0.7095</v>
      </c>
      <c r="S72" s="12" t="n">
        <v>0.6106</v>
      </c>
      <c r="T72" s="3" t="n">
        <v>0.2533</v>
      </c>
      <c r="U72" s="12" t="n">
        <v>0.6509</v>
      </c>
      <c r="V72" s="12" t="n">
        <v>0.4144</v>
      </c>
      <c r="W72" s="12" t="n">
        <v>0.4985</v>
      </c>
      <c r="X72" s="3" t="n">
        <v>0.8689</v>
      </c>
      <c r="Y72" s="3" t="n">
        <v>0.8325</v>
      </c>
      <c r="Z72" s="14" t="n">
        <f aca="false">Assumptions!$B$3*R72+Assumptions!$B$4*S72+IF(AA72=1,Assumptions!$B$11,Assumptions!$B$5)*X72+IF(AA72=1,Assumptions!$B$12,Assumptions!$B$6)*T72+Assumptions!$B$7*U72+Assumptions!$B$8*V72+Assumptions!$B$9*Y72</f>
        <v>0.688652</v>
      </c>
      <c r="AA72" s="3" t="n">
        <v>1</v>
      </c>
    </row>
    <row r="73" customFormat="false" ht="15" hidden="false" customHeight="false" outlineLevel="0" collapsed="false">
      <c r="A73" s="3" t="s">
        <v>258</v>
      </c>
      <c r="B73" s="3" t="n">
        <v>487</v>
      </c>
      <c r="C73" s="11" t="str">
        <f aca="false">IF(M73&gt;=Assumptions!$B$17,"S+",IF(M73&gt;=Assumptions!$B$18,"S",IF(M73&gt;=Assumptions!$B$19,"A",IF(M73&gt;=Assumptions!$B$20,"B",IF(M73&gt;=Assumptions!$B$21,"C",IF(M73&gt;=Assumptions!$B$22,"D","F"))))))</f>
        <v>A</v>
      </c>
      <c r="D73" s="3" t="s">
        <v>183</v>
      </c>
      <c r="E73" s="3" t="n">
        <v>6</v>
      </c>
      <c r="F73" s="12" t="n">
        <v>0.9659</v>
      </c>
      <c r="G73" s="12" t="n">
        <v>0.76</v>
      </c>
      <c r="H73" s="12" t="n">
        <v>0.4722</v>
      </c>
      <c r="I73" s="12" t="n">
        <v>0.7457</v>
      </c>
      <c r="J73" s="12" t="n">
        <v>0.3059</v>
      </c>
      <c r="K73" s="12" t="n">
        <v>0.6777</v>
      </c>
      <c r="L73" s="3" t="n">
        <v>6</v>
      </c>
      <c r="M73" s="12" t="n">
        <f aca="false">Z73-W73</f>
        <v>0.189881</v>
      </c>
      <c r="N73" s="12" t="n">
        <f aca="false">IFERROR((Z73-J73)/L73,"")</f>
        <v>0.0619635</v>
      </c>
      <c r="O73" s="3" t="n">
        <v>14</v>
      </c>
      <c r="P73" s="13" t="b">
        <f aca="false">FALSE()</f>
        <v>0</v>
      </c>
      <c r="Q73" s="3" t="s">
        <v>166</v>
      </c>
      <c r="R73" s="12" t="n">
        <v>0.6769</v>
      </c>
      <c r="S73" s="12" t="n">
        <v>0.7225</v>
      </c>
      <c r="T73" s="3" t="n">
        <v>0.036</v>
      </c>
      <c r="U73" s="12" t="n">
        <v>0.4835</v>
      </c>
      <c r="V73" s="12" t="n">
        <v>0.4746</v>
      </c>
      <c r="W73" s="12" t="n">
        <v>0.4878</v>
      </c>
      <c r="X73" s="3" t="n">
        <v>0.9074</v>
      </c>
      <c r="Y73" s="3" t="n">
        <v>0.7354</v>
      </c>
      <c r="Z73" s="14" t="n">
        <f aca="false">Assumptions!$B$3*R73+Assumptions!$B$4*S73+IF(AA73=1,Assumptions!$B$11,Assumptions!$B$5)*X73+IF(AA73=1,Assumptions!$B$12,Assumptions!$B$6)*T73+Assumptions!$B$7*U73+Assumptions!$B$8*V73+Assumptions!$B$9*Y73</f>
        <v>0.677681</v>
      </c>
      <c r="AA73" s="3" t="n">
        <v>1</v>
      </c>
    </row>
    <row r="74" customFormat="false" ht="15" hidden="false" customHeight="false" outlineLevel="0" collapsed="false">
      <c r="A74" s="3" t="s">
        <v>259</v>
      </c>
      <c r="B74" s="3" t="n">
        <v>540</v>
      </c>
      <c r="C74" s="11" t="str">
        <f aca="false">IF(M74&gt;=Assumptions!$B$17,"S+",IF(M74&gt;=Assumptions!$B$18,"S",IF(M74&gt;=Assumptions!$B$19,"A",IF(M74&gt;=Assumptions!$B$20,"B",IF(M74&gt;=Assumptions!$B$21,"C",IF(M74&gt;=Assumptions!$B$22,"D","F"))))))</f>
        <v>A</v>
      </c>
      <c r="D74" s="3" t="s">
        <v>228</v>
      </c>
      <c r="E74" s="3" t="n">
        <v>7</v>
      </c>
      <c r="F74" s="12" t="n">
        <v>0.7691</v>
      </c>
      <c r="G74" s="12" t="n">
        <v>1</v>
      </c>
      <c r="H74" s="12" t="n">
        <v>0.75</v>
      </c>
      <c r="I74" s="12" t="n">
        <v>0.8761</v>
      </c>
      <c r="J74" s="12" t="n">
        <v>0.4566</v>
      </c>
      <c r="K74" s="12" t="n">
        <v>0.6535</v>
      </c>
      <c r="L74" s="3" t="n">
        <v>5</v>
      </c>
      <c r="M74" s="12" t="n">
        <f aca="false">Z74-W74</f>
        <v>0.18943</v>
      </c>
      <c r="N74" s="12" t="n">
        <f aca="false">IFERROR((Z74-J74)/L74,"")</f>
        <v>0.039386</v>
      </c>
      <c r="O74" s="3" t="n">
        <v>13</v>
      </c>
      <c r="P74" s="13" t="b">
        <f aca="false">FALSE()</f>
        <v>0</v>
      </c>
      <c r="Q74" s="3" t="s">
        <v>166</v>
      </c>
      <c r="R74" s="12" t="n">
        <v>0.781</v>
      </c>
      <c r="S74" s="12" t="n">
        <v>0.5238</v>
      </c>
      <c r="T74" s="3" t="n">
        <v>0.3281</v>
      </c>
      <c r="U74" s="12" t="n">
        <v>0.6864</v>
      </c>
      <c r="V74" s="12" t="n">
        <v>0.5126</v>
      </c>
      <c r="W74" s="12" t="n">
        <v>0.4641</v>
      </c>
      <c r="X74" s="3" t="n">
        <v>0.7477</v>
      </c>
      <c r="Y74" s="3" t="n">
        <v>0.8787</v>
      </c>
      <c r="Z74" s="14" t="n">
        <f aca="false">Assumptions!$B$3*R74+Assumptions!$B$4*S74+IF(AA74=1,Assumptions!$B$11,Assumptions!$B$5)*X74+IF(AA74=1,Assumptions!$B$12,Assumptions!$B$6)*T74+Assumptions!$B$7*U74+Assumptions!$B$8*V74+Assumptions!$B$9*Y74</f>
        <v>0.65353</v>
      </c>
      <c r="AA74" s="3" t="n">
        <v>0</v>
      </c>
    </row>
    <row r="75" customFormat="false" ht="15" hidden="false" customHeight="false" outlineLevel="0" collapsed="false">
      <c r="A75" s="3" t="s">
        <v>260</v>
      </c>
      <c r="B75" s="3" t="n">
        <v>580</v>
      </c>
      <c r="C75" s="11" t="str">
        <f aca="false">IF(M75&gt;=Assumptions!$B$17,"S+",IF(M75&gt;=Assumptions!$B$18,"S",IF(M75&gt;=Assumptions!$B$19,"A",IF(M75&gt;=Assumptions!$B$20,"B",IF(M75&gt;=Assumptions!$B$21,"C",IF(M75&gt;=Assumptions!$B$22,"D","F"))))))</f>
        <v>A</v>
      </c>
      <c r="D75" s="3" t="s">
        <v>228</v>
      </c>
      <c r="E75" s="3" t="n">
        <v>13</v>
      </c>
      <c r="F75" s="12" t="n">
        <v>0.9422</v>
      </c>
      <c r="G75" s="12" t="n">
        <v>0.4</v>
      </c>
      <c r="H75" s="12" t="n">
        <v>0.75</v>
      </c>
      <c r="I75" s="12" t="n">
        <v>0.6435</v>
      </c>
      <c r="J75" s="12" t="n">
        <v>0.4109</v>
      </c>
      <c r="K75" s="12" t="n">
        <v>0.6516</v>
      </c>
      <c r="L75" s="3" t="n">
        <v>4</v>
      </c>
      <c r="M75" s="12" t="n">
        <f aca="false">Z75-W75</f>
        <v>0.189181</v>
      </c>
      <c r="N75" s="12" t="n">
        <f aca="false">IFERROR((Z75-J75)/L75,"")</f>
        <v>0.06017025</v>
      </c>
      <c r="O75" s="3" t="n">
        <v>7</v>
      </c>
      <c r="P75" s="13" t="b">
        <f aca="false">TRUE()</f>
        <v>1</v>
      </c>
      <c r="Q75" s="3" t="s">
        <v>166</v>
      </c>
      <c r="R75" s="12" t="n">
        <v>0.8928</v>
      </c>
      <c r="S75" s="12" t="n">
        <v>0.4776</v>
      </c>
      <c r="T75" s="3" t="n">
        <v>0.4246</v>
      </c>
      <c r="U75" s="12" t="n">
        <v>0.5385</v>
      </c>
      <c r="V75" s="12" t="n">
        <v>0.4923</v>
      </c>
      <c r="W75" s="12" t="n">
        <v>0.4624</v>
      </c>
      <c r="X75" s="3" t="n">
        <v>0.7778</v>
      </c>
      <c r="Y75" s="3" t="n">
        <v>0.6441</v>
      </c>
      <c r="Z75" s="14" t="n">
        <f aca="false">Assumptions!$B$3*R75+Assumptions!$B$4*S75+IF(AA75=1,Assumptions!$B$11,Assumptions!$B$5)*X75+IF(AA75=1,Assumptions!$B$12,Assumptions!$B$6)*T75+Assumptions!$B$7*U75+Assumptions!$B$8*V75+Assumptions!$B$9*Y75</f>
        <v>0.651581</v>
      </c>
      <c r="AA75" s="3" t="n">
        <v>0</v>
      </c>
    </row>
    <row r="76" customFormat="false" ht="15" hidden="false" customHeight="false" outlineLevel="0" collapsed="false">
      <c r="A76" s="3" t="s">
        <v>261</v>
      </c>
      <c r="B76" s="3" t="n">
        <v>462</v>
      </c>
      <c r="C76" s="11" t="str">
        <f aca="false">IF(M76&gt;=Assumptions!$B$17,"S+",IF(M76&gt;=Assumptions!$B$18,"S",IF(M76&gt;=Assumptions!$B$19,"A",IF(M76&gt;=Assumptions!$B$20,"B",IF(M76&gt;=Assumptions!$B$21,"C",IF(M76&gt;=Assumptions!$B$22,"D","F"))))))</f>
        <v>A</v>
      </c>
      <c r="D76" s="3" t="s">
        <v>175</v>
      </c>
      <c r="E76" s="3" t="n">
        <v>6</v>
      </c>
      <c r="F76" s="12" t="n">
        <v>0.8211</v>
      </c>
      <c r="G76" s="12" t="n">
        <v>0.6</v>
      </c>
      <c r="H76" s="12" t="n">
        <v>0.75</v>
      </c>
      <c r="I76" s="12" t="n">
        <v>0.6632</v>
      </c>
      <c r="J76" s="12" t="n">
        <v>0.4152</v>
      </c>
      <c r="K76" s="12" t="n">
        <v>0.6203</v>
      </c>
      <c r="L76" s="3" t="n">
        <v>5</v>
      </c>
      <c r="M76" s="12" t="n">
        <f aca="false">Z76-W76</f>
        <v>0.188778</v>
      </c>
      <c r="N76" s="12" t="n">
        <f aca="false">IFERROR((Z76-J76)/L76,"")</f>
        <v>0.0410156</v>
      </c>
      <c r="O76" s="3" t="n">
        <v>14</v>
      </c>
      <c r="P76" s="13" t="b">
        <f aca="false">FALSE()</f>
        <v>0</v>
      </c>
      <c r="Q76" s="3" t="s">
        <v>166</v>
      </c>
      <c r="R76" s="12" t="n">
        <v>0.7299</v>
      </c>
      <c r="S76" s="12" t="n">
        <v>0.7356</v>
      </c>
      <c r="T76" s="3" t="n">
        <v>0.03</v>
      </c>
      <c r="U76" s="12" t="n">
        <v>0.4945</v>
      </c>
      <c r="V76" s="12" t="n">
        <v>0.534</v>
      </c>
      <c r="W76" s="12" t="n">
        <v>0.4315</v>
      </c>
      <c r="X76" s="3" t="n">
        <v>0.9074</v>
      </c>
      <c r="Y76" s="3" t="n">
        <v>0.6319</v>
      </c>
      <c r="Z76" s="14" t="n">
        <f aca="false">Assumptions!$B$3*R76+Assumptions!$B$4*S76+IF(AA76=1,Assumptions!$B$11,Assumptions!$B$5)*X76+IF(AA76=1,Assumptions!$B$12,Assumptions!$B$6)*T76+Assumptions!$B$7*U76+Assumptions!$B$8*V76+Assumptions!$B$9*Y76</f>
        <v>0.620278</v>
      </c>
      <c r="AA76" s="3" t="n">
        <v>0</v>
      </c>
    </row>
    <row r="77" customFormat="false" ht="15" hidden="false" customHeight="false" outlineLevel="0" collapsed="false">
      <c r="A77" s="3" t="s">
        <v>262</v>
      </c>
      <c r="B77" s="3" t="n">
        <v>500</v>
      </c>
      <c r="C77" s="11" t="str">
        <f aca="false">IF(M77&gt;=Assumptions!$B$17,"S+",IF(M77&gt;=Assumptions!$B$18,"S",IF(M77&gt;=Assumptions!$B$19,"A",IF(M77&gt;=Assumptions!$B$20,"B",IF(M77&gt;=Assumptions!$B$21,"C",IF(M77&gt;=Assumptions!$B$22,"D","F"))))))</f>
        <v>A</v>
      </c>
      <c r="D77" s="3" t="s">
        <v>206</v>
      </c>
      <c r="E77" s="3" t="n">
        <v>6</v>
      </c>
      <c r="F77" s="12" t="n">
        <v>0.6905</v>
      </c>
      <c r="G77" s="12" t="n">
        <v>0.88</v>
      </c>
      <c r="H77" s="12" t="n">
        <v>0.501</v>
      </c>
      <c r="I77" s="12" t="n">
        <v>0.7322</v>
      </c>
      <c r="J77" s="12" t="n">
        <v>0.3395</v>
      </c>
      <c r="K77" s="12" t="n">
        <v>0.6048</v>
      </c>
      <c r="L77" s="3" t="n">
        <v>5</v>
      </c>
      <c r="M77" s="12" t="n">
        <f aca="false">Z77-W77</f>
        <v>0.187904</v>
      </c>
      <c r="N77" s="12" t="n">
        <f aca="false">IFERROR((Z77-J77)/L77,"")</f>
        <v>0.0530608</v>
      </c>
      <c r="O77" s="3" t="n">
        <v>14</v>
      </c>
      <c r="P77" s="13" t="b">
        <f aca="false">FALSE()</f>
        <v>0</v>
      </c>
      <c r="Q77" s="3" t="s">
        <v>166</v>
      </c>
      <c r="R77" s="12" t="n">
        <v>0.7739</v>
      </c>
      <c r="S77" s="12" t="n">
        <v>0.5778</v>
      </c>
      <c r="T77" s="3" t="n">
        <v>0.2598</v>
      </c>
      <c r="U77" s="12" t="n">
        <v>0.4121</v>
      </c>
      <c r="V77" s="12" t="n">
        <v>0.5044</v>
      </c>
      <c r="W77" s="12" t="n">
        <v>0.4169</v>
      </c>
      <c r="X77" s="3" t="n">
        <v>0.5796</v>
      </c>
      <c r="Y77" s="3" t="n">
        <v>0.7073</v>
      </c>
      <c r="Z77" s="14" t="n">
        <f aca="false">Assumptions!$B$3*R77+Assumptions!$B$4*S77+IF(AA77=1,Assumptions!$B$11,Assumptions!$B$5)*X77+IF(AA77=1,Assumptions!$B$12,Assumptions!$B$6)*T77+Assumptions!$B$7*U77+Assumptions!$B$8*V77+Assumptions!$B$9*Y77</f>
        <v>0.604804</v>
      </c>
      <c r="AA77" s="3" t="n">
        <v>1</v>
      </c>
    </row>
    <row r="78" customFormat="false" ht="15" hidden="false" customHeight="false" outlineLevel="0" collapsed="false">
      <c r="A78" s="3" t="s">
        <v>263</v>
      </c>
      <c r="B78" s="3" t="n">
        <v>510</v>
      </c>
      <c r="C78" s="11" t="str">
        <f aca="false">IF(M78&gt;=Assumptions!$B$17,"S+",IF(M78&gt;=Assumptions!$B$18,"S",IF(M78&gt;=Assumptions!$B$19,"A",IF(M78&gt;=Assumptions!$B$20,"B",IF(M78&gt;=Assumptions!$B$21,"C",IF(M78&gt;=Assumptions!$B$22,"D","F"))))))</f>
        <v>A</v>
      </c>
      <c r="D78" s="3" t="s">
        <v>206</v>
      </c>
      <c r="E78" s="3" t="n">
        <v>4</v>
      </c>
      <c r="F78" s="12" t="n">
        <v>0.8645</v>
      </c>
      <c r="G78" s="12" t="n">
        <v>0.88</v>
      </c>
      <c r="H78" s="12" t="n">
        <v>0.4603</v>
      </c>
      <c r="I78" s="12" t="n">
        <v>0.7707</v>
      </c>
      <c r="J78" s="12" t="n">
        <v>0.4026</v>
      </c>
      <c r="K78" s="12" t="n">
        <v>0.6258</v>
      </c>
      <c r="L78" s="3" t="n">
        <v>4.94</v>
      </c>
      <c r="M78" s="12" t="n">
        <f aca="false">Z78-W78</f>
        <v>0.187424</v>
      </c>
      <c r="N78" s="12" t="n">
        <f aca="false">IFERROR((Z78-J78)/L78,"")</f>
        <v>0.045187044534413</v>
      </c>
      <c r="O78" s="3" t="n">
        <v>16</v>
      </c>
      <c r="P78" s="13" t="b">
        <f aca="false">FALSE()</f>
        <v>0</v>
      </c>
      <c r="Q78" s="3" t="s">
        <v>166</v>
      </c>
      <c r="R78" s="12" t="n">
        <v>0.7732</v>
      </c>
      <c r="S78" s="12" t="n">
        <v>0.6504</v>
      </c>
      <c r="T78" s="3" t="n">
        <v>0.3891</v>
      </c>
      <c r="U78" s="12" t="n">
        <v>0.5529</v>
      </c>
      <c r="V78" s="12" t="n">
        <v>0.5098</v>
      </c>
      <c r="W78" s="12" t="n">
        <v>0.4384</v>
      </c>
      <c r="X78" s="3" t="n">
        <v>0.522</v>
      </c>
      <c r="Y78" s="3" t="n">
        <v>0.7502</v>
      </c>
      <c r="Z78" s="14" t="n">
        <f aca="false">Assumptions!$B$3*R78+Assumptions!$B$4*S78+IF(AA78=1,Assumptions!$B$11,Assumptions!$B$5)*X78+IF(AA78=1,Assumptions!$B$12,Assumptions!$B$6)*T78+Assumptions!$B$7*U78+Assumptions!$B$8*V78+Assumptions!$B$9*Y78</f>
        <v>0.625824</v>
      </c>
      <c r="AA78" s="3" t="n">
        <v>1</v>
      </c>
    </row>
    <row r="79" customFormat="false" ht="15" hidden="false" customHeight="false" outlineLevel="0" collapsed="false">
      <c r="A79" s="3" t="s">
        <v>264</v>
      </c>
      <c r="B79" s="3" t="n">
        <v>490</v>
      </c>
      <c r="C79" s="11" t="str">
        <f aca="false">IF(M79&gt;=Assumptions!$B$17,"S+",IF(M79&gt;=Assumptions!$B$18,"S",IF(M79&gt;=Assumptions!$B$19,"A",IF(M79&gt;=Assumptions!$B$20,"B",IF(M79&gt;=Assumptions!$B$21,"C",IF(M79&gt;=Assumptions!$B$22,"D","F"))))))</f>
        <v>A</v>
      </c>
      <c r="D79" s="3" t="s">
        <v>237</v>
      </c>
      <c r="E79" s="3" t="n">
        <v>3</v>
      </c>
      <c r="F79" s="12" t="n">
        <v>0.7828</v>
      </c>
      <c r="G79" s="12" t="n">
        <v>0.6</v>
      </c>
      <c r="H79" s="12" t="n">
        <v>0.75</v>
      </c>
      <c r="I79" s="12" t="n">
        <v>0.6629</v>
      </c>
      <c r="J79" s="12" t="n">
        <v>0.3847</v>
      </c>
      <c r="K79" s="12" t="n">
        <v>0.5943</v>
      </c>
      <c r="L79" s="3" t="n">
        <v>3.88</v>
      </c>
      <c r="M79" s="12" t="n">
        <f aca="false">Z79-W79</f>
        <v>0.187257</v>
      </c>
      <c r="N79" s="12" t="n">
        <f aca="false">IFERROR((Z79-J79)/L79,"")</f>
        <v>0.0540095360824742</v>
      </c>
      <c r="O79" s="3" t="n">
        <v>17</v>
      </c>
      <c r="P79" s="13" t="b">
        <f aca="false">FALSE()</f>
        <v>0</v>
      </c>
      <c r="Q79" s="3" t="s">
        <v>166</v>
      </c>
      <c r="R79" s="12" t="n">
        <v>0.8477</v>
      </c>
      <c r="S79" s="12" t="n">
        <v>0.5029</v>
      </c>
      <c r="T79" s="3" t="n">
        <v>0.3973</v>
      </c>
      <c r="U79" s="12" t="n">
        <v>0.4027</v>
      </c>
      <c r="V79" s="12" t="n">
        <v>0.382</v>
      </c>
      <c r="W79" s="12" t="n">
        <v>0.407</v>
      </c>
      <c r="X79" s="3" t="n">
        <v>0.6529</v>
      </c>
      <c r="Y79" s="3" t="n">
        <v>0.6399</v>
      </c>
      <c r="Z79" s="14" t="n">
        <f aca="false">Assumptions!$B$3*R79+Assumptions!$B$4*S79+IF(AA79=1,Assumptions!$B$11,Assumptions!$B$5)*X79+IF(AA79=1,Assumptions!$B$12,Assumptions!$B$6)*T79+Assumptions!$B$7*U79+Assumptions!$B$8*V79+Assumptions!$B$9*Y79</f>
        <v>0.594257</v>
      </c>
      <c r="AA79" s="3" t="n">
        <v>0</v>
      </c>
    </row>
    <row r="80" customFormat="false" ht="15" hidden="false" customHeight="false" outlineLevel="0" collapsed="false">
      <c r="A80" s="3" t="s">
        <v>265</v>
      </c>
      <c r="B80" s="3" t="n">
        <v>580</v>
      </c>
      <c r="C80" s="11" t="str">
        <f aca="false">IF(M80&gt;=Assumptions!$B$17,"S+",IF(M80&gt;=Assumptions!$B$18,"S",IF(M80&gt;=Assumptions!$B$19,"A",IF(M80&gt;=Assumptions!$B$20,"B",IF(M80&gt;=Assumptions!$B$21,"C",IF(M80&gt;=Assumptions!$B$22,"D","F"))))))</f>
        <v>A</v>
      </c>
      <c r="D80" s="3" t="s">
        <v>197</v>
      </c>
      <c r="E80" s="3" t="n">
        <v>9</v>
      </c>
      <c r="F80" s="12" t="n">
        <v>0.8474</v>
      </c>
      <c r="G80" s="12" t="n">
        <v>0.4</v>
      </c>
      <c r="H80" s="12" t="n">
        <v>0.75</v>
      </c>
      <c r="I80" s="12" t="n">
        <v>0.64</v>
      </c>
      <c r="J80" s="12" t="n">
        <v>0.4486</v>
      </c>
      <c r="K80" s="12" t="n">
        <v>0.6718</v>
      </c>
      <c r="L80" s="3" t="n">
        <v>4</v>
      </c>
      <c r="M80" s="12" t="n">
        <f aca="false">Z80-W80</f>
        <v>0.185714</v>
      </c>
      <c r="N80" s="12" t="n">
        <f aca="false">IFERROR((Z80-J80)/L80,"")</f>
        <v>0.0558035</v>
      </c>
      <c r="O80" s="3" t="n">
        <v>11</v>
      </c>
      <c r="P80" s="13" t="b">
        <f aca="false">TRUE()</f>
        <v>1</v>
      </c>
      <c r="Q80" s="3" t="s">
        <v>166</v>
      </c>
      <c r="R80" s="12" t="n">
        <v>0.804</v>
      </c>
      <c r="S80" s="12" t="n">
        <v>0.6956</v>
      </c>
      <c r="T80" s="3" t="n">
        <v>0.2968</v>
      </c>
      <c r="U80" s="12" t="n">
        <v>0.5385</v>
      </c>
      <c r="V80" s="12" t="n">
        <v>0.5548</v>
      </c>
      <c r="W80" s="12" t="n">
        <v>0.4861</v>
      </c>
      <c r="X80" s="3" t="n">
        <v>0.899</v>
      </c>
      <c r="Y80" s="3" t="n">
        <v>0.641</v>
      </c>
      <c r="Z80" s="14" t="n">
        <f aca="false">Assumptions!$B$3*R80+Assumptions!$B$4*S80+IF(AA80=1,Assumptions!$B$11,Assumptions!$B$5)*X80+IF(AA80=1,Assumptions!$B$12,Assumptions!$B$6)*T80+Assumptions!$B$7*U80+Assumptions!$B$8*V80+Assumptions!$B$9*Y80</f>
        <v>0.671814</v>
      </c>
      <c r="AA80" s="3" t="n">
        <v>0</v>
      </c>
    </row>
    <row r="81" customFormat="false" ht="15" hidden="false" customHeight="false" outlineLevel="0" collapsed="false">
      <c r="A81" s="3" t="s">
        <v>266</v>
      </c>
      <c r="B81" s="3" t="n">
        <v>515</v>
      </c>
      <c r="C81" s="11" t="str">
        <f aca="false">IF(M81&gt;=Assumptions!$B$17,"S+",IF(M81&gt;=Assumptions!$B$18,"S",IF(M81&gt;=Assumptions!$B$19,"A",IF(M81&gt;=Assumptions!$B$20,"B",IF(M81&gt;=Assumptions!$B$21,"C",IF(M81&gt;=Assumptions!$B$22,"D","F"))))))</f>
        <v>A</v>
      </c>
      <c r="D81" s="3" t="s">
        <v>188</v>
      </c>
      <c r="E81" s="3" t="n">
        <v>3</v>
      </c>
      <c r="F81" s="12" t="n">
        <v>0.9728</v>
      </c>
      <c r="G81" s="12" t="n">
        <v>0.6</v>
      </c>
      <c r="H81" s="12" t="n">
        <v>0.75</v>
      </c>
      <c r="I81" s="12" t="n">
        <v>0.6859</v>
      </c>
      <c r="J81" s="12" t="n">
        <v>0.3667</v>
      </c>
      <c r="K81" s="12" t="n">
        <v>0.6393</v>
      </c>
      <c r="L81" s="3" t="n">
        <v>5.94</v>
      </c>
      <c r="M81" s="12" t="n">
        <f aca="false">Z81-W81</f>
        <v>0.185033</v>
      </c>
      <c r="N81" s="12" t="n">
        <f aca="false">IFERROR((Z81-J81)/L81,"")</f>
        <v>0.0458978114478114</v>
      </c>
      <c r="O81" s="3" t="n">
        <v>17</v>
      </c>
      <c r="P81" s="13" t="b">
        <f aca="false">FALSE()</f>
        <v>0</v>
      </c>
      <c r="Q81" s="3" t="s">
        <v>166</v>
      </c>
      <c r="R81" s="12" t="n">
        <v>0.8036</v>
      </c>
      <c r="S81" s="12" t="n">
        <v>0.4533</v>
      </c>
      <c r="T81" s="3" t="n">
        <v>0.7818</v>
      </c>
      <c r="U81" s="12" t="n">
        <v>0.5023</v>
      </c>
      <c r="V81" s="12" t="n">
        <v>0.4584</v>
      </c>
      <c r="W81" s="12" t="n">
        <v>0.4543</v>
      </c>
      <c r="X81" s="3" t="n">
        <v>0.6322</v>
      </c>
      <c r="Y81" s="3" t="n">
        <v>0.6678</v>
      </c>
      <c r="Z81" s="14" t="n">
        <f aca="false">Assumptions!$B$3*R81+Assumptions!$B$4*S81+IF(AA81=1,Assumptions!$B$11,Assumptions!$B$5)*X81+IF(AA81=1,Assumptions!$B$12,Assumptions!$B$6)*T81+Assumptions!$B$7*U81+Assumptions!$B$8*V81+Assumptions!$B$9*Y81</f>
        <v>0.639333</v>
      </c>
      <c r="AA81" s="3" t="n">
        <v>0</v>
      </c>
    </row>
    <row r="82" customFormat="false" ht="15" hidden="false" customHeight="false" outlineLevel="0" collapsed="false">
      <c r="A82" s="3" t="s">
        <v>267</v>
      </c>
      <c r="B82" s="3" t="n">
        <v>600</v>
      </c>
      <c r="C82" s="11" t="str">
        <f aca="false">IF(M82&gt;=Assumptions!$B$17,"S+",IF(M82&gt;=Assumptions!$B$18,"S",IF(M82&gt;=Assumptions!$B$19,"A",IF(M82&gt;=Assumptions!$B$20,"B",IF(M82&gt;=Assumptions!$B$21,"C",IF(M82&gt;=Assumptions!$B$22,"D","F"))))))</f>
        <v>A</v>
      </c>
      <c r="D82" s="3" t="s">
        <v>188</v>
      </c>
      <c r="E82" s="3" t="n">
        <v>10</v>
      </c>
      <c r="F82" s="12" t="n">
        <v>0.7065</v>
      </c>
      <c r="G82" s="12" t="n">
        <v>0.6</v>
      </c>
      <c r="H82" s="12" t="n">
        <v>0.75</v>
      </c>
      <c r="I82" s="12" t="n">
        <v>0.646</v>
      </c>
      <c r="J82" s="12" t="n">
        <v>0.3439</v>
      </c>
      <c r="K82" s="12" t="n">
        <v>0.594</v>
      </c>
      <c r="L82" s="3" t="n">
        <v>4</v>
      </c>
      <c r="M82" s="12" t="n">
        <f aca="false">Z82-W82</f>
        <v>0.184866</v>
      </c>
      <c r="N82" s="12" t="n">
        <f aca="false">IFERROR((Z82-J82)/L82,"")</f>
        <v>0.0625165</v>
      </c>
      <c r="O82" s="3" t="n">
        <v>10</v>
      </c>
      <c r="P82" s="13" t="b">
        <f aca="false">FALSE()</f>
        <v>0</v>
      </c>
      <c r="Q82" s="3" t="s">
        <v>166</v>
      </c>
      <c r="R82" s="12" t="n">
        <v>0.7905</v>
      </c>
      <c r="S82" s="12" t="n">
        <v>0.5196</v>
      </c>
      <c r="T82" s="3" t="n">
        <v>0.1945</v>
      </c>
      <c r="U82" s="12" t="n">
        <v>0.5692</v>
      </c>
      <c r="V82" s="12" t="n">
        <v>0.42</v>
      </c>
      <c r="W82" s="12" t="n">
        <v>0.4091</v>
      </c>
      <c r="X82" s="3" t="n">
        <v>0.7491</v>
      </c>
      <c r="Y82" s="3" t="n">
        <v>0.6418</v>
      </c>
      <c r="Z82" s="14" t="n">
        <f aca="false">Assumptions!$B$3*R82+Assumptions!$B$4*S82+IF(AA82=1,Assumptions!$B$11,Assumptions!$B$5)*X82+IF(AA82=1,Assumptions!$B$12,Assumptions!$B$6)*T82+Assumptions!$B$7*U82+Assumptions!$B$8*V82+Assumptions!$B$9*Y82</f>
        <v>0.593966</v>
      </c>
      <c r="AA82" s="3" t="n">
        <v>0</v>
      </c>
    </row>
    <row r="83" customFormat="false" ht="15" hidden="false" customHeight="false" outlineLevel="0" collapsed="false">
      <c r="A83" s="3" t="s">
        <v>268</v>
      </c>
      <c r="B83" s="3" t="n">
        <v>500</v>
      </c>
      <c r="C83" s="11" t="str">
        <f aca="false">IF(M83&gt;=Assumptions!$B$17,"S+",IF(M83&gt;=Assumptions!$B$18,"S",IF(M83&gt;=Assumptions!$B$19,"A",IF(M83&gt;=Assumptions!$B$20,"B",IF(M83&gt;=Assumptions!$B$21,"C",IF(M83&gt;=Assumptions!$B$22,"D","F"))))))</f>
        <v>A</v>
      </c>
      <c r="D83" s="3" t="s">
        <v>186</v>
      </c>
      <c r="E83" s="3" t="n">
        <v>7</v>
      </c>
      <c r="F83" s="12" t="n">
        <v>0.71</v>
      </c>
      <c r="G83" s="12" t="n">
        <v>0.85</v>
      </c>
      <c r="H83" s="12" t="n">
        <v>0.75</v>
      </c>
      <c r="I83" s="12" t="n">
        <v>0.8048</v>
      </c>
      <c r="J83" s="12" t="n">
        <v>0.475</v>
      </c>
      <c r="K83" s="12" t="n">
        <v>0.6279</v>
      </c>
      <c r="L83" s="3" t="n">
        <v>4</v>
      </c>
      <c r="M83" s="12" t="n">
        <f aca="false">Z83-W83</f>
        <v>0.184458</v>
      </c>
      <c r="N83" s="12" t="n">
        <f aca="false">IFERROR((Z83-J83)/L83,"")</f>
        <v>0.0382145</v>
      </c>
      <c r="O83" s="3" t="n">
        <v>13</v>
      </c>
      <c r="P83" s="13" t="b">
        <f aca="false">FALSE()</f>
        <v>0</v>
      </c>
      <c r="Q83" s="3" t="s">
        <v>166</v>
      </c>
      <c r="R83" s="12" t="n">
        <v>0.7741</v>
      </c>
      <c r="S83" s="12" t="n">
        <v>0.6471</v>
      </c>
      <c r="T83" s="3" t="n">
        <v>0.0554</v>
      </c>
      <c r="U83" s="12" t="n">
        <v>0.4556</v>
      </c>
      <c r="V83" s="12" t="n">
        <v>0.3903</v>
      </c>
      <c r="W83" s="12" t="n">
        <v>0.4434</v>
      </c>
      <c r="X83" s="3" t="n">
        <v>0.6597</v>
      </c>
      <c r="Y83" s="3" t="n">
        <v>0.8049</v>
      </c>
      <c r="Z83" s="14" t="n">
        <f aca="false">Assumptions!$B$3*R83+Assumptions!$B$4*S83+IF(AA83=1,Assumptions!$B$11,Assumptions!$B$5)*X83+IF(AA83=1,Assumptions!$B$12,Assumptions!$B$6)*T83+Assumptions!$B$7*U83+Assumptions!$B$8*V83+Assumptions!$B$9*Y83</f>
        <v>0.627858</v>
      </c>
      <c r="AA83" s="3" t="n">
        <v>1</v>
      </c>
    </row>
    <row r="84" customFormat="false" ht="15" hidden="false" customHeight="false" outlineLevel="0" collapsed="false">
      <c r="A84" s="3" t="s">
        <v>269</v>
      </c>
      <c r="B84" s="3" t="n">
        <v>570</v>
      </c>
      <c r="C84" s="11" t="str">
        <f aca="false">IF(M84&gt;=Assumptions!$B$17,"S+",IF(M84&gt;=Assumptions!$B$18,"S",IF(M84&gt;=Assumptions!$B$19,"A",IF(M84&gt;=Assumptions!$B$20,"B",IF(M84&gt;=Assumptions!$B$21,"C",IF(M84&gt;=Assumptions!$B$22,"D","F"))))))</f>
        <v>A</v>
      </c>
      <c r="D84" s="3" t="s">
        <v>178</v>
      </c>
      <c r="E84" s="3" t="n">
        <v>1</v>
      </c>
      <c r="F84" s="12" t="n">
        <v>0.7853</v>
      </c>
      <c r="G84" s="12" t="n">
        <v>0.45</v>
      </c>
      <c r="H84" s="12" t="n">
        <v>0.75</v>
      </c>
      <c r="I84" s="12" t="n">
        <v>0.5771</v>
      </c>
      <c r="J84" s="12" t="n">
        <v>0.3636</v>
      </c>
      <c r="K84" s="12" t="n">
        <v>0.5805</v>
      </c>
      <c r="L84" s="3" t="n">
        <v>3.55</v>
      </c>
      <c r="M84" s="12" t="n">
        <f aca="false">Z84-W84</f>
        <v>0.18431</v>
      </c>
      <c r="N84" s="12" t="n">
        <f aca="false">IFERROR((Z84-J84)/L84,"")</f>
        <v>0.0611014084507042</v>
      </c>
      <c r="O84" s="3" t="n">
        <v>19</v>
      </c>
      <c r="P84" s="13" t="b">
        <f aca="false">FALSE()</f>
        <v>0</v>
      </c>
      <c r="Q84" s="3" t="s">
        <v>166</v>
      </c>
      <c r="R84" s="12" t="n">
        <v>0.8262</v>
      </c>
      <c r="S84" s="12" t="n">
        <v>0.491</v>
      </c>
      <c r="T84" s="3" t="n">
        <v>0.5686</v>
      </c>
      <c r="U84" s="12" t="n">
        <v>0.3562</v>
      </c>
      <c r="V84" s="12" t="n">
        <v>0.3852</v>
      </c>
      <c r="W84" s="12" t="n">
        <v>0.3962</v>
      </c>
      <c r="X84" s="3" t="n">
        <v>0.5744</v>
      </c>
      <c r="Y84" s="3" t="n">
        <v>0.5392</v>
      </c>
      <c r="Z84" s="14" t="n">
        <f aca="false">Assumptions!$B$3*R84+Assumptions!$B$4*S84+IF(AA84=1,Assumptions!$B$11,Assumptions!$B$5)*X84+IF(AA84=1,Assumptions!$B$12,Assumptions!$B$6)*T84+Assumptions!$B$7*U84+Assumptions!$B$8*V84+Assumptions!$B$9*Y84</f>
        <v>0.58051</v>
      </c>
      <c r="AA84" s="3" t="n">
        <v>0</v>
      </c>
    </row>
    <row r="85" customFormat="false" ht="15" hidden="false" customHeight="false" outlineLevel="0" collapsed="false">
      <c r="A85" s="3" t="s">
        <v>270</v>
      </c>
      <c r="B85" s="3" t="n">
        <v>600</v>
      </c>
      <c r="C85" s="11" t="str">
        <f aca="false">IF(M85&gt;=Assumptions!$B$17,"S+",IF(M85&gt;=Assumptions!$B$18,"S",IF(M85&gt;=Assumptions!$B$19,"A",IF(M85&gt;=Assumptions!$B$20,"B",IF(M85&gt;=Assumptions!$B$21,"C",IF(M85&gt;=Assumptions!$B$22,"D","F"))))))</f>
        <v>A</v>
      </c>
      <c r="D85" s="3" t="s">
        <v>208</v>
      </c>
      <c r="E85" s="3" t="n">
        <v>3</v>
      </c>
      <c r="F85" s="12" t="n">
        <v>0.8395</v>
      </c>
      <c r="G85" s="12" t="n">
        <v>0.45</v>
      </c>
      <c r="H85" s="12" t="n">
        <v>0.5526</v>
      </c>
      <c r="I85" s="12" t="n">
        <v>0.6069</v>
      </c>
      <c r="J85" s="12" t="n">
        <v>0.4016</v>
      </c>
      <c r="K85" s="12" t="n">
        <v>0.6148</v>
      </c>
      <c r="L85" s="3" t="n">
        <v>3.71</v>
      </c>
      <c r="M85" s="12" t="n">
        <f aca="false">Z85-W85</f>
        <v>0.184075</v>
      </c>
      <c r="N85" s="12" t="n">
        <f aca="false">IFERROR((Z85-J85)/L85,"")</f>
        <v>0.0574595687331537</v>
      </c>
      <c r="O85" s="3" t="n">
        <v>17</v>
      </c>
      <c r="P85" s="13" t="b">
        <f aca="false">FALSE()</f>
        <v>0</v>
      </c>
      <c r="Q85" s="3" t="s">
        <v>201</v>
      </c>
      <c r="R85" s="12" t="n">
        <v>0.8032</v>
      </c>
      <c r="S85" s="12" t="n">
        <v>0.7404</v>
      </c>
      <c r="T85" s="3" t="n">
        <v>0.2489</v>
      </c>
      <c r="U85" s="12" t="n">
        <v>0.3891</v>
      </c>
      <c r="V85" s="12" t="n">
        <v>0.5607</v>
      </c>
      <c r="W85" s="12" t="n">
        <v>0.4307</v>
      </c>
      <c r="X85" s="3" t="n">
        <v>0.5325</v>
      </c>
      <c r="Y85" s="3" t="n">
        <v>0.5654</v>
      </c>
      <c r="Z85" s="14" t="n">
        <f aca="false">Assumptions!$B$3*R85+Assumptions!$B$4*S85+IF(AA85=1,Assumptions!$B$11,Assumptions!$B$5)*X85+IF(AA85=1,Assumptions!$B$12,Assumptions!$B$6)*T85+Assumptions!$B$7*U85+Assumptions!$B$8*V85+Assumptions!$B$9*Y85</f>
        <v>0.614775</v>
      </c>
      <c r="AA85" s="3" t="n">
        <v>1</v>
      </c>
    </row>
    <row r="86" customFormat="false" ht="15" hidden="false" customHeight="false" outlineLevel="0" collapsed="false">
      <c r="A86" s="3" t="s">
        <v>271</v>
      </c>
      <c r="B86" s="3" t="n">
        <v>465</v>
      </c>
      <c r="C86" s="11" t="str">
        <f aca="false">IF(M86&gt;=Assumptions!$B$17,"S+",IF(M86&gt;=Assumptions!$B$18,"S",IF(M86&gt;=Assumptions!$B$19,"A",IF(M86&gt;=Assumptions!$B$20,"B",IF(M86&gt;=Assumptions!$B$21,"C",IF(M86&gt;=Assumptions!$B$22,"D","F"))))))</f>
        <v>A</v>
      </c>
      <c r="D86" s="3" t="s">
        <v>186</v>
      </c>
      <c r="E86" s="3" t="n">
        <v>3</v>
      </c>
      <c r="F86" s="12" t="n">
        <v>0.78</v>
      </c>
      <c r="G86" s="12" t="n">
        <v>0.85</v>
      </c>
      <c r="H86" s="12" t="n">
        <v>0.75</v>
      </c>
      <c r="I86" s="12" t="n">
        <v>0.8174</v>
      </c>
      <c r="J86" s="12" t="n">
        <v>0.2764</v>
      </c>
      <c r="K86" s="12" t="n">
        <v>0.6228</v>
      </c>
      <c r="L86" s="3" t="n">
        <v>5.82</v>
      </c>
      <c r="M86" s="12" t="n">
        <f aca="false">Z86-W86</f>
        <v>0.182689</v>
      </c>
      <c r="N86" s="12" t="n">
        <f aca="false">IFERROR((Z86-J86)/L86,"")</f>
        <v>0.0595170103092784</v>
      </c>
      <c r="O86" s="3" t="n">
        <v>17</v>
      </c>
      <c r="P86" s="13" t="b">
        <f aca="false">FALSE()</f>
        <v>0</v>
      </c>
      <c r="Q86" s="3" t="s">
        <v>166</v>
      </c>
      <c r="R86" s="12" t="n">
        <v>0.7622</v>
      </c>
      <c r="S86" s="12" t="n">
        <v>0.6684</v>
      </c>
      <c r="T86" s="3" t="n">
        <v>0.2968</v>
      </c>
      <c r="U86" s="12" t="n">
        <v>0.3936</v>
      </c>
      <c r="V86" s="12" t="n">
        <v>0.5903</v>
      </c>
      <c r="W86" s="12" t="n">
        <v>0.4401</v>
      </c>
      <c r="X86" s="3" t="n">
        <v>0.5398</v>
      </c>
      <c r="Y86" s="3" t="n">
        <v>0.7864</v>
      </c>
      <c r="Z86" s="14" t="n">
        <f aca="false">Assumptions!$B$3*R86+Assumptions!$B$4*S86+IF(AA86=1,Assumptions!$B$11,Assumptions!$B$5)*X86+IF(AA86=1,Assumptions!$B$12,Assumptions!$B$6)*T86+Assumptions!$B$7*U86+Assumptions!$B$8*V86+Assumptions!$B$9*Y86</f>
        <v>0.622789</v>
      </c>
      <c r="AA86" s="3" t="n">
        <v>1</v>
      </c>
    </row>
    <row r="87" customFormat="false" ht="15" hidden="false" customHeight="false" outlineLevel="0" collapsed="false">
      <c r="A87" s="3" t="s">
        <v>272</v>
      </c>
      <c r="B87" s="3" t="n">
        <v>600</v>
      </c>
      <c r="C87" s="11" t="str">
        <f aca="false">IF(M87&gt;=Assumptions!$B$17,"S+",IF(M87&gt;=Assumptions!$B$18,"S",IF(M87&gt;=Assumptions!$B$19,"A",IF(M87&gt;=Assumptions!$B$20,"B",IF(M87&gt;=Assumptions!$B$21,"C",IF(M87&gt;=Assumptions!$B$22,"D","F"))))))</f>
        <v>A</v>
      </c>
      <c r="D87" s="3" t="s">
        <v>197</v>
      </c>
      <c r="E87" s="3" t="n">
        <v>9</v>
      </c>
      <c r="F87" s="12" t="n">
        <v>0.6308</v>
      </c>
      <c r="G87" s="12" t="n">
        <v>0.8</v>
      </c>
      <c r="H87" s="12" t="n">
        <v>0.75</v>
      </c>
      <c r="I87" s="12" t="n">
        <v>0.7257</v>
      </c>
      <c r="J87" s="12" t="n">
        <v>0.3842</v>
      </c>
      <c r="K87" s="12" t="n">
        <v>0.6684</v>
      </c>
      <c r="L87" s="3" t="n">
        <v>4</v>
      </c>
      <c r="M87" s="12" t="n">
        <f aca="false">Z87-W87</f>
        <v>0.18225</v>
      </c>
      <c r="N87" s="12" t="n">
        <f aca="false">IFERROR((Z87-J87)/L87,"")</f>
        <v>0.0710375</v>
      </c>
      <c r="O87" s="3" t="n">
        <v>11</v>
      </c>
      <c r="P87" s="13" t="b">
        <f aca="false">FALSE()</f>
        <v>0</v>
      </c>
      <c r="Q87" s="3" t="s">
        <v>166</v>
      </c>
      <c r="R87" s="12" t="n">
        <v>0.8424</v>
      </c>
      <c r="S87" s="12" t="n">
        <v>0.7636</v>
      </c>
      <c r="T87" s="3" t="n">
        <v>0.1377</v>
      </c>
      <c r="U87" s="12" t="n">
        <v>0.4615</v>
      </c>
      <c r="V87" s="12" t="n">
        <v>0.6106</v>
      </c>
      <c r="W87" s="12" t="n">
        <v>0.4861</v>
      </c>
      <c r="X87" s="3" t="n">
        <v>0.8266</v>
      </c>
      <c r="Y87" s="3" t="n">
        <v>0.7269</v>
      </c>
      <c r="Z87" s="14" t="n">
        <f aca="false">Assumptions!$B$3*R87+Assumptions!$B$4*S87+IF(AA87=1,Assumptions!$B$11,Assumptions!$B$5)*X87+IF(AA87=1,Assumptions!$B$12,Assumptions!$B$6)*T87+Assumptions!$B$7*U87+Assumptions!$B$8*V87+Assumptions!$B$9*Y87</f>
        <v>0.66835</v>
      </c>
      <c r="AA87" s="3" t="n">
        <v>0</v>
      </c>
    </row>
    <row r="88" customFormat="false" ht="15" hidden="false" customHeight="false" outlineLevel="0" collapsed="false">
      <c r="A88" s="3" t="s">
        <v>273</v>
      </c>
      <c r="B88" s="3" t="n">
        <v>510</v>
      </c>
      <c r="C88" s="11" t="str">
        <f aca="false">IF(M88&gt;=Assumptions!$B$17,"S+",IF(M88&gt;=Assumptions!$B$18,"S",IF(M88&gt;=Assumptions!$B$19,"A",IF(M88&gt;=Assumptions!$B$20,"B",IF(M88&gt;=Assumptions!$B$21,"C",IF(M88&gt;=Assumptions!$B$22,"D","F"))))))</f>
        <v>A</v>
      </c>
      <c r="D88" s="3" t="s">
        <v>218</v>
      </c>
      <c r="E88" s="3" t="n">
        <v>7</v>
      </c>
      <c r="F88" s="12" t="n">
        <v>0.7097</v>
      </c>
      <c r="G88" s="12" t="n">
        <v>1</v>
      </c>
      <c r="H88" s="12" t="n">
        <v>0.75</v>
      </c>
      <c r="I88" s="12" t="n">
        <v>0.8571</v>
      </c>
      <c r="J88" s="12" t="n">
        <v>0.4972</v>
      </c>
      <c r="K88" s="12" t="n">
        <v>0.6916</v>
      </c>
      <c r="L88" s="3" t="n">
        <v>4</v>
      </c>
      <c r="M88" s="12" t="n">
        <f aca="false">Z88-W88</f>
        <v>0.180889</v>
      </c>
      <c r="N88" s="12" t="n">
        <f aca="false">IFERROR((Z88-J88)/L88,"")</f>
        <v>0.04859725</v>
      </c>
      <c r="O88" s="3" t="n">
        <v>13</v>
      </c>
      <c r="P88" s="13" t="b">
        <f aca="false">FALSE()</f>
        <v>0</v>
      </c>
      <c r="Q88" s="3" t="s">
        <v>166</v>
      </c>
      <c r="R88" s="12" t="n">
        <v>0.9251</v>
      </c>
      <c r="S88" s="12" t="n">
        <v>0.5362</v>
      </c>
      <c r="T88" s="3" t="n">
        <v>0.2917</v>
      </c>
      <c r="U88" s="12" t="n">
        <v>0.5681</v>
      </c>
      <c r="V88" s="12" t="n">
        <v>0.4771</v>
      </c>
      <c r="W88" s="12" t="n">
        <v>0.5107</v>
      </c>
      <c r="X88" s="3" t="n">
        <v>0.8773</v>
      </c>
      <c r="Y88" s="3" t="n">
        <v>0.8597</v>
      </c>
      <c r="Z88" s="14" t="n">
        <f aca="false">Assumptions!$B$3*R88+Assumptions!$B$4*S88+IF(AA88=1,Assumptions!$B$11,Assumptions!$B$5)*X88+IF(AA88=1,Assumptions!$B$12,Assumptions!$B$6)*T88+Assumptions!$B$7*U88+Assumptions!$B$8*V88+Assumptions!$B$9*Y88</f>
        <v>0.691589</v>
      </c>
      <c r="AA88" s="3" t="n">
        <v>0</v>
      </c>
    </row>
    <row r="89" customFormat="false" ht="15" hidden="false" customHeight="false" outlineLevel="0" collapsed="false">
      <c r="A89" s="3" t="s">
        <v>274</v>
      </c>
      <c r="B89" s="3" t="n">
        <v>600</v>
      </c>
      <c r="C89" s="11" t="str">
        <f aca="false">IF(M89&gt;=Assumptions!$B$17,"S+",IF(M89&gt;=Assumptions!$B$18,"S",IF(M89&gt;=Assumptions!$B$19,"A",IF(M89&gt;=Assumptions!$B$20,"B",IF(M89&gt;=Assumptions!$B$21,"C",IF(M89&gt;=Assumptions!$B$22,"D","F"))))))</f>
        <v>A</v>
      </c>
      <c r="D89" s="3" t="s">
        <v>228</v>
      </c>
      <c r="E89" s="3" t="n">
        <v>9</v>
      </c>
      <c r="F89" s="12" t="n">
        <v>0.9109</v>
      </c>
      <c r="G89" s="12" t="n">
        <v>0.8</v>
      </c>
      <c r="H89" s="12" t="n">
        <v>0.75</v>
      </c>
      <c r="I89" s="12" t="n">
        <v>0.8255</v>
      </c>
      <c r="J89" s="12" t="n">
        <v>0.4395</v>
      </c>
      <c r="K89" s="12" t="n">
        <v>0.6472</v>
      </c>
      <c r="L89" s="3" t="n">
        <v>5</v>
      </c>
      <c r="M89" s="12" t="n">
        <f aca="false">Z89-W89</f>
        <v>0.180141</v>
      </c>
      <c r="N89" s="12" t="n">
        <f aca="false">IFERROR((Z89-J89)/L89,"")</f>
        <v>0.0415482</v>
      </c>
      <c r="O89" s="3" t="n">
        <v>11</v>
      </c>
      <c r="P89" s="13" t="b">
        <f aca="false">TRUE()</f>
        <v>1</v>
      </c>
      <c r="Q89" s="3" t="s">
        <v>166</v>
      </c>
      <c r="R89" s="12" t="n">
        <v>0.913</v>
      </c>
      <c r="S89" s="12" t="n">
        <v>0.5925</v>
      </c>
      <c r="T89" s="3" t="n">
        <v>0.3119</v>
      </c>
      <c r="U89" s="12" t="n">
        <v>0.5874</v>
      </c>
      <c r="V89" s="12" t="n">
        <v>0.4996</v>
      </c>
      <c r="W89" s="12" t="n">
        <v>0.4671</v>
      </c>
      <c r="X89" s="3" t="n">
        <v>0.5447</v>
      </c>
      <c r="Y89" s="3" t="n">
        <v>0.8271</v>
      </c>
      <c r="Z89" s="14" t="n">
        <f aca="false">Assumptions!$B$3*R89+Assumptions!$B$4*S89+IF(AA89=1,Assumptions!$B$11,Assumptions!$B$5)*X89+IF(AA89=1,Assumptions!$B$12,Assumptions!$B$6)*T89+Assumptions!$B$7*U89+Assumptions!$B$8*V89+Assumptions!$B$9*Y89</f>
        <v>0.647241</v>
      </c>
      <c r="AA89" s="3" t="n">
        <v>0</v>
      </c>
    </row>
    <row r="90" customFormat="false" ht="15" hidden="false" customHeight="false" outlineLevel="0" collapsed="false">
      <c r="A90" s="3" t="s">
        <v>275</v>
      </c>
      <c r="B90" s="3" t="n">
        <v>635</v>
      </c>
      <c r="C90" s="11" t="str">
        <f aca="false">IF(M90&gt;=Assumptions!$B$17,"S+",IF(M90&gt;=Assumptions!$B$18,"S",IF(M90&gt;=Assumptions!$B$19,"A",IF(M90&gt;=Assumptions!$B$20,"B",IF(M90&gt;=Assumptions!$B$21,"C",IF(M90&gt;=Assumptions!$B$22,"D","F"))))))</f>
        <v>A</v>
      </c>
      <c r="D90" s="3" t="s">
        <v>190</v>
      </c>
      <c r="E90" s="3" t="n">
        <v>12</v>
      </c>
      <c r="F90" s="12" t="n">
        <v>0.6754</v>
      </c>
      <c r="G90" s="12" t="n">
        <v>0.8</v>
      </c>
      <c r="H90" s="12" t="n">
        <v>0.75</v>
      </c>
      <c r="I90" s="12" t="n">
        <v>0.7427</v>
      </c>
      <c r="J90" s="12" t="n">
        <v>0.4127</v>
      </c>
      <c r="K90" s="12" t="n">
        <v>0.6469</v>
      </c>
      <c r="L90" s="3" t="n">
        <v>4</v>
      </c>
      <c r="M90" s="12" t="n">
        <f aca="false">Z90-W90</f>
        <v>0.17923</v>
      </c>
      <c r="N90" s="12" t="n">
        <f aca="false">IFERROR((Z90-J90)/L90,"")</f>
        <v>0.0585575</v>
      </c>
      <c r="O90" s="3" t="n">
        <v>8</v>
      </c>
      <c r="P90" s="13" t="b">
        <f aca="false">FALSE()</f>
        <v>0</v>
      </c>
      <c r="Q90" s="3" t="s">
        <v>166</v>
      </c>
      <c r="R90" s="12" t="n">
        <v>0.8589</v>
      </c>
      <c r="S90" s="12" t="n">
        <v>0.7713</v>
      </c>
      <c r="T90" s="3" t="n">
        <v>0.1146</v>
      </c>
      <c r="U90" s="12" t="n">
        <v>0.4519</v>
      </c>
      <c r="V90" s="12" t="n">
        <v>0.5085</v>
      </c>
      <c r="W90" s="12" t="n">
        <v>0.4677</v>
      </c>
      <c r="X90" s="3" t="n">
        <v>0.7419</v>
      </c>
      <c r="Y90" s="3" t="n">
        <v>0.7434</v>
      </c>
      <c r="Z90" s="14" t="n">
        <f aca="false">Assumptions!$B$3*R90+Assumptions!$B$4*S90+IF(AA90=1,Assumptions!$B$11,Assumptions!$B$5)*X90+IF(AA90=1,Assumptions!$B$12,Assumptions!$B$6)*T90+Assumptions!$B$7*U90+Assumptions!$B$8*V90+Assumptions!$B$9*Y90</f>
        <v>0.64693</v>
      </c>
      <c r="AA90" s="3" t="n">
        <v>0</v>
      </c>
    </row>
    <row r="91" customFormat="false" ht="15" hidden="false" customHeight="false" outlineLevel="0" collapsed="false">
      <c r="A91" s="3" t="s">
        <v>276</v>
      </c>
      <c r="B91" s="3" t="n">
        <v>600</v>
      </c>
      <c r="C91" s="11" t="str">
        <f aca="false">IF(M91&gt;=Assumptions!$B$17,"S+",IF(M91&gt;=Assumptions!$B$18,"S",IF(M91&gt;=Assumptions!$B$19,"A",IF(M91&gt;=Assumptions!$B$20,"B",IF(M91&gt;=Assumptions!$B$21,"C",IF(M91&gt;=Assumptions!$B$22,"D","F"))))))</f>
        <v>A</v>
      </c>
      <c r="D91" s="3" t="s">
        <v>169</v>
      </c>
      <c r="E91" s="3" t="n">
        <v>4</v>
      </c>
      <c r="F91" s="12" t="n">
        <v>0.7136</v>
      </c>
      <c r="G91" s="12" t="n">
        <v>0.6</v>
      </c>
      <c r="H91" s="12" t="n">
        <v>0.4762</v>
      </c>
      <c r="I91" s="12" t="n">
        <v>0.598</v>
      </c>
      <c r="J91" s="12" t="n">
        <v>0.3611</v>
      </c>
      <c r="K91" s="12" t="n">
        <v>0.6427</v>
      </c>
      <c r="L91" s="3" t="n">
        <v>3.94</v>
      </c>
      <c r="M91" s="12" t="n">
        <f aca="false">Z91-W91</f>
        <v>0.178537</v>
      </c>
      <c r="N91" s="12" t="n">
        <f aca="false">IFERROR((Z91-J91)/L91,"")</f>
        <v>0.0714814720812183</v>
      </c>
      <c r="O91" s="3" t="n">
        <v>16</v>
      </c>
      <c r="P91" s="13" t="b">
        <f aca="false">FALSE()</f>
        <v>0</v>
      </c>
      <c r="Q91" s="3" t="s">
        <v>166</v>
      </c>
      <c r="R91" s="12" t="n">
        <v>0.8366</v>
      </c>
      <c r="S91" s="12" t="n">
        <v>0.788</v>
      </c>
      <c r="T91" s="3" t="n">
        <v>0.3787</v>
      </c>
      <c r="U91" s="12" t="n">
        <v>0.4086</v>
      </c>
      <c r="V91" s="12" t="n">
        <v>0.4637</v>
      </c>
      <c r="W91" s="12" t="n">
        <v>0.4642</v>
      </c>
      <c r="X91" s="3" t="n">
        <v>0.5924</v>
      </c>
      <c r="Y91" s="3" t="n">
        <v>0.5783</v>
      </c>
      <c r="Z91" s="14" t="n">
        <f aca="false">Assumptions!$B$3*R91+Assumptions!$B$4*S91+IF(AA91=1,Assumptions!$B$11,Assumptions!$B$5)*X91+IF(AA91=1,Assumptions!$B$12,Assumptions!$B$6)*T91+Assumptions!$B$7*U91+Assumptions!$B$8*V91+Assumptions!$B$9*Y91</f>
        <v>0.642737</v>
      </c>
      <c r="AA91" s="3" t="n">
        <v>1</v>
      </c>
    </row>
    <row r="92" customFormat="false" ht="15" hidden="false" customHeight="false" outlineLevel="0" collapsed="false">
      <c r="A92" s="3" t="s">
        <v>277</v>
      </c>
      <c r="B92" s="3" t="n">
        <v>680</v>
      </c>
      <c r="C92" s="11" t="str">
        <f aca="false">IF(M92&gt;=Assumptions!$B$17,"S+",IF(M92&gt;=Assumptions!$B$18,"S",IF(M92&gt;=Assumptions!$B$19,"A",IF(M92&gt;=Assumptions!$B$20,"B",IF(M92&gt;=Assumptions!$B$21,"C",IF(M92&gt;=Assumptions!$B$22,"D","F"))))))</f>
        <v>A</v>
      </c>
      <c r="D92" s="3" t="s">
        <v>228</v>
      </c>
      <c r="E92" s="3" t="n">
        <v>13</v>
      </c>
      <c r="F92" s="12" t="n">
        <v>0.9835</v>
      </c>
      <c r="G92" s="12" t="n">
        <v>0.6</v>
      </c>
      <c r="H92" s="12" t="n">
        <v>0.75</v>
      </c>
      <c r="I92" s="12" t="n">
        <v>0.7527</v>
      </c>
      <c r="J92" s="12" t="n">
        <v>0.4517</v>
      </c>
      <c r="K92" s="12" t="n">
        <v>0.6407</v>
      </c>
      <c r="L92" s="3" t="n">
        <v>4</v>
      </c>
      <c r="M92" s="12" t="n">
        <f aca="false">Z92-W92</f>
        <v>0.178354</v>
      </c>
      <c r="N92" s="12" t="n">
        <f aca="false">IFERROR((Z92-J92)/L92,"")</f>
        <v>0.0472635</v>
      </c>
      <c r="O92" s="3" t="n">
        <v>7</v>
      </c>
      <c r="P92" s="13" t="b">
        <f aca="false">TRUE()</f>
        <v>1</v>
      </c>
      <c r="Q92" s="3" t="s">
        <v>166</v>
      </c>
      <c r="R92" s="12" t="n">
        <v>0.9178</v>
      </c>
      <c r="S92" s="12" t="n">
        <v>0.6065</v>
      </c>
      <c r="T92" s="3" t="n">
        <v>0.2421</v>
      </c>
      <c r="U92" s="12" t="n">
        <v>0.6154</v>
      </c>
      <c r="V92" s="12" t="n">
        <v>0.4739</v>
      </c>
      <c r="W92" s="12" t="n">
        <v>0.4624</v>
      </c>
      <c r="X92" s="3" t="n">
        <v>0.582</v>
      </c>
      <c r="Y92" s="3" t="n">
        <v>0.7531</v>
      </c>
      <c r="Z92" s="14" t="n">
        <f aca="false">Assumptions!$B$3*R92+Assumptions!$B$4*S92+IF(AA92=1,Assumptions!$B$11,Assumptions!$B$5)*X92+IF(AA92=1,Assumptions!$B$12,Assumptions!$B$6)*T92+Assumptions!$B$7*U92+Assumptions!$B$8*V92+Assumptions!$B$9*Y92</f>
        <v>0.640754</v>
      </c>
      <c r="AA92" s="3" t="n">
        <v>0</v>
      </c>
    </row>
    <row r="93" customFormat="false" ht="15" hidden="false" customHeight="false" outlineLevel="0" collapsed="false">
      <c r="A93" s="3" t="s">
        <v>278</v>
      </c>
      <c r="B93" s="3" t="n">
        <v>510</v>
      </c>
      <c r="C93" s="11" t="str">
        <f aca="false">IF(M93&gt;=Assumptions!$B$17,"S+",IF(M93&gt;=Assumptions!$B$18,"S",IF(M93&gt;=Assumptions!$B$19,"A",IF(M93&gt;=Assumptions!$B$20,"B",IF(M93&gt;=Assumptions!$B$21,"C",IF(M93&gt;=Assumptions!$B$22,"D","F"))))))</f>
        <v>A</v>
      </c>
      <c r="D93" s="3" t="s">
        <v>178</v>
      </c>
      <c r="E93" s="3" t="n">
        <v>1</v>
      </c>
      <c r="F93" s="12" t="n">
        <v>0.8786</v>
      </c>
      <c r="G93" s="12" t="n">
        <v>0.6</v>
      </c>
      <c r="H93" s="12" t="n">
        <v>0.75</v>
      </c>
      <c r="I93" s="12" t="n">
        <v>0.6857</v>
      </c>
      <c r="J93" s="12" t="n">
        <v>0.4222</v>
      </c>
      <c r="K93" s="12" t="n">
        <v>0.5829</v>
      </c>
      <c r="L93" s="3" t="n">
        <v>3.63</v>
      </c>
      <c r="M93" s="12" t="n">
        <f aca="false">Z93-W93</f>
        <v>0.177909</v>
      </c>
      <c r="N93" s="12" t="n">
        <f aca="false">IFERROR((Z93-J93)/L93,"")</f>
        <v>0.0442724517906336</v>
      </c>
      <c r="O93" s="3" t="n">
        <v>19</v>
      </c>
      <c r="P93" s="13" t="b">
        <f aca="false">FALSE()</f>
        <v>0</v>
      </c>
      <c r="Q93" s="3" t="s">
        <v>201</v>
      </c>
      <c r="R93" s="12" t="n">
        <v>0.7322</v>
      </c>
      <c r="S93" s="12" t="n">
        <v>0.5035</v>
      </c>
      <c r="T93" s="3" t="n">
        <v>0.5788</v>
      </c>
      <c r="U93" s="12" t="n">
        <v>0.5061</v>
      </c>
      <c r="V93" s="12" t="n">
        <v>0.495</v>
      </c>
      <c r="W93" s="12" t="n">
        <v>0.405</v>
      </c>
      <c r="X93" s="3" t="n">
        <v>0.4736</v>
      </c>
      <c r="Y93" s="3" t="n">
        <v>0.6672</v>
      </c>
      <c r="Z93" s="14" t="n">
        <f aca="false">Assumptions!$B$3*R93+Assumptions!$B$4*S93+IF(AA93=1,Assumptions!$B$11,Assumptions!$B$5)*X93+IF(AA93=1,Assumptions!$B$12,Assumptions!$B$6)*T93+Assumptions!$B$7*U93+Assumptions!$B$8*V93+Assumptions!$B$9*Y93</f>
        <v>0.582909</v>
      </c>
      <c r="AA93" s="3" t="n">
        <v>0</v>
      </c>
    </row>
    <row r="94" customFormat="false" ht="15" hidden="false" customHeight="false" outlineLevel="0" collapsed="false">
      <c r="A94" s="3" t="s">
        <v>279</v>
      </c>
      <c r="B94" s="3" t="n">
        <v>272</v>
      </c>
      <c r="C94" s="11" t="str">
        <f aca="false">IF(M94&gt;=Assumptions!$B$17,"S+",IF(M94&gt;=Assumptions!$B$18,"S",IF(M94&gt;=Assumptions!$B$19,"A",IF(M94&gt;=Assumptions!$B$20,"B",IF(M94&gt;=Assumptions!$B$21,"C",IF(M94&gt;=Assumptions!$B$22,"D","F"))))))</f>
        <v>A</v>
      </c>
      <c r="D94" s="3" t="s">
        <v>237</v>
      </c>
      <c r="E94" s="3" t="n">
        <v>3</v>
      </c>
      <c r="F94" s="12" t="n">
        <v>0.5455</v>
      </c>
      <c r="G94" s="12" t="n">
        <v>0.45</v>
      </c>
      <c r="H94" s="12" t="n">
        <v>0.75</v>
      </c>
      <c r="I94" s="12" t="n">
        <v>0.5272</v>
      </c>
      <c r="J94" s="12" t="n">
        <v>0.2533</v>
      </c>
      <c r="K94" s="12" t="n">
        <v>0.4728</v>
      </c>
      <c r="L94" s="3" t="n">
        <v>5.59</v>
      </c>
      <c r="M94" s="12" t="n">
        <f aca="false">Z94-W94</f>
        <v>0.177034</v>
      </c>
      <c r="N94" s="12" t="n">
        <f aca="false">IFERROR((Z94-J94)/L94,"")</f>
        <v>0.0392726296958855</v>
      </c>
      <c r="O94" s="3" t="n">
        <v>17</v>
      </c>
      <c r="P94" s="13" t="b">
        <f aca="false">FALSE()</f>
        <v>0</v>
      </c>
      <c r="Q94" s="3" t="s">
        <v>166</v>
      </c>
      <c r="R94" s="12" t="n">
        <v>0.6161</v>
      </c>
      <c r="S94" s="12" t="n">
        <v>0.3355</v>
      </c>
      <c r="T94" s="3" t="n">
        <v>0.1404</v>
      </c>
      <c r="U94" s="12" t="n">
        <v>0.5249</v>
      </c>
      <c r="V94" s="12" t="n">
        <v>0.5071</v>
      </c>
      <c r="W94" s="12" t="n">
        <v>0.2958</v>
      </c>
      <c r="X94" s="3" t="n">
        <v>0.4159</v>
      </c>
      <c r="Y94" s="3" t="n">
        <v>0.4862</v>
      </c>
      <c r="Z94" s="14" t="n">
        <f aca="false">Assumptions!$B$3*R94+Assumptions!$B$4*S94+IF(AA94=1,Assumptions!$B$11,Assumptions!$B$5)*X94+IF(AA94=1,Assumptions!$B$12,Assumptions!$B$6)*T94+Assumptions!$B$7*U94+Assumptions!$B$8*V94+Assumptions!$B$9*Y94</f>
        <v>0.472834</v>
      </c>
      <c r="AA94" s="3" t="n">
        <v>1</v>
      </c>
    </row>
    <row r="95" customFormat="false" ht="15" hidden="false" customHeight="false" outlineLevel="0" collapsed="false">
      <c r="A95" s="3" t="s">
        <v>280</v>
      </c>
      <c r="B95" s="3" t="n">
        <v>600</v>
      </c>
      <c r="C95" s="11" t="str">
        <f aca="false">IF(M95&gt;=Assumptions!$B$17,"S+",IF(M95&gt;=Assumptions!$B$18,"S",IF(M95&gt;=Assumptions!$B$19,"A",IF(M95&gt;=Assumptions!$B$20,"B",IF(M95&gt;=Assumptions!$B$21,"C",IF(M95&gt;=Assumptions!$B$22,"D","F"))))))</f>
        <v>A</v>
      </c>
      <c r="D95" s="3" t="s">
        <v>228</v>
      </c>
      <c r="E95" s="3" t="n">
        <v>7</v>
      </c>
      <c r="F95" s="12" t="n">
        <v>0.907</v>
      </c>
      <c r="G95" s="12" t="n">
        <v>0.6</v>
      </c>
      <c r="H95" s="12" t="n">
        <v>0.75</v>
      </c>
      <c r="I95" s="12" t="n">
        <v>0.7282</v>
      </c>
      <c r="J95" s="12" t="n">
        <v>0.4105</v>
      </c>
      <c r="K95" s="12" t="n">
        <v>0.6409</v>
      </c>
      <c r="L95" s="3" t="n">
        <v>4</v>
      </c>
      <c r="M95" s="12" t="n">
        <f aca="false">Z95-W95</f>
        <v>0.176861</v>
      </c>
      <c r="N95" s="12" t="n">
        <f aca="false">IFERROR((Z95-J95)/L95,"")</f>
        <v>0.05761525</v>
      </c>
      <c r="O95" s="3" t="n">
        <v>13</v>
      </c>
      <c r="P95" s="13" t="b">
        <f aca="false">TRUE()</f>
        <v>1</v>
      </c>
      <c r="Q95" s="3" t="s">
        <v>166</v>
      </c>
      <c r="R95" s="12" t="n">
        <v>0.922</v>
      </c>
      <c r="S95" s="12" t="n">
        <v>0.5837</v>
      </c>
      <c r="T95" s="3" t="n">
        <v>0.2828</v>
      </c>
      <c r="U95" s="12" t="n">
        <v>0.5385</v>
      </c>
      <c r="V95" s="12" t="n">
        <v>0.5058</v>
      </c>
      <c r="W95" s="12" t="n">
        <v>0.4641</v>
      </c>
      <c r="X95" s="3" t="n">
        <v>0.6077</v>
      </c>
      <c r="Y95" s="3" t="n">
        <v>0.7303</v>
      </c>
      <c r="Z95" s="14" t="n">
        <f aca="false">Assumptions!$B$3*R95+Assumptions!$B$4*S95+IF(AA95=1,Assumptions!$B$11,Assumptions!$B$5)*X95+IF(AA95=1,Assumptions!$B$12,Assumptions!$B$6)*T95+Assumptions!$B$7*U95+Assumptions!$B$8*V95+Assumptions!$B$9*Y95</f>
        <v>0.640961</v>
      </c>
      <c r="AA95" s="3" t="n">
        <v>0</v>
      </c>
    </row>
    <row r="96" customFormat="false" ht="15" hidden="false" customHeight="false" outlineLevel="0" collapsed="false">
      <c r="A96" s="3" t="s">
        <v>281</v>
      </c>
      <c r="B96" s="3" t="n">
        <v>510</v>
      </c>
      <c r="C96" s="11" t="str">
        <f aca="false">IF(M96&gt;=Assumptions!$B$17,"S+",IF(M96&gt;=Assumptions!$B$18,"S",IF(M96&gt;=Assumptions!$B$19,"A",IF(M96&gt;=Assumptions!$B$20,"B",IF(M96&gt;=Assumptions!$B$21,"C",IF(M96&gt;=Assumptions!$B$22,"D","F"))))))</f>
        <v>A</v>
      </c>
      <c r="D96" s="3" t="s">
        <v>180</v>
      </c>
      <c r="E96" s="3" t="n">
        <v>7</v>
      </c>
      <c r="F96" s="12" t="n">
        <v>0.5104</v>
      </c>
      <c r="G96" s="12" t="n">
        <v>1</v>
      </c>
      <c r="H96" s="12" t="n">
        <v>0.5149</v>
      </c>
      <c r="I96" s="12" t="n">
        <v>0.8051</v>
      </c>
      <c r="J96" s="12" t="n">
        <v>0.4532</v>
      </c>
      <c r="K96" s="12" t="n">
        <v>0.6864</v>
      </c>
      <c r="L96" s="3" t="n">
        <v>5</v>
      </c>
      <c r="M96" s="12" t="n">
        <f aca="false">Z96-W96</f>
        <v>0.175491</v>
      </c>
      <c r="N96" s="12" t="n">
        <f aca="false">IFERROR((Z96-J96)/L96,"")</f>
        <v>0.0466382</v>
      </c>
      <c r="O96" s="3" t="n">
        <v>13</v>
      </c>
      <c r="P96" s="13" t="b">
        <f aca="false">FALSE()</f>
        <v>0</v>
      </c>
      <c r="Q96" s="3" t="s">
        <v>166</v>
      </c>
      <c r="R96" s="12" t="n">
        <v>0.7611</v>
      </c>
      <c r="S96" s="12" t="n">
        <v>0.6349</v>
      </c>
      <c r="T96" s="3" t="n">
        <v>0.0323</v>
      </c>
      <c r="U96" s="12" t="n">
        <v>0.5267</v>
      </c>
      <c r="V96" s="12" t="n">
        <v>0.525</v>
      </c>
      <c r="W96" s="12" t="n">
        <v>0.5109</v>
      </c>
      <c r="X96" s="3" t="n">
        <v>0.8412</v>
      </c>
      <c r="Y96" s="3" t="n">
        <v>0.7967</v>
      </c>
      <c r="Z96" s="14" t="n">
        <f aca="false">Assumptions!$B$3*R96+Assumptions!$B$4*S96+IF(AA96=1,Assumptions!$B$11,Assumptions!$B$5)*X96+IF(AA96=1,Assumptions!$B$12,Assumptions!$B$6)*T96+Assumptions!$B$7*U96+Assumptions!$B$8*V96+Assumptions!$B$9*Y96</f>
        <v>0.686391</v>
      </c>
      <c r="AA96" s="3" t="n">
        <v>1</v>
      </c>
    </row>
    <row r="97" customFormat="false" ht="15" hidden="false" customHeight="false" outlineLevel="0" collapsed="false">
      <c r="A97" s="3" t="s">
        <v>282</v>
      </c>
      <c r="B97" s="3" t="n">
        <v>510</v>
      </c>
      <c r="C97" s="11" t="str">
        <f aca="false">IF(M97&gt;=Assumptions!$B$17,"S+",IF(M97&gt;=Assumptions!$B$18,"S",IF(M97&gt;=Assumptions!$B$19,"A",IF(M97&gt;=Assumptions!$B$20,"B",IF(M97&gt;=Assumptions!$B$21,"C",IF(M97&gt;=Assumptions!$B$22,"D","F"))))))</f>
        <v>A</v>
      </c>
      <c r="D97" s="3" t="s">
        <v>175</v>
      </c>
      <c r="E97" s="3" t="n">
        <v>6</v>
      </c>
      <c r="F97" s="12" t="n">
        <v>0.94</v>
      </c>
      <c r="G97" s="12" t="n">
        <v>0.45</v>
      </c>
      <c r="H97" s="12" t="n">
        <v>0.75</v>
      </c>
      <c r="I97" s="12" t="n">
        <v>0.5835</v>
      </c>
      <c r="J97" s="12" t="n">
        <v>0.3257</v>
      </c>
      <c r="K97" s="12" t="n">
        <v>0.5782</v>
      </c>
      <c r="L97" s="3" t="n">
        <v>4</v>
      </c>
      <c r="M97" s="12" t="n">
        <f aca="false">Z97-W97</f>
        <v>0.175416</v>
      </c>
      <c r="N97" s="12" t="n">
        <f aca="false">IFERROR((Z97-J97)/L97,"")</f>
        <v>0.063129</v>
      </c>
      <c r="O97" s="3" t="n">
        <v>14</v>
      </c>
      <c r="P97" s="13" t="b">
        <f aca="false">FALSE()</f>
        <v>0</v>
      </c>
      <c r="Q97" s="3" t="s">
        <v>166</v>
      </c>
      <c r="R97" s="12" t="n">
        <v>0.8493</v>
      </c>
      <c r="S97" s="12" t="n">
        <v>0.5376</v>
      </c>
      <c r="T97" s="3" t="n">
        <v>0.038</v>
      </c>
      <c r="U97" s="12" t="n">
        <v>0.5275</v>
      </c>
      <c r="V97" s="12" t="n">
        <v>0.3282</v>
      </c>
      <c r="W97" s="12" t="n">
        <v>0.4028</v>
      </c>
      <c r="X97" s="3" t="n">
        <v>0.7796</v>
      </c>
      <c r="Y97" s="3" t="n">
        <v>0.5861</v>
      </c>
      <c r="Z97" s="14" t="n">
        <f aca="false">Assumptions!$B$3*R97+Assumptions!$B$4*S97+IF(AA97=1,Assumptions!$B$11,Assumptions!$B$5)*X97+IF(AA97=1,Assumptions!$B$12,Assumptions!$B$6)*T97+Assumptions!$B$7*U97+Assumptions!$B$8*V97+Assumptions!$B$9*Y97</f>
        <v>0.578216</v>
      </c>
      <c r="AA97" s="3" t="n">
        <v>0</v>
      </c>
    </row>
    <row r="98" customFormat="false" ht="15" hidden="false" customHeight="false" outlineLevel="0" collapsed="false">
      <c r="A98" s="3" t="s">
        <v>283</v>
      </c>
      <c r="B98" s="3" t="n">
        <v>570</v>
      </c>
      <c r="C98" s="11" t="str">
        <f aca="false">IF(M98&gt;=Assumptions!$B$17,"S+",IF(M98&gt;=Assumptions!$B$18,"S",IF(M98&gt;=Assumptions!$B$19,"A",IF(M98&gt;=Assumptions!$B$20,"B",IF(M98&gt;=Assumptions!$B$21,"C",IF(M98&gt;=Assumptions!$B$22,"D","F"))))))</f>
        <v>A</v>
      </c>
      <c r="D98" s="3" t="s">
        <v>175</v>
      </c>
      <c r="E98" s="3" t="n">
        <v>7</v>
      </c>
      <c r="F98" s="12" t="n">
        <v>0.6807</v>
      </c>
      <c r="G98" s="12" t="n">
        <v>0.6</v>
      </c>
      <c r="H98" s="12" t="n">
        <v>0.75</v>
      </c>
      <c r="I98" s="12" t="n">
        <v>0.6421</v>
      </c>
      <c r="J98" s="12" t="n">
        <v>0.3689</v>
      </c>
      <c r="K98" s="12" t="n">
        <v>0.5842</v>
      </c>
      <c r="L98" s="3" t="n">
        <v>4</v>
      </c>
      <c r="M98" s="12" t="n">
        <f aca="false">Z98-W98</f>
        <v>0.174646</v>
      </c>
      <c r="N98" s="12" t="n">
        <f aca="false">IFERROR((Z98-J98)/L98,"")</f>
        <v>0.0538365</v>
      </c>
      <c r="O98" s="3" t="n">
        <v>13</v>
      </c>
      <c r="P98" s="13" t="b">
        <f aca="false">FALSE()</f>
        <v>0</v>
      </c>
      <c r="Q98" s="3" t="s">
        <v>166</v>
      </c>
      <c r="R98" s="12" t="n">
        <v>0.6923</v>
      </c>
      <c r="S98" s="12" t="n">
        <v>0.645</v>
      </c>
      <c r="T98" s="3" t="n">
        <v>0.1257</v>
      </c>
      <c r="U98" s="12" t="n">
        <v>0.4734</v>
      </c>
      <c r="V98" s="12" t="n">
        <v>0.4114</v>
      </c>
      <c r="W98" s="12" t="n">
        <v>0.4096</v>
      </c>
      <c r="X98" s="3" t="n">
        <v>0.8645</v>
      </c>
      <c r="Y98" s="3" t="n">
        <v>0.615</v>
      </c>
      <c r="Z98" s="14" t="n">
        <f aca="false">Assumptions!$B$3*R98+Assumptions!$B$4*S98+IF(AA98=1,Assumptions!$B$11,Assumptions!$B$5)*X98+IF(AA98=1,Assumptions!$B$12,Assumptions!$B$6)*T98+Assumptions!$B$7*U98+Assumptions!$B$8*V98+Assumptions!$B$9*Y98</f>
        <v>0.584246</v>
      </c>
      <c r="AA98" s="3" t="n">
        <v>0</v>
      </c>
    </row>
    <row r="99" customFormat="false" ht="15" hidden="false" customHeight="false" outlineLevel="0" collapsed="false">
      <c r="A99" s="3" t="s">
        <v>284</v>
      </c>
      <c r="B99" s="3" t="n">
        <v>490</v>
      </c>
      <c r="C99" s="11" t="str">
        <f aca="false">IF(M99&gt;=Assumptions!$B$17,"S+",IF(M99&gt;=Assumptions!$B$18,"S",IF(M99&gt;=Assumptions!$B$19,"A",IF(M99&gt;=Assumptions!$B$20,"B",IF(M99&gt;=Assumptions!$B$21,"C",IF(M99&gt;=Assumptions!$B$22,"D","F"))))))</f>
        <v>A</v>
      </c>
      <c r="D99" s="3" t="s">
        <v>200</v>
      </c>
      <c r="E99" s="3" t="n">
        <v>6</v>
      </c>
      <c r="F99" s="12" t="n">
        <v>0.8326</v>
      </c>
      <c r="G99" s="12" t="n">
        <v>0.85</v>
      </c>
      <c r="H99" s="12" t="n">
        <v>0.4692</v>
      </c>
      <c r="I99" s="12" t="n">
        <v>0.7695</v>
      </c>
      <c r="J99" s="12" t="n">
        <v>0.5127</v>
      </c>
      <c r="K99" s="12" t="n">
        <v>0.6641</v>
      </c>
      <c r="L99" s="3" t="n">
        <v>6</v>
      </c>
      <c r="M99" s="12" t="n">
        <f aca="false">Z99-W99</f>
        <v>0.174286</v>
      </c>
      <c r="N99" s="12" t="n">
        <f aca="false">IFERROR((Z99-J99)/L99,"")</f>
        <v>0.025231</v>
      </c>
      <c r="O99" s="3" t="n">
        <v>14</v>
      </c>
      <c r="P99" s="13" t="b">
        <f aca="false">FALSE()</f>
        <v>0</v>
      </c>
      <c r="Q99" s="3" t="s">
        <v>166</v>
      </c>
      <c r="R99" s="12" t="n">
        <v>0.7709</v>
      </c>
      <c r="S99" s="12" t="n">
        <v>0.6776</v>
      </c>
      <c r="T99" s="3" t="n">
        <v>0.0558</v>
      </c>
      <c r="U99" s="12" t="n">
        <v>0.3846</v>
      </c>
      <c r="V99" s="12" t="n">
        <v>0.4856</v>
      </c>
      <c r="W99" s="12" t="n">
        <v>0.4898</v>
      </c>
      <c r="X99" s="3" t="n">
        <v>0.7936</v>
      </c>
      <c r="Y99" s="3" t="n">
        <v>0.7744</v>
      </c>
      <c r="Z99" s="14" t="n">
        <f aca="false">Assumptions!$B$3*R99+Assumptions!$B$4*S99+IF(AA99=1,Assumptions!$B$11,Assumptions!$B$5)*X99+IF(AA99=1,Assumptions!$B$12,Assumptions!$B$6)*T99+Assumptions!$B$7*U99+Assumptions!$B$8*V99+Assumptions!$B$9*Y99</f>
        <v>0.664086</v>
      </c>
      <c r="AA99" s="3" t="n">
        <v>1</v>
      </c>
    </row>
    <row r="100" customFormat="false" ht="15" hidden="false" customHeight="false" outlineLevel="0" collapsed="false">
      <c r="A100" s="3" t="s">
        <v>285</v>
      </c>
      <c r="B100" s="3" t="n">
        <v>590</v>
      </c>
      <c r="C100" s="11" t="str">
        <f aca="false">IF(M100&gt;=Assumptions!$B$17,"S+",IF(M100&gt;=Assumptions!$B$18,"S",IF(M100&gt;=Assumptions!$B$19,"A",IF(M100&gt;=Assumptions!$B$20,"B",IF(M100&gt;=Assumptions!$B$21,"C",IF(M100&gt;=Assumptions!$B$22,"D","F"))))))</f>
        <v>A</v>
      </c>
      <c r="D100" s="3" t="s">
        <v>197</v>
      </c>
      <c r="E100" s="3" t="n">
        <v>1</v>
      </c>
      <c r="F100" s="12" t="n">
        <v>0.7501</v>
      </c>
      <c r="G100" s="12" t="n">
        <v>0.8</v>
      </c>
      <c r="H100" s="12" t="n">
        <v>0.75</v>
      </c>
      <c r="I100" s="12" t="n">
        <v>0.771</v>
      </c>
      <c r="J100" s="12" t="n">
        <v>0.4336</v>
      </c>
      <c r="K100" s="12" t="n">
        <v>0.652</v>
      </c>
      <c r="L100" s="3" t="n">
        <v>3.61</v>
      </c>
      <c r="M100" s="12" t="n">
        <f aca="false">Z100-W100</f>
        <v>0.173963</v>
      </c>
      <c r="N100" s="12" t="n">
        <f aca="false">IFERROR((Z100-J100)/L100,"")</f>
        <v>0.0604883656509696</v>
      </c>
      <c r="O100" s="3" t="n">
        <v>19</v>
      </c>
      <c r="P100" s="13" t="b">
        <f aca="false">FALSE()</f>
        <v>0</v>
      </c>
      <c r="Q100" s="3" t="s">
        <v>166</v>
      </c>
      <c r="R100" s="12" t="n">
        <v>0.8338</v>
      </c>
      <c r="S100" s="12" t="n">
        <v>0.7383</v>
      </c>
      <c r="T100" s="3" t="n">
        <v>0.4174</v>
      </c>
      <c r="U100" s="12" t="n">
        <v>0.4413</v>
      </c>
      <c r="V100" s="12" t="n">
        <v>0.4976</v>
      </c>
      <c r="W100" s="12" t="n">
        <v>0.478</v>
      </c>
      <c r="X100" s="3" t="n">
        <v>0.6696</v>
      </c>
      <c r="Y100" s="3" t="n">
        <v>0.6834</v>
      </c>
      <c r="Z100" s="14" t="n">
        <f aca="false">Assumptions!$B$3*R100+Assumptions!$B$4*S100+IF(AA100=1,Assumptions!$B$11,Assumptions!$B$5)*X100+IF(AA100=1,Assumptions!$B$12,Assumptions!$B$6)*T100+Assumptions!$B$7*U100+Assumptions!$B$8*V100+Assumptions!$B$9*Y100</f>
        <v>0.651963</v>
      </c>
      <c r="AA100" s="3" t="n">
        <v>0</v>
      </c>
    </row>
    <row r="101" customFormat="false" ht="15" hidden="false" customHeight="false" outlineLevel="0" collapsed="false">
      <c r="A101" s="3" t="s">
        <v>286</v>
      </c>
      <c r="B101" s="3" t="n">
        <v>580</v>
      </c>
      <c r="C101" s="11" t="str">
        <f aca="false">IF(M101&gt;=Assumptions!$B$17,"S+",IF(M101&gt;=Assumptions!$B$18,"S",IF(M101&gt;=Assumptions!$B$19,"A",IF(M101&gt;=Assumptions!$B$20,"B",IF(M101&gt;=Assumptions!$B$21,"C",IF(M101&gt;=Assumptions!$B$22,"D","F"))))))</f>
        <v>A</v>
      </c>
      <c r="D101" s="3" t="s">
        <v>197</v>
      </c>
      <c r="E101" s="3" t="n">
        <v>9</v>
      </c>
      <c r="F101" s="12" t="n">
        <v>0.898</v>
      </c>
      <c r="G101" s="12" t="n">
        <v>1</v>
      </c>
      <c r="H101" s="12" t="n">
        <v>0.75</v>
      </c>
      <c r="I101" s="12" t="n">
        <v>0.9112</v>
      </c>
      <c r="J101" s="12" t="n">
        <v>0.4102</v>
      </c>
      <c r="K101" s="12" t="n">
        <v>0.6593</v>
      </c>
      <c r="L101" s="3" t="n">
        <v>5</v>
      </c>
      <c r="M101" s="12" t="n">
        <f aca="false">Z101-W101</f>
        <v>0.173198</v>
      </c>
      <c r="N101" s="12" t="n">
        <f aca="false">IFERROR((Z101-J101)/L101,"")</f>
        <v>0.0498196</v>
      </c>
      <c r="O101" s="3" t="n">
        <v>11</v>
      </c>
      <c r="P101" s="13" t="b">
        <f aca="false">TRUE()</f>
        <v>1</v>
      </c>
      <c r="Q101" s="3" t="s">
        <v>166</v>
      </c>
      <c r="R101" s="12" t="n">
        <v>0.8549</v>
      </c>
      <c r="S101" s="12" t="n">
        <v>0.5653</v>
      </c>
      <c r="T101" s="3" t="n">
        <v>0.327</v>
      </c>
      <c r="U101" s="12" t="n">
        <v>0.5385</v>
      </c>
      <c r="V101" s="12" t="n">
        <v>0.4491</v>
      </c>
      <c r="W101" s="12" t="n">
        <v>0.4861</v>
      </c>
      <c r="X101" s="3" t="n">
        <v>0.7408</v>
      </c>
      <c r="Y101" s="3" t="n">
        <v>0.9121</v>
      </c>
      <c r="Z101" s="14" t="n">
        <f aca="false">Assumptions!$B$3*R101+Assumptions!$B$4*S101+IF(AA101=1,Assumptions!$B$11,Assumptions!$B$5)*X101+IF(AA101=1,Assumptions!$B$12,Assumptions!$B$6)*T101+Assumptions!$B$7*U101+Assumptions!$B$8*V101+Assumptions!$B$9*Y101</f>
        <v>0.659298</v>
      </c>
      <c r="AA101" s="3" t="n">
        <v>0</v>
      </c>
    </row>
    <row r="102" customFormat="false" ht="15" hidden="false" customHeight="false" outlineLevel="0" collapsed="false">
      <c r="A102" s="3" t="s">
        <v>287</v>
      </c>
      <c r="B102" s="3" t="n">
        <v>580</v>
      </c>
      <c r="C102" s="11" t="str">
        <f aca="false">IF(M102&gt;=Assumptions!$B$17,"S+",IF(M102&gt;=Assumptions!$B$18,"S",IF(M102&gt;=Assumptions!$B$19,"A",IF(M102&gt;=Assumptions!$B$20,"B",IF(M102&gt;=Assumptions!$B$21,"C",IF(M102&gt;=Assumptions!$B$22,"D","F"))))))</f>
        <v>A</v>
      </c>
      <c r="D102" s="3" t="s">
        <v>197</v>
      </c>
      <c r="E102" s="3" t="n">
        <v>9</v>
      </c>
      <c r="F102" s="12" t="n">
        <v>0.6984</v>
      </c>
      <c r="G102" s="12" t="n">
        <v>0.8</v>
      </c>
      <c r="H102" s="12" t="n">
        <v>0.75</v>
      </c>
      <c r="I102" s="12" t="n">
        <v>0.7514</v>
      </c>
      <c r="J102" s="12" t="n">
        <v>0.3978</v>
      </c>
      <c r="K102" s="12" t="n">
        <v>0.659</v>
      </c>
      <c r="L102" s="3" t="n">
        <v>5</v>
      </c>
      <c r="M102" s="12" t="n">
        <f aca="false">Z102-W102</f>
        <v>0.172965</v>
      </c>
      <c r="N102" s="12" t="n">
        <f aca="false">IFERROR((Z102-J102)/L102,"")</f>
        <v>0.052253</v>
      </c>
      <c r="O102" s="3" t="n">
        <v>11</v>
      </c>
      <c r="P102" s="13" t="b">
        <f aca="false">TRUE()</f>
        <v>1</v>
      </c>
      <c r="Q102" s="3" t="s">
        <v>166</v>
      </c>
      <c r="R102" s="12" t="n">
        <v>0.8654</v>
      </c>
      <c r="S102" s="12" t="n">
        <v>0.5434</v>
      </c>
      <c r="T102" s="3" t="n">
        <v>0.4027</v>
      </c>
      <c r="U102" s="12" t="n">
        <v>0.5105</v>
      </c>
      <c r="V102" s="12" t="n">
        <v>0.5151</v>
      </c>
      <c r="W102" s="12" t="n">
        <v>0.4861</v>
      </c>
      <c r="X102" s="3" t="n">
        <v>0.7576</v>
      </c>
      <c r="Y102" s="3" t="n">
        <v>0.753</v>
      </c>
      <c r="Z102" s="14" t="n">
        <f aca="false">Assumptions!$B$3*R102+Assumptions!$B$4*S102+IF(AA102=1,Assumptions!$B$11,Assumptions!$B$5)*X102+IF(AA102=1,Assumptions!$B$12,Assumptions!$B$6)*T102+Assumptions!$B$7*U102+Assumptions!$B$8*V102+Assumptions!$B$9*Y102</f>
        <v>0.659065</v>
      </c>
      <c r="AA102" s="3" t="n">
        <v>0</v>
      </c>
    </row>
    <row r="103" customFormat="false" ht="15" hidden="false" customHeight="false" outlineLevel="0" collapsed="false">
      <c r="A103" s="3" t="s">
        <v>288</v>
      </c>
      <c r="B103" s="3" t="n">
        <v>625</v>
      </c>
      <c r="C103" s="11" t="str">
        <f aca="false">IF(M103&gt;=Assumptions!$B$17,"S+",IF(M103&gt;=Assumptions!$B$18,"S",IF(M103&gt;=Assumptions!$B$19,"A",IF(M103&gt;=Assumptions!$B$20,"B",IF(M103&gt;=Assumptions!$B$21,"C",IF(M103&gt;=Assumptions!$B$22,"D","F"))))))</f>
        <v>A</v>
      </c>
      <c r="D103" s="3" t="s">
        <v>218</v>
      </c>
      <c r="E103" s="3" t="n">
        <v>12</v>
      </c>
      <c r="F103" s="12" t="n">
        <v>0.8998</v>
      </c>
      <c r="G103" s="12" t="n">
        <v>0.6</v>
      </c>
      <c r="H103" s="12" t="n">
        <v>0.75</v>
      </c>
      <c r="I103" s="12" t="n">
        <v>0.7259</v>
      </c>
      <c r="J103" s="12" t="n">
        <v>0.5156</v>
      </c>
      <c r="K103" s="12" t="n">
        <v>0.6792</v>
      </c>
      <c r="L103" s="3" t="n">
        <v>4</v>
      </c>
      <c r="M103" s="12" t="n">
        <f aca="false">Z103-W103</f>
        <v>0.172938</v>
      </c>
      <c r="N103" s="12" t="n">
        <f aca="false">IFERROR((Z103-J103)/L103,"")</f>
        <v>0.0408845</v>
      </c>
      <c r="O103" s="3" t="n">
        <v>8</v>
      </c>
      <c r="P103" s="13" t="b">
        <f aca="false">FALSE()</f>
        <v>0</v>
      </c>
      <c r="Q103" s="3" t="s">
        <v>166</v>
      </c>
      <c r="R103" s="12" t="n">
        <v>0.8834</v>
      </c>
      <c r="S103" s="12" t="n">
        <v>0.7104</v>
      </c>
      <c r="T103" s="3" t="n">
        <v>0.0833</v>
      </c>
      <c r="U103" s="12" t="n">
        <v>0.6058</v>
      </c>
      <c r="V103" s="12" t="n">
        <v>0.421</v>
      </c>
      <c r="W103" s="12" t="n">
        <v>0.5062</v>
      </c>
      <c r="X103" s="3" t="n">
        <v>0.9583</v>
      </c>
      <c r="Y103" s="3" t="n">
        <v>0.7268</v>
      </c>
      <c r="Z103" s="14" t="n">
        <f aca="false">Assumptions!$B$3*R103+Assumptions!$B$4*S103+IF(AA103=1,Assumptions!$B$11,Assumptions!$B$5)*X103+IF(AA103=1,Assumptions!$B$12,Assumptions!$B$6)*T103+Assumptions!$B$7*U103+Assumptions!$B$8*V103+Assumptions!$B$9*Y103</f>
        <v>0.679138</v>
      </c>
      <c r="AA103" s="3" t="n">
        <v>0</v>
      </c>
    </row>
    <row r="104" customFormat="false" ht="15" hidden="false" customHeight="false" outlineLevel="0" collapsed="false">
      <c r="A104" s="3" t="s">
        <v>289</v>
      </c>
      <c r="B104" s="3" t="n">
        <v>600</v>
      </c>
      <c r="C104" s="11" t="str">
        <f aca="false">IF(M104&gt;=Assumptions!$B$17,"S+",IF(M104&gt;=Assumptions!$B$18,"S",IF(M104&gt;=Assumptions!$B$19,"A",IF(M104&gt;=Assumptions!$B$20,"B",IF(M104&gt;=Assumptions!$B$21,"C",IF(M104&gt;=Assumptions!$B$22,"D","F"))))))</f>
        <v>A</v>
      </c>
      <c r="D104" s="3" t="s">
        <v>197</v>
      </c>
      <c r="E104" s="3" t="n">
        <v>7</v>
      </c>
      <c r="F104" s="12" t="n">
        <v>0.6992</v>
      </c>
      <c r="G104" s="12" t="n">
        <v>0.4</v>
      </c>
      <c r="H104" s="12" t="n">
        <v>0.75</v>
      </c>
      <c r="I104" s="12" t="n">
        <v>0.5837</v>
      </c>
      <c r="J104" s="12" t="n">
        <v>0.3731</v>
      </c>
      <c r="K104" s="12" t="n">
        <v>0.6593</v>
      </c>
      <c r="L104" s="3" t="n">
        <v>4</v>
      </c>
      <c r="M104" s="12" t="n">
        <f aca="false">Z104-W104</f>
        <v>0.17281</v>
      </c>
      <c r="N104" s="12" t="n">
        <f aca="false">IFERROR((Z104-J104)/L104,"")</f>
        <v>0.0715525</v>
      </c>
      <c r="O104" s="3" t="n">
        <v>13</v>
      </c>
      <c r="P104" s="13" t="b">
        <f aca="false">FALSE()</f>
        <v>0</v>
      </c>
      <c r="Q104" s="3" t="s">
        <v>166</v>
      </c>
      <c r="R104" s="12" t="n">
        <v>0.7691</v>
      </c>
      <c r="S104" s="12" t="n">
        <v>0.7215</v>
      </c>
      <c r="T104" s="3" t="n">
        <v>0.3537</v>
      </c>
      <c r="U104" s="12" t="n">
        <v>0.4556</v>
      </c>
      <c r="V104" s="12" t="n">
        <v>0.4981</v>
      </c>
      <c r="W104" s="12" t="n">
        <v>0.4865</v>
      </c>
      <c r="X104" s="3" t="n">
        <v>0.9359</v>
      </c>
      <c r="Y104" s="3" t="n">
        <v>0.5858</v>
      </c>
      <c r="Z104" s="14" t="n">
        <f aca="false">Assumptions!$B$3*R104+Assumptions!$B$4*S104+IF(AA104=1,Assumptions!$B$11,Assumptions!$B$5)*X104+IF(AA104=1,Assumptions!$B$12,Assumptions!$B$6)*T104+Assumptions!$B$7*U104+Assumptions!$B$8*V104+Assumptions!$B$9*Y104</f>
        <v>0.65931</v>
      </c>
      <c r="AA104" s="3" t="n">
        <v>0</v>
      </c>
    </row>
    <row r="105" customFormat="false" ht="15" hidden="false" customHeight="false" outlineLevel="0" collapsed="false">
      <c r="A105" s="3" t="s">
        <v>290</v>
      </c>
      <c r="B105" s="3" t="n">
        <v>560</v>
      </c>
      <c r="C105" s="11" t="str">
        <f aca="false">IF(M105&gt;=Assumptions!$B$17,"S+",IF(M105&gt;=Assumptions!$B$18,"S",IF(M105&gt;=Assumptions!$B$19,"A",IF(M105&gt;=Assumptions!$B$20,"B",IF(M105&gt;=Assumptions!$B$21,"C",IF(M105&gt;=Assumptions!$B$22,"D","F"))))))</f>
        <v>A</v>
      </c>
      <c r="D105" s="3" t="s">
        <v>228</v>
      </c>
      <c r="E105" s="3" t="n">
        <v>7</v>
      </c>
      <c r="F105" s="12" t="n">
        <v>0.7145</v>
      </c>
      <c r="G105" s="12" t="n">
        <v>1</v>
      </c>
      <c r="H105" s="12" t="n">
        <v>0.75</v>
      </c>
      <c r="I105" s="12" t="n">
        <v>0.8586</v>
      </c>
      <c r="J105" s="12" t="n">
        <v>0.4091</v>
      </c>
      <c r="K105" s="12" t="n">
        <v>0.6366</v>
      </c>
      <c r="L105" s="3" t="n">
        <v>5</v>
      </c>
      <c r="M105" s="12" t="n">
        <f aca="false">Z105-W105</f>
        <v>0.17251</v>
      </c>
      <c r="N105" s="12" t="n">
        <f aca="false">IFERROR((Z105-J105)/L105,"")</f>
        <v>0.045502</v>
      </c>
      <c r="O105" s="3" t="n">
        <v>13</v>
      </c>
      <c r="P105" s="13" t="b">
        <f aca="false">FALSE()</f>
        <v>0</v>
      </c>
      <c r="Q105" s="3" t="s">
        <v>166</v>
      </c>
      <c r="R105" s="12" t="n">
        <v>0.8525</v>
      </c>
      <c r="S105" s="12" t="n">
        <v>0.5533</v>
      </c>
      <c r="T105" s="3" t="n">
        <v>0.3793</v>
      </c>
      <c r="U105" s="12" t="n">
        <v>0.6568</v>
      </c>
      <c r="V105" s="12" t="n">
        <v>0.4661</v>
      </c>
      <c r="W105" s="12" t="n">
        <v>0.4641</v>
      </c>
      <c r="X105" s="3" t="n">
        <v>0.5208</v>
      </c>
      <c r="Y105" s="3" t="n">
        <v>0.8617</v>
      </c>
      <c r="Z105" s="14" t="n">
        <f aca="false">Assumptions!$B$3*R105+Assumptions!$B$4*S105+IF(AA105=1,Assumptions!$B$11,Assumptions!$B$5)*X105+IF(AA105=1,Assumptions!$B$12,Assumptions!$B$6)*T105+Assumptions!$B$7*U105+Assumptions!$B$8*V105+Assumptions!$B$9*Y105</f>
        <v>0.63661</v>
      </c>
      <c r="AA105" s="3" t="n">
        <v>0</v>
      </c>
    </row>
    <row r="106" customFormat="false" ht="15" hidden="false" customHeight="false" outlineLevel="0" collapsed="false">
      <c r="A106" s="3" t="s">
        <v>291</v>
      </c>
      <c r="B106" s="3" t="n">
        <v>600</v>
      </c>
      <c r="C106" s="11" t="str">
        <f aca="false">IF(M106&gt;=Assumptions!$B$17,"S+",IF(M106&gt;=Assumptions!$B$18,"S",IF(M106&gt;=Assumptions!$B$19,"A",IF(M106&gt;=Assumptions!$B$20,"B",IF(M106&gt;=Assumptions!$B$21,"C",IF(M106&gt;=Assumptions!$B$22,"D","F"))))))</f>
        <v>A</v>
      </c>
      <c r="D106" s="3" t="s">
        <v>190</v>
      </c>
      <c r="E106" s="3" t="n">
        <v>9</v>
      </c>
      <c r="F106" s="12" t="n">
        <v>0.908</v>
      </c>
      <c r="G106" s="12" t="n">
        <v>0.6</v>
      </c>
      <c r="H106" s="12" t="n">
        <v>0.75</v>
      </c>
      <c r="I106" s="12" t="n">
        <v>0.747</v>
      </c>
      <c r="J106" s="12" t="n">
        <v>0.443</v>
      </c>
      <c r="K106" s="12" t="n">
        <v>0.6469</v>
      </c>
      <c r="L106" s="3" t="n">
        <v>4</v>
      </c>
      <c r="M106" s="12" t="n">
        <f aca="false">Z106-W106</f>
        <v>0.17204</v>
      </c>
      <c r="N106" s="12" t="n">
        <f aca="false">IFERROR((Z106-J106)/L106,"")</f>
        <v>0.050985</v>
      </c>
      <c r="O106" s="3" t="n">
        <v>11</v>
      </c>
      <c r="P106" s="13" t="b">
        <f aca="false">TRUE()</f>
        <v>1</v>
      </c>
      <c r="Q106" s="3" t="s">
        <v>166</v>
      </c>
      <c r="R106" s="12" t="n">
        <v>0.8195</v>
      </c>
      <c r="S106" s="12" t="n">
        <v>0.6049</v>
      </c>
      <c r="T106" s="3" t="n">
        <v>0.7507</v>
      </c>
      <c r="U106" s="12" t="n">
        <v>0.4615</v>
      </c>
      <c r="V106" s="12" t="n">
        <v>0.5049</v>
      </c>
      <c r="W106" s="12" t="n">
        <v>0.4749</v>
      </c>
      <c r="X106" s="3" t="n">
        <v>0.4787</v>
      </c>
      <c r="Y106" s="3" t="n">
        <v>0.7477</v>
      </c>
      <c r="Z106" s="14" t="n">
        <f aca="false">Assumptions!$B$3*R106+Assumptions!$B$4*S106+IF(AA106=1,Assumptions!$B$11,Assumptions!$B$5)*X106+IF(AA106=1,Assumptions!$B$12,Assumptions!$B$6)*T106+Assumptions!$B$7*U106+Assumptions!$B$8*V106+Assumptions!$B$9*Y106</f>
        <v>0.64694</v>
      </c>
      <c r="AA106" s="3" t="n">
        <v>0</v>
      </c>
    </row>
    <row r="107" customFormat="false" ht="15" hidden="false" customHeight="false" outlineLevel="0" collapsed="false">
      <c r="A107" s="3" t="s">
        <v>292</v>
      </c>
      <c r="B107" s="3" t="n">
        <v>500</v>
      </c>
      <c r="C107" s="11" t="str">
        <f aca="false">IF(M107&gt;=Assumptions!$B$17,"S+",IF(M107&gt;=Assumptions!$B$18,"S",IF(M107&gt;=Assumptions!$B$19,"A",IF(M107&gt;=Assumptions!$B$20,"B",IF(M107&gt;=Assumptions!$B$21,"C",IF(M107&gt;=Assumptions!$B$22,"D","F"))))))</f>
        <v>A</v>
      </c>
      <c r="D107" s="3" t="s">
        <v>183</v>
      </c>
      <c r="E107" s="3" t="n">
        <v>4</v>
      </c>
      <c r="F107" s="12" t="n">
        <v>0.9442</v>
      </c>
      <c r="G107" s="12" t="n">
        <v>0.64</v>
      </c>
      <c r="H107" s="12" t="n">
        <v>0.4901</v>
      </c>
      <c r="I107" s="12" t="n">
        <v>0.6877</v>
      </c>
      <c r="J107" s="12" t="n">
        <v>0.3622</v>
      </c>
      <c r="K107" s="12" t="n">
        <v>0.6607</v>
      </c>
      <c r="L107" s="3" t="n">
        <v>3.97</v>
      </c>
      <c r="M107" s="12" t="n">
        <f aca="false">Z107-W107</f>
        <v>0.17137</v>
      </c>
      <c r="N107" s="12" t="n">
        <f aca="false">IFERROR((Z107-J107)/L107,"")</f>
        <v>0.0751813602015113</v>
      </c>
      <c r="O107" s="3" t="n">
        <v>16</v>
      </c>
      <c r="P107" s="13" t="b">
        <f aca="false">FALSE()</f>
        <v>0</v>
      </c>
      <c r="Q107" s="3" t="s">
        <v>166</v>
      </c>
      <c r="R107" s="12" t="n">
        <v>0.7551</v>
      </c>
      <c r="S107" s="12" t="n">
        <v>0.7757</v>
      </c>
      <c r="T107" s="3" t="n">
        <v>0.0665</v>
      </c>
      <c r="U107" s="12" t="n">
        <v>0.3125</v>
      </c>
      <c r="V107" s="12" t="n">
        <v>0.5075</v>
      </c>
      <c r="W107" s="12" t="n">
        <v>0.4893</v>
      </c>
      <c r="X107" s="3" t="n">
        <v>0.8031</v>
      </c>
      <c r="Y107" s="3" t="n">
        <v>0.6551</v>
      </c>
      <c r="Z107" s="14" t="n">
        <f aca="false">Assumptions!$B$3*R107+Assumptions!$B$4*S107+IF(AA107=1,Assumptions!$B$11,Assumptions!$B$5)*X107+IF(AA107=1,Assumptions!$B$12,Assumptions!$B$6)*T107+Assumptions!$B$7*U107+Assumptions!$B$8*V107+Assumptions!$B$9*Y107</f>
        <v>0.66067</v>
      </c>
      <c r="AA107" s="3" t="n">
        <v>1</v>
      </c>
    </row>
    <row r="108" customFormat="false" ht="15" hidden="false" customHeight="false" outlineLevel="0" collapsed="false">
      <c r="A108" s="3" t="s">
        <v>293</v>
      </c>
      <c r="B108" s="3" t="n">
        <v>618</v>
      </c>
      <c r="C108" s="11" t="str">
        <f aca="false">IF(M108&gt;=Assumptions!$B$17,"S+",IF(M108&gt;=Assumptions!$B$18,"S",IF(M108&gt;=Assumptions!$B$19,"A",IF(M108&gt;=Assumptions!$B$20,"B",IF(M108&gt;=Assumptions!$B$21,"C",IF(M108&gt;=Assumptions!$B$22,"D","F"))))))</f>
        <v>A</v>
      </c>
      <c r="D108" s="3" t="s">
        <v>253</v>
      </c>
      <c r="E108" s="3" t="n">
        <v>7</v>
      </c>
      <c r="F108" s="12" t="n">
        <v>0.992</v>
      </c>
      <c r="G108" s="12" t="n">
        <v>0.6</v>
      </c>
      <c r="H108" s="12" t="n">
        <v>0.75</v>
      </c>
      <c r="I108" s="12" t="n">
        <v>0.7554</v>
      </c>
      <c r="J108" s="12" t="n">
        <v>0.5099</v>
      </c>
      <c r="K108" s="12" t="n">
        <v>0.7005</v>
      </c>
      <c r="L108" s="3" t="n">
        <v>4</v>
      </c>
      <c r="M108" s="12" t="n">
        <f aca="false">Z108-W108</f>
        <v>0.170978</v>
      </c>
      <c r="N108" s="12" t="n">
        <f aca="false">IFERROR((Z108-J108)/L108,"")</f>
        <v>0.0476445</v>
      </c>
      <c r="O108" s="3" t="n">
        <v>13</v>
      </c>
      <c r="P108" s="13" t="b">
        <f aca="false">FALSE()</f>
        <v>0</v>
      </c>
      <c r="Q108" s="3" t="s">
        <v>166</v>
      </c>
      <c r="R108" s="12" t="n">
        <v>0.9314</v>
      </c>
      <c r="S108" s="12" t="n">
        <v>0.5688</v>
      </c>
      <c r="T108" s="3" t="n">
        <v>0.3558</v>
      </c>
      <c r="U108" s="12" t="n">
        <v>0.7337</v>
      </c>
      <c r="V108" s="12" t="n">
        <v>0.525</v>
      </c>
      <c r="W108" s="12" t="n">
        <v>0.5295</v>
      </c>
      <c r="X108" s="3" t="n">
        <v>0.7728</v>
      </c>
      <c r="Y108" s="3" t="n">
        <v>0.7553</v>
      </c>
      <c r="Z108" s="14" t="n">
        <f aca="false">Assumptions!$B$3*R108+Assumptions!$B$4*S108+IF(AA108=1,Assumptions!$B$11,Assumptions!$B$5)*X108+IF(AA108=1,Assumptions!$B$12,Assumptions!$B$6)*T108+Assumptions!$B$7*U108+Assumptions!$B$8*V108+Assumptions!$B$9*Y108</f>
        <v>0.700478</v>
      </c>
      <c r="AA108" s="3" t="n">
        <v>0</v>
      </c>
    </row>
    <row r="109" customFormat="false" ht="15" hidden="false" customHeight="false" outlineLevel="0" collapsed="false">
      <c r="A109" s="3" t="s">
        <v>294</v>
      </c>
      <c r="B109" s="3" t="n">
        <v>534</v>
      </c>
      <c r="C109" s="11" t="str">
        <f aca="false">IF(M109&gt;=Assumptions!$B$17,"S+",IF(M109&gt;=Assumptions!$B$18,"S",IF(M109&gt;=Assumptions!$B$19,"A",IF(M109&gt;=Assumptions!$B$20,"B",IF(M109&gt;=Assumptions!$B$21,"C",IF(M109&gt;=Assumptions!$B$22,"D","F"))))))</f>
        <v>A</v>
      </c>
      <c r="D109" s="3" t="s">
        <v>228</v>
      </c>
      <c r="E109" s="3" t="n">
        <v>1</v>
      </c>
      <c r="F109" s="12" t="n">
        <v>0.773</v>
      </c>
      <c r="G109" s="12" t="n">
        <v>0.4</v>
      </c>
      <c r="H109" s="12" t="n">
        <v>0.75</v>
      </c>
      <c r="I109" s="12" t="n">
        <v>0.5893</v>
      </c>
      <c r="J109" s="12" t="n">
        <v>0.3965</v>
      </c>
      <c r="K109" s="12" t="n">
        <v>0.652</v>
      </c>
      <c r="L109" s="3" t="n">
        <v>5.55</v>
      </c>
      <c r="M109" s="12" t="n">
        <f aca="false">Z109-W109</f>
        <v>0.17062</v>
      </c>
      <c r="N109" s="12" t="n">
        <f aca="false">IFERROR((Z109-J109)/L109,"")</f>
        <v>0.0460396396396397</v>
      </c>
      <c r="O109" s="3" t="n">
        <v>19</v>
      </c>
      <c r="P109" s="13" t="b">
        <f aca="false">FALSE()</f>
        <v>0</v>
      </c>
      <c r="Q109" s="3" t="s">
        <v>166</v>
      </c>
      <c r="R109" s="12" t="n">
        <v>0.9543</v>
      </c>
      <c r="S109" s="12" t="n">
        <v>0.7038</v>
      </c>
      <c r="T109" s="3" t="n">
        <v>0.3851</v>
      </c>
      <c r="U109" s="12" t="n">
        <v>0.3198</v>
      </c>
      <c r="V109" s="12" t="n">
        <v>0.503</v>
      </c>
      <c r="W109" s="12" t="n">
        <v>0.4814</v>
      </c>
      <c r="X109" s="3" t="n">
        <v>0.6825</v>
      </c>
      <c r="Y109" s="3" t="n">
        <v>0.5561</v>
      </c>
      <c r="Z109" s="14" t="n">
        <f aca="false">Assumptions!$B$3*R109+Assumptions!$B$4*S109+IF(AA109=1,Assumptions!$B$11,Assumptions!$B$5)*X109+IF(AA109=1,Assumptions!$B$12,Assumptions!$B$6)*T109+Assumptions!$B$7*U109+Assumptions!$B$8*V109+Assumptions!$B$9*Y109</f>
        <v>0.65202</v>
      </c>
      <c r="AA109" s="3" t="n">
        <v>0</v>
      </c>
    </row>
    <row r="110" customFormat="false" ht="15" hidden="false" customHeight="false" outlineLevel="0" collapsed="false">
      <c r="A110" s="3" t="s">
        <v>295</v>
      </c>
      <c r="B110" s="3" t="n">
        <v>435</v>
      </c>
      <c r="C110" s="11" t="str">
        <f aca="false">IF(M110&gt;=Assumptions!$B$17,"S+",IF(M110&gt;=Assumptions!$B$18,"S",IF(M110&gt;=Assumptions!$B$19,"A",IF(M110&gt;=Assumptions!$B$20,"B",IF(M110&gt;=Assumptions!$B$21,"C",IF(M110&gt;=Assumptions!$B$22,"D","F"))))))</f>
        <v>A</v>
      </c>
      <c r="D110" s="3" t="s">
        <v>190</v>
      </c>
      <c r="E110" s="3" t="n">
        <v>3</v>
      </c>
      <c r="F110" s="12" t="n">
        <v>0.5905</v>
      </c>
      <c r="G110" s="12" t="n">
        <v>1</v>
      </c>
      <c r="H110" s="12" t="n">
        <v>0.75</v>
      </c>
      <c r="I110" s="12" t="n">
        <v>0.7944</v>
      </c>
      <c r="J110" s="12" t="n">
        <v>0.3497</v>
      </c>
      <c r="K110" s="12" t="n">
        <v>0.6645</v>
      </c>
      <c r="L110" s="3" t="n">
        <v>6.82</v>
      </c>
      <c r="M110" s="12" t="n">
        <f aca="false">Z110-W110</f>
        <v>0.170489</v>
      </c>
      <c r="N110" s="12" t="n">
        <f aca="false">IFERROR((Z110-J110)/L110,"")</f>
        <v>0.0461567448680352</v>
      </c>
      <c r="O110" s="3" t="n">
        <v>17</v>
      </c>
      <c r="P110" s="13" t="b">
        <f aca="false">FALSE()</f>
        <v>0</v>
      </c>
      <c r="Q110" s="3" t="s">
        <v>166</v>
      </c>
      <c r="R110" s="12" t="n">
        <v>0.9512</v>
      </c>
      <c r="S110" s="12" t="n">
        <v>0.5714</v>
      </c>
      <c r="T110" s="3" t="n">
        <v>0.2546</v>
      </c>
      <c r="U110" s="12" t="n">
        <v>0.5475</v>
      </c>
      <c r="V110" s="12" t="n">
        <v>0.4719</v>
      </c>
      <c r="W110" s="12" t="n">
        <v>0.494</v>
      </c>
      <c r="X110" s="3" t="n">
        <v>0.7456</v>
      </c>
      <c r="Y110" s="3" t="n">
        <v>0.7496</v>
      </c>
      <c r="Z110" s="14" t="n">
        <f aca="false">Assumptions!$B$3*R110+Assumptions!$B$4*S110+IF(AA110=1,Assumptions!$B$11,Assumptions!$B$5)*X110+IF(AA110=1,Assumptions!$B$12,Assumptions!$B$6)*T110+Assumptions!$B$7*U110+Assumptions!$B$8*V110+Assumptions!$B$9*Y110</f>
        <v>0.664489</v>
      </c>
      <c r="AA110" s="3" t="n">
        <v>0</v>
      </c>
    </row>
    <row r="111" customFormat="false" ht="15" hidden="false" customHeight="false" outlineLevel="0" collapsed="false">
      <c r="A111" s="3" t="s">
        <v>296</v>
      </c>
      <c r="B111" s="3" t="n">
        <v>510</v>
      </c>
      <c r="C111" s="11" t="str">
        <f aca="false">IF(M111&gt;=Assumptions!$B$17,"S+",IF(M111&gt;=Assumptions!$B$18,"S",IF(M111&gt;=Assumptions!$B$19,"A",IF(M111&gt;=Assumptions!$B$20,"B",IF(M111&gt;=Assumptions!$B$21,"C",IF(M111&gt;=Assumptions!$B$22,"D","F"))))))</f>
        <v>A</v>
      </c>
      <c r="D111" s="3" t="s">
        <v>169</v>
      </c>
      <c r="E111" s="3" t="n">
        <v>8</v>
      </c>
      <c r="F111" s="12" t="n">
        <v>0.8933</v>
      </c>
      <c r="G111" s="12" t="n">
        <v>0.6</v>
      </c>
      <c r="H111" s="12" t="n">
        <v>0.5317</v>
      </c>
      <c r="I111" s="12" t="n">
        <v>0.645</v>
      </c>
      <c r="J111" s="12" t="n">
        <v>0.351</v>
      </c>
      <c r="K111" s="12" t="n">
        <v>0.61</v>
      </c>
      <c r="L111" s="3" t="n">
        <v>4</v>
      </c>
      <c r="M111" s="12" t="n">
        <f aca="false">Z111-W111</f>
        <v>0.170263</v>
      </c>
      <c r="N111" s="12" t="n">
        <f aca="false">IFERROR((Z111-J111)/L111,"")</f>
        <v>0.06474075</v>
      </c>
      <c r="O111" s="3" t="n">
        <v>12</v>
      </c>
      <c r="P111" s="13" t="b">
        <f aca="false">FALSE()</f>
        <v>0</v>
      </c>
      <c r="Q111" s="3" t="s">
        <v>166</v>
      </c>
      <c r="R111" s="12" t="n">
        <v>0.6425</v>
      </c>
      <c r="S111" s="12" t="n">
        <v>0.7323</v>
      </c>
      <c r="T111" s="3" t="n">
        <v>0.1208</v>
      </c>
      <c r="U111" s="12" t="n">
        <v>0.4295</v>
      </c>
      <c r="V111" s="12" t="n">
        <v>0.5076</v>
      </c>
      <c r="W111" s="12" t="n">
        <v>0.4397</v>
      </c>
      <c r="X111" s="3" t="n">
        <v>0.689</v>
      </c>
      <c r="Y111" s="3" t="n">
        <v>0.6409</v>
      </c>
      <c r="Z111" s="14" t="n">
        <f aca="false">Assumptions!$B$3*R111+Assumptions!$B$4*S111+IF(AA111=1,Assumptions!$B$11,Assumptions!$B$5)*X111+IF(AA111=1,Assumptions!$B$12,Assumptions!$B$6)*T111+Assumptions!$B$7*U111+Assumptions!$B$8*V111+Assumptions!$B$9*Y111</f>
        <v>0.609963</v>
      </c>
      <c r="AA111" s="3" t="n">
        <v>1</v>
      </c>
    </row>
    <row r="112" customFormat="false" ht="15" hidden="false" customHeight="false" outlineLevel="0" collapsed="false">
      <c r="A112" s="3" t="s">
        <v>297</v>
      </c>
      <c r="B112" s="3" t="n">
        <v>600</v>
      </c>
      <c r="C112" s="11" t="str">
        <f aca="false">IF(M112&gt;=Assumptions!$B$17,"S+",IF(M112&gt;=Assumptions!$B$18,"S",IF(M112&gt;=Assumptions!$B$19,"A",IF(M112&gt;=Assumptions!$B$20,"B",IF(M112&gt;=Assumptions!$B$21,"C",IF(M112&gt;=Assumptions!$B$22,"D","F"))))))</f>
        <v>A</v>
      </c>
      <c r="D112" s="3" t="s">
        <v>218</v>
      </c>
      <c r="E112" s="3" t="n">
        <v>7</v>
      </c>
      <c r="F112" s="12" t="n">
        <v>0.9435</v>
      </c>
      <c r="G112" s="12" t="n">
        <v>0.6</v>
      </c>
      <c r="H112" s="12" t="n">
        <v>0.75</v>
      </c>
      <c r="I112" s="12" t="n">
        <v>0.7399</v>
      </c>
      <c r="J112" s="12" t="n">
        <v>0.4129</v>
      </c>
      <c r="K112" s="12" t="n">
        <v>0.6797</v>
      </c>
      <c r="L112" s="3" t="n">
        <v>4</v>
      </c>
      <c r="M112" s="12" t="n">
        <f aca="false">Z112-W112</f>
        <v>0.169015</v>
      </c>
      <c r="N112" s="12" t="n">
        <f aca="false">IFERROR((Z112-J112)/L112,"")</f>
        <v>0.06670375</v>
      </c>
      <c r="O112" s="3" t="n">
        <v>13</v>
      </c>
      <c r="P112" s="13" t="b">
        <f aca="false">FALSE()</f>
        <v>0</v>
      </c>
      <c r="Q112" s="3" t="s">
        <v>166</v>
      </c>
      <c r="R112" s="12" t="n">
        <v>0.9229</v>
      </c>
      <c r="S112" s="12" t="n">
        <v>0.641</v>
      </c>
      <c r="T112" s="3" t="n">
        <v>0.2333</v>
      </c>
      <c r="U112" s="12" t="n">
        <v>0.503</v>
      </c>
      <c r="V112" s="12" t="n">
        <v>0.4589</v>
      </c>
      <c r="W112" s="12" t="n">
        <v>0.5107</v>
      </c>
      <c r="X112" s="3" t="n">
        <v>0.8796</v>
      </c>
      <c r="Y112" s="3" t="n">
        <v>0.741</v>
      </c>
      <c r="Z112" s="14" t="n">
        <f aca="false">Assumptions!$B$3*R112+Assumptions!$B$4*S112+IF(AA112=1,Assumptions!$B$11,Assumptions!$B$5)*X112+IF(AA112=1,Assumptions!$B$12,Assumptions!$B$6)*T112+Assumptions!$B$7*U112+Assumptions!$B$8*V112+Assumptions!$B$9*Y112</f>
        <v>0.679715</v>
      </c>
      <c r="AA112" s="3" t="n">
        <v>0</v>
      </c>
    </row>
    <row r="113" customFormat="false" ht="15" hidden="false" customHeight="false" outlineLevel="0" collapsed="false">
      <c r="A113" s="3" t="s">
        <v>298</v>
      </c>
      <c r="B113" s="3" t="n">
        <v>525</v>
      </c>
      <c r="C113" s="11" t="str">
        <f aca="false">IF(M113&gt;=Assumptions!$B$17,"S+",IF(M113&gt;=Assumptions!$B$18,"S",IF(M113&gt;=Assumptions!$B$19,"A",IF(M113&gt;=Assumptions!$B$20,"B",IF(M113&gt;=Assumptions!$B$21,"C",IF(M113&gt;=Assumptions!$B$22,"D","F"))))))</f>
        <v>A</v>
      </c>
      <c r="D113" s="3" t="s">
        <v>197</v>
      </c>
      <c r="E113" s="3" t="n">
        <v>6</v>
      </c>
      <c r="F113" s="12" t="n">
        <v>0.9302</v>
      </c>
      <c r="G113" s="12" t="n">
        <v>0.6</v>
      </c>
      <c r="H113" s="12" t="n">
        <v>0.75</v>
      </c>
      <c r="I113" s="12" t="n">
        <v>0.7555</v>
      </c>
      <c r="J113" s="12" t="n">
        <v>0.4284</v>
      </c>
      <c r="K113" s="12" t="n">
        <v>0.6579</v>
      </c>
      <c r="L113" s="3" t="n">
        <v>5</v>
      </c>
      <c r="M113" s="12" t="n">
        <f aca="false">Z113-W113</f>
        <v>0.168849</v>
      </c>
      <c r="N113" s="12" t="n">
        <f aca="false">IFERROR((Z113-J113)/L113,"")</f>
        <v>0.0458898</v>
      </c>
      <c r="O113" s="3" t="n">
        <v>14</v>
      </c>
      <c r="P113" s="13" t="b">
        <f aca="false">FALSE()</f>
        <v>0</v>
      </c>
      <c r="Q113" s="3" t="s">
        <v>166</v>
      </c>
      <c r="R113" s="12" t="n">
        <v>0.7554</v>
      </c>
      <c r="S113" s="12" t="n">
        <v>0.5054</v>
      </c>
      <c r="T113" s="3" t="n">
        <v>0.6595</v>
      </c>
      <c r="U113" s="12" t="n">
        <v>0.5714</v>
      </c>
      <c r="V113" s="12" t="n">
        <v>0.5091</v>
      </c>
      <c r="W113" s="12" t="n">
        <v>0.489</v>
      </c>
      <c r="X113" s="3" t="n">
        <v>0.7354</v>
      </c>
      <c r="Y113" s="3" t="n">
        <v>0.7569</v>
      </c>
      <c r="Z113" s="14" t="n">
        <f aca="false">Assumptions!$B$3*R113+Assumptions!$B$4*S113+IF(AA113=1,Assumptions!$B$11,Assumptions!$B$5)*X113+IF(AA113=1,Assumptions!$B$12,Assumptions!$B$6)*T113+Assumptions!$B$7*U113+Assumptions!$B$8*V113+Assumptions!$B$9*Y113</f>
        <v>0.657849</v>
      </c>
      <c r="AA113" s="3" t="n">
        <v>0</v>
      </c>
    </row>
    <row r="114" customFormat="false" ht="15" hidden="false" customHeight="false" outlineLevel="0" collapsed="false">
      <c r="A114" s="3" t="s">
        <v>299</v>
      </c>
      <c r="B114" s="3" t="n">
        <v>580</v>
      </c>
      <c r="C114" s="11" t="str">
        <f aca="false">IF(M114&gt;=Assumptions!$B$17,"S+",IF(M114&gt;=Assumptions!$B$18,"S",IF(M114&gt;=Assumptions!$B$19,"A",IF(M114&gt;=Assumptions!$B$20,"B",IF(M114&gt;=Assumptions!$B$21,"C",IF(M114&gt;=Assumptions!$B$22,"D","F"))))))</f>
        <v>A</v>
      </c>
      <c r="D114" s="3" t="s">
        <v>197</v>
      </c>
      <c r="E114" s="3" t="n">
        <v>13</v>
      </c>
      <c r="F114" s="12" t="n">
        <v>0.8474</v>
      </c>
      <c r="G114" s="12" t="n">
        <v>0.8</v>
      </c>
      <c r="H114" s="12" t="n">
        <v>0.75</v>
      </c>
      <c r="I114" s="12" t="n">
        <v>0.808</v>
      </c>
      <c r="J114" s="12" t="n">
        <v>0.5152</v>
      </c>
      <c r="K114" s="12" t="n">
        <v>0.6521</v>
      </c>
      <c r="L114" s="3" t="n">
        <v>4</v>
      </c>
      <c r="M114" s="12" t="n">
        <f aca="false">Z114-W114</f>
        <v>0.168383</v>
      </c>
      <c r="N114" s="12" t="n">
        <f aca="false">IFERROR((Z114-J114)/L114,"")</f>
        <v>0.03422075</v>
      </c>
      <c r="O114" s="3" t="n">
        <v>7</v>
      </c>
      <c r="P114" s="13" t="b">
        <f aca="false">TRUE()</f>
        <v>1</v>
      </c>
      <c r="Q114" s="3" t="s">
        <v>166</v>
      </c>
      <c r="R114" s="12" t="n">
        <v>0.878</v>
      </c>
      <c r="S114" s="12" t="n">
        <v>0.4797</v>
      </c>
      <c r="T114" s="3" t="n">
        <v>0.3691</v>
      </c>
      <c r="U114" s="12" t="n">
        <v>0.5385</v>
      </c>
      <c r="V114" s="12" t="n">
        <v>0.4728</v>
      </c>
      <c r="W114" s="12" t="n">
        <v>0.4837</v>
      </c>
      <c r="X114" s="3" t="n">
        <v>0.7553</v>
      </c>
      <c r="Y114" s="3" t="n">
        <v>0.8085</v>
      </c>
      <c r="Z114" s="14" t="n">
        <f aca="false">Assumptions!$B$3*R114+Assumptions!$B$4*S114+IF(AA114=1,Assumptions!$B$11,Assumptions!$B$5)*X114+IF(AA114=1,Assumptions!$B$12,Assumptions!$B$6)*T114+Assumptions!$B$7*U114+Assumptions!$B$8*V114+Assumptions!$B$9*Y114</f>
        <v>0.652083</v>
      </c>
      <c r="AA114" s="3" t="n">
        <v>0</v>
      </c>
    </row>
    <row r="115" customFormat="false" ht="15" hidden="false" customHeight="false" outlineLevel="0" collapsed="false">
      <c r="A115" s="3" t="s">
        <v>300</v>
      </c>
      <c r="B115" s="3" t="n">
        <v>590</v>
      </c>
      <c r="C115" s="11" t="str">
        <f aca="false">IF(M115&gt;=Assumptions!$B$17,"S+",IF(M115&gt;=Assumptions!$B$18,"S",IF(M115&gt;=Assumptions!$B$19,"A",IF(M115&gt;=Assumptions!$B$20,"B",IF(M115&gt;=Assumptions!$B$21,"C",IF(M115&gt;=Assumptions!$B$22,"D","F"))))))</f>
        <v>A</v>
      </c>
      <c r="D115" s="3" t="s">
        <v>197</v>
      </c>
      <c r="E115" s="3" t="n">
        <v>1</v>
      </c>
      <c r="F115" s="12" t="n">
        <v>0.6763</v>
      </c>
      <c r="G115" s="12" t="n">
        <v>0.8</v>
      </c>
      <c r="H115" s="12" t="n">
        <v>0.75</v>
      </c>
      <c r="I115" s="12" t="n">
        <v>0.743</v>
      </c>
      <c r="J115" s="12" t="n">
        <v>0.4559</v>
      </c>
      <c r="K115" s="12" t="n">
        <v>0.6747</v>
      </c>
      <c r="L115" s="3" t="n">
        <v>3.45</v>
      </c>
      <c r="M115" s="12" t="n">
        <f aca="false">Z115-W115</f>
        <v>0.168357</v>
      </c>
      <c r="N115" s="12" t="n">
        <f aca="false">IFERROR((Z115-J115)/L115,"")</f>
        <v>0.0634078260869565</v>
      </c>
      <c r="O115" s="3" t="n">
        <v>19</v>
      </c>
      <c r="P115" s="13" t="b">
        <f aca="false">FALSE()</f>
        <v>0</v>
      </c>
      <c r="Q115" s="3" t="s">
        <v>166</v>
      </c>
      <c r="R115" s="12" t="n">
        <v>0.7513</v>
      </c>
      <c r="S115" s="12" t="n">
        <v>0.7935</v>
      </c>
      <c r="T115" s="3" t="n">
        <v>0.6451</v>
      </c>
      <c r="U115" s="12" t="n">
        <v>0.4939</v>
      </c>
      <c r="V115" s="12" t="n">
        <v>0.5202</v>
      </c>
      <c r="W115" s="12" t="n">
        <v>0.5063</v>
      </c>
      <c r="X115" s="3" t="n">
        <v>0.676</v>
      </c>
      <c r="Y115" s="3" t="n">
        <v>0.6811</v>
      </c>
      <c r="Z115" s="14" t="n">
        <f aca="false">Assumptions!$B$3*R115+Assumptions!$B$4*S115+IF(AA115=1,Assumptions!$B$11,Assumptions!$B$5)*X115+IF(AA115=1,Assumptions!$B$12,Assumptions!$B$6)*T115+Assumptions!$B$7*U115+Assumptions!$B$8*V115+Assumptions!$B$9*Y115</f>
        <v>0.674657</v>
      </c>
      <c r="AA115" s="3" t="n">
        <v>0</v>
      </c>
    </row>
    <row r="116" customFormat="false" ht="15" hidden="false" customHeight="false" outlineLevel="0" collapsed="false">
      <c r="A116" s="3" t="s">
        <v>301</v>
      </c>
      <c r="B116" s="3" t="n">
        <v>483</v>
      </c>
      <c r="C116" s="11" t="str">
        <f aca="false">IF(M116&gt;=Assumptions!$B$17,"S+",IF(M116&gt;=Assumptions!$B$18,"S",IF(M116&gt;=Assumptions!$B$19,"A",IF(M116&gt;=Assumptions!$B$20,"B",IF(M116&gt;=Assumptions!$B$21,"C",IF(M116&gt;=Assumptions!$B$22,"D","F"))))))</f>
        <v>A</v>
      </c>
      <c r="D116" s="3" t="s">
        <v>171</v>
      </c>
      <c r="E116" s="3" t="n">
        <v>6</v>
      </c>
      <c r="F116" s="12" t="n">
        <v>0.8188</v>
      </c>
      <c r="G116" s="12" t="n">
        <v>0.45</v>
      </c>
      <c r="H116" s="12" t="n">
        <v>0.75</v>
      </c>
      <c r="I116" s="12" t="n">
        <v>0.5764</v>
      </c>
      <c r="J116" s="12" t="n">
        <v>0.3223</v>
      </c>
      <c r="K116" s="12" t="n">
        <v>0.5823</v>
      </c>
      <c r="L116" s="3" t="n">
        <v>4</v>
      </c>
      <c r="M116" s="12" t="n">
        <f aca="false">Z116-W116</f>
        <v>0.166973</v>
      </c>
      <c r="N116" s="12" t="n">
        <f aca="false">IFERROR((Z116-J116)/L116,"")</f>
        <v>0.06499325</v>
      </c>
      <c r="O116" s="3" t="n">
        <v>14</v>
      </c>
      <c r="P116" s="13" t="b">
        <f aca="false">FALSE()</f>
        <v>0</v>
      </c>
      <c r="Q116" s="3" t="s">
        <v>166</v>
      </c>
      <c r="R116" s="12" t="n">
        <v>0.6461</v>
      </c>
      <c r="S116" s="12" t="n">
        <v>0.734</v>
      </c>
      <c r="T116" s="3" t="n">
        <v>0.032</v>
      </c>
      <c r="U116" s="12" t="n">
        <v>0.2527</v>
      </c>
      <c r="V116" s="12" t="n">
        <v>0.5451</v>
      </c>
      <c r="W116" s="12" t="n">
        <v>0.4153</v>
      </c>
      <c r="X116" s="3" t="n">
        <v>0.6719</v>
      </c>
      <c r="Y116" s="3" t="n">
        <v>0.5642</v>
      </c>
      <c r="Z116" s="14" t="n">
        <f aca="false">Assumptions!$B$3*R116+Assumptions!$B$4*S116+IF(AA116=1,Assumptions!$B$11,Assumptions!$B$5)*X116+IF(AA116=1,Assumptions!$B$12,Assumptions!$B$6)*T116+Assumptions!$B$7*U116+Assumptions!$B$8*V116+Assumptions!$B$9*Y116</f>
        <v>0.582273</v>
      </c>
      <c r="AA116" s="3" t="n">
        <v>1</v>
      </c>
    </row>
    <row r="117" customFormat="false" ht="15" hidden="false" customHeight="false" outlineLevel="0" collapsed="false">
      <c r="A117" s="3" t="s">
        <v>302</v>
      </c>
      <c r="B117" s="3" t="n">
        <v>525</v>
      </c>
      <c r="C117" s="11" t="str">
        <f aca="false">IF(M117&gt;=Assumptions!$B$17,"S+",IF(M117&gt;=Assumptions!$B$18,"S",IF(M117&gt;=Assumptions!$B$19,"A",IF(M117&gt;=Assumptions!$B$20,"B",IF(M117&gt;=Assumptions!$B$21,"C",IF(M117&gt;=Assumptions!$B$22,"D","F"))))))</f>
        <v>A</v>
      </c>
      <c r="D117" s="3" t="s">
        <v>186</v>
      </c>
      <c r="E117" s="3" t="n">
        <v>6</v>
      </c>
      <c r="F117" s="12" t="n">
        <v>0.7172</v>
      </c>
      <c r="G117" s="12" t="n">
        <v>0.45</v>
      </c>
      <c r="H117" s="12" t="n">
        <v>0.75</v>
      </c>
      <c r="I117" s="12" t="n">
        <v>0.5581</v>
      </c>
      <c r="J117" s="12" t="n">
        <v>0.4331</v>
      </c>
      <c r="K117" s="12" t="n">
        <v>0.6156</v>
      </c>
      <c r="L117" s="3" t="n">
        <v>4</v>
      </c>
      <c r="M117" s="12" t="n">
        <f aca="false">Z117-W117</f>
        <v>0.16654</v>
      </c>
      <c r="N117" s="12" t="n">
        <f aca="false">IFERROR((Z117-J117)/L117,"")</f>
        <v>0.045635</v>
      </c>
      <c r="O117" s="3" t="n">
        <v>14</v>
      </c>
      <c r="P117" s="13" t="b">
        <f aca="false">FALSE()</f>
        <v>0</v>
      </c>
      <c r="Q117" s="3" t="s">
        <v>166</v>
      </c>
      <c r="R117" s="12" t="n">
        <v>0.7873</v>
      </c>
      <c r="S117" s="12" t="n">
        <v>0.6474</v>
      </c>
      <c r="T117" s="3" t="n">
        <v>0.0856</v>
      </c>
      <c r="U117" s="12" t="n">
        <v>0.3352</v>
      </c>
      <c r="V117" s="12" t="n">
        <v>0.4784</v>
      </c>
      <c r="W117" s="12" t="n">
        <v>0.4491</v>
      </c>
      <c r="X117" s="3" t="n">
        <v>0.7091</v>
      </c>
      <c r="Y117" s="3" t="n">
        <v>0.5408</v>
      </c>
      <c r="Z117" s="14" t="n">
        <f aca="false">Assumptions!$B$3*R117+Assumptions!$B$4*S117+IF(AA117=1,Assumptions!$B$11,Assumptions!$B$5)*X117+IF(AA117=1,Assumptions!$B$12,Assumptions!$B$6)*T117+Assumptions!$B$7*U117+Assumptions!$B$8*V117+Assumptions!$B$9*Y117</f>
        <v>0.61564</v>
      </c>
      <c r="AA117" s="3" t="n">
        <v>1</v>
      </c>
    </row>
    <row r="118" customFormat="false" ht="15" hidden="false" customHeight="false" outlineLevel="0" collapsed="false">
      <c r="A118" s="3" t="s">
        <v>303</v>
      </c>
      <c r="B118" s="3" t="n">
        <v>700</v>
      </c>
      <c r="C118" s="11" t="str">
        <f aca="false">IF(M118&gt;=Assumptions!$B$17,"S+",IF(M118&gt;=Assumptions!$B$18,"S",IF(M118&gt;=Assumptions!$B$19,"A",IF(M118&gt;=Assumptions!$B$20,"B",IF(M118&gt;=Assumptions!$B$21,"C",IF(M118&gt;=Assumptions!$B$22,"D","F"))))))</f>
        <v>A</v>
      </c>
      <c r="D118" s="3" t="s">
        <v>190</v>
      </c>
      <c r="E118" s="3" t="n">
        <v>18</v>
      </c>
      <c r="F118" s="12" t="n">
        <v>0.8711</v>
      </c>
      <c r="G118" s="12" t="n">
        <v>0.4</v>
      </c>
      <c r="H118" s="12" t="n">
        <v>0.75</v>
      </c>
      <c r="I118" s="12" t="n">
        <v>0.649</v>
      </c>
      <c r="J118" s="12" t="n">
        <v>0.4264</v>
      </c>
      <c r="K118" s="12" t="n">
        <v>0.6094</v>
      </c>
      <c r="L118" s="3" t="n">
        <v>4</v>
      </c>
      <c r="M118" s="12" t="n">
        <f aca="false">Z118-W118</f>
        <v>0.166289</v>
      </c>
      <c r="N118" s="12" t="n">
        <f aca="false">IFERROR((Z118-J118)/L118,"")</f>
        <v>0.04574725</v>
      </c>
      <c r="O118" s="3" t="n">
        <v>2</v>
      </c>
      <c r="P118" s="13" t="b">
        <f aca="false">FALSE()</f>
        <v>0</v>
      </c>
      <c r="Q118" s="3" t="s">
        <v>166</v>
      </c>
      <c r="R118" s="12" t="n">
        <v>0.8976</v>
      </c>
      <c r="S118" s="12" t="n">
        <v>0.546</v>
      </c>
      <c r="T118" s="3" t="n">
        <v>0.5556</v>
      </c>
      <c r="U118" s="12" t="n">
        <v>0.3846</v>
      </c>
      <c r="V118" s="12" t="n">
        <v>0.4883</v>
      </c>
      <c r="W118" s="12" t="n">
        <v>0.4431</v>
      </c>
      <c r="X118" s="3" t="n">
        <v>0.4398</v>
      </c>
      <c r="Y118" s="3" t="n">
        <v>0.649</v>
      </c>
      <c r="Z118" s="14" t="n">
        <f aca="false">Assumptions!$B$3*R118+Assumptions!$B$4*S118+IF(AA118=1,Assumptions!$B$11,Assumptions!$B$5)*X118+IF(AA118=1,Assumptions!$B$12,Assumptions!$B$6)*T118+Assumptions!$B$7*U118+Assumptions!$B$8*V118+Assumptions!$B$9*Y118</f>
        <v>0.609389</v>
      </c>
      <c r="AA118" s="3" t="n">
        <v>0</v>
      </c>
    </row>
    <row r="119" customFormat="false" ht="15" hidden="false" customHeight="false" outlineLevel="0" collapsed="false">
      <c r="A119" s="3" t="s">
        <v>304</v>
      </c>
      <c r="B119" s="3" t="n">
        <v>515</v>
      </c>
      <c r="C119" s="11" t="str">
        <f aca="false">IF(M119&gt;=Assumptions!$B$17,"S+",IF(M119&gt;=Assumptions!$B$18,"S",IF(M119&gt;=Assumptions!$B$19,"A",IF(M119&gt;=Assumptions!$B$20,"B",IF(M119&gt;=Assumptions!$B$21,"C",IF(M119&gt;=Assumptions!$B$22,"D","F"))))))</f>
        <v>A</v>
      </c>
      <c r="D119" s="3" t="s">
        <v>183</v>
      </c>
      <c r="E119" s="3" t="n">
        <v>3</v>
      </c>
      <c r="F119" s="12" t="n">
        <v>0.9783</v>
      </c>
      <c r="G119" s="12" t="n">
        <v>0.64</v>
      </c>
      <c r="H119" s="12" t="n">
        <v>0.5476</v>
      </c>
      <c r="I119" s="12" t="n">
        <v>0.7116</v>
      </c>
      <c r="J119" s="12" t="n">
        <v>0.5042</v>
      </c>
      <c r="K119" s="12" t="n">
        <v>0.6633</v>
      </c>
      <c r="L119" s="3" t="n">
        <v>4.82</v>
      </c>
      <c r="M119" s="12" t="n">
        <f aca="false">Z119-W119</f>
        <v>0.165474</v>
      </c>
      <c r="N119" s="12" t="n">
        <f aca="false">IFERROR((Z119-J119)/L119,"")</f>
        <v>0.0330029045643153</v>
      </c>
      <c r="O119" s="3" t="n">
        <v>17</v>
      </c>
      <c r="P119" s="13" t="b">
        <f aca="false">FALSE()</f>
        <v>0</v>
      </c>
      <c r="Q119" s="3" t="s">
        <v>166</v>
      </c>
      <c r="R119" s="12" t="n">
        <v>0.7894</v>
      </c>
      <c r="S119" s="12" t="n">
        <v>0.9771</v>
      </c>
      <c r="T119" s="3" t="n">
        <v>0.1493</v>
      </c>
      <c r="U119" s="12" t="n">
        <v>0.3167</v>
      </c>
      <c r="V119" s="12" t="n">
        <v>0.4913</v>
      </c>
      <c r="W119" s="12" t="n">
        <v>0.4978</v>
      </c>
      <c r="X119" s="3" t="n">
        <v>0.637</v>
      </c>
      <c r="Y119" s="3" t="n">
        <v>0.669</v>
      </c>
      <c r="Z119" s="14" t="n">
        <f aca="false">Assumptions!$B$3*R119+Assumptions!$B$4*S119+IF(AA119=1,Assumptions!$B$11,Assumptions!$B$5)*X119+IF(AA119=1,Assumptions!$B$12,Assumptions!$B$6)*T119+Assumptions!$B$7*U119+Assumptions!$B$8*V119+Assumptions!$B$9*Y119</f>
        <v>0.663274</v>
      </c>
      <c r="AA119" s="3" t="n">
        <v>1</v>
      </c>
    </row>
    <row r="120" customFormat="false" ht="15" hidden="false" customHeight="false" outlineLevel="0" collapsed="false">
      <c r="A120" s="3" t="s">
        <v>305</v>
      </c>
      <c r="B120" s="3" t="n">
        <v>630</v>
      </c>
      <c r="C120" s="11" t="str">
        <f aca="false">IF(M120&gt;=Assumptions!$B$17,"S+",IF(M120&gt;=Assumptions!$B$18,"S",IF(M120&gt;=Assumptions!$B$19,"A",IF(M120&gt;=Assumptions!$B$20,"B",IF(M120&gt;=Assumptions!$B$21,"C",IF(M120&gt;=Assumptions!$B$22,"D","F"))))))</f>
        <v>A</v>
      </c>
      <c r="D120" s="3" t="s">
        <v>253</v>
      </c>
      <c r="E120" s="3" t="n">
        <v>12</v>
      </c>
      <c r="F120" s="12" t="n">
        <v>0.8906</v>
      </c>
      <c r="G120" s="12" t="n">
        <v>0.6</v>
      </c>
      <c r="H120" s="12" t="n">
        <v>0.75</v>
      </c>
      <c r="I120" s="12" t="n">
        <v>0.723</v>
      </c>
      <c r="J120" s="12" t="n">
        <v>0.4366</v>
      </c>
      <c r="K120" s="12" t="n">
        <v>0.6902</v>
      </c>
      <c r="L120" s="3" t="n">
        <v>4</v>
      </c>
      <c r="M120" s="12" t="n">
        <f aca="false">Z120-W120</f>
        <v>0.164336</v>
      </c>
      <c r="N120" s="12" t="n">
        <f aca="false">IFERROR((Z120-J120)/L120,"")</f>
        <v>0.063409</v>
      </c>
      <c r="O120" s="3" t="n">
        <v>8</v>
      </c>
      <c r="P120" s="13" t="b">
        <f aca="false">FALSE()</f>
        <v>0</v>
      </c>
      <c r="Q120" s="3" t="s">
        <v>166</v>
      </c>
      <c r="R120" s="12" t="n">
        <v>0.8517</v>
      </c>
      <c r="S120" s="12" t="n">
        <v>0.7468</v>
      </c>
      <c r="T120" s="3" t="n">
        <v>0.0938</v>
      </c>
      <c r="U120" s="12" t="n">
        <v>0.6154</v>
      </c>
      <c r="V120" s="12" t="n">
        <v>0.5046</v>
      </c>
      <c r="W120" s="12" t="n">
        <v>0.5259</v>
      </c>
      <c r="X120" s="3" t="n">
        <v>0.9757</v>
      </c>
      <c r="Y120" s="3" t="n">
        <v>0.7236</v>
      </c>
      <c r="Z120" s="14" t="n">
        <f aca="false">Assumptions!$B$3*R120+Assumptions!$B$4*S120+IF(AA120=1,Assumptions!$B$11,Assumptions!$B$5)*X120+IF(AA120=1,Assumptions!$B$12,Assumptions!$B$6)*T120+Assumptions!$B$7*U120+Assumptions!$B$8*V120+Assumptions!$B$9*Y120</f>
        <v>0.690236</v>
      </c>
      <c r="AA120" s="3" t="n">
        <v>0</v>
      </c>
    </row>
    <row r="121" customFormat="false" ht="15" hidden="false" customHeight="false" outlineLevel="0" collapsed="false">
      <c r="A121" s="3" t="s">
        <v>306</v>
      </c>
      <c r="B121" s="3" t="n">
        <v>495</v>
      </c>
      <c r="C121" s="11" t="str">
        <f aca="false">IF(M121&gt;=Assumptions!$B$17,"S+",IF(M121&gt;=Assumptions!$B$18,"S",IF(M121&gt;=Assumptions!$B$19,"A",IF(M121&gt;=Assumptions!$B$20,"B",IF(M121&gt;=Assumptions!$B$21,"C",IF(M121&gt;=Assumptions!$B$22,"D","F"))))))</f>
        <v>A</v>
      </c>
      <c r="D121" s="3" t="s">
        <v>186</v>
      </c>
      <c r="E121" s="3" t="n">
        <v>6</v>
      </c>
      <c r="F121" s="12" t="n">
        <v>0.6125</v>
      </c>
      <c r="G121" s="12" t="n">
        <v>0.85</v>
      </c>
      <c r="H121" s="12" t="n">
        <v>0.75</v>
      </c>
      <c r="I121" s="12" t="n">
        <v>0.7873</v>
      </c>
      <c r="J121" s="12" t="n">
        <v>0.3995</v>
      </c>
      <c r="K121" s="12" t="n">
        <v>0.6081</v>
      </c>
      <c r="L121" s="3" t="n">
        <v>4</v>
      </c>
      <c r="M121" s="12" t="n">
        <f aca="false">Z121-W121</f>
        <v>0.164365</v>
      </c>
      <c r="N121" s="12" t="n">
        <f aca="false">IFERROR((Z121-J121)/L121,"")</f>
        <v>0.05214125</v>
      </c>
      <c r="O121" s="3" t="n">
        <v>14</v>
      </c>
      <c r="P121" s="13" t="b">
        <f aca="false">FALSE()</f>
        <v>0</v>
      </c>
      <c r="Q121" s="3" t="s">
        <v>166</v>
      </c>
      <c r="R121" s="12" t="n">
        <v>0.7899</v>
      </c>
      <c r="S121" s="12" t="n">
        <v>0.5884</v>
      </c>
      <c r="T121" s="3" t="n">
        <v>0.1054</v>
      </c>
      <c r="U121" s="12" t="n">
        <v>0.3736</v>
      </c>
      <c r="V121" s="12" t="n">
        <v>0.4527</v>
      </c>
      <c r="W121" s="12" t="n">
        <v>0.4437</v>
      </c>
      <c r="X121" s="3" t="n">
        <v>0.6012</v>
      </c>
      <c r="Y121" s="3" t="n">
        <v>0.7877</v>
      </c>
      <c r="Z121" s="14" t="n">
        <f aca="false">Assumptions!$B$3*R121+Assumptions!$B$4*S121+IF(AA121=1,Assumptions!$B$11,Assumptions!$B$5)*X121+IF(AA121=1,Assumptions!$B$12,Assumptions!$B$6)*T121+Assumptions!$B$7*U121+Assumptions!$B$8*V121+Assumptions!$B$9*Y121</f>
        <v>0.608065</v>
      </c>
      <c r="AA121" s="3" t="n">
        <v>1</v>
      </c>
    </row>
    <row r="122" customFormat="false" ht="15" hidden="false" customHeight="false" outlineLevel="0" collapsed="false">
      <c r="A122" s="3" t="s">
        <v>307</v>
      </c>
      <c r="B122" s="3" t="n">
        <v>440</v>
      </c>
      <c r="C122" s="11" t="str">
        <f aca="false">IF(M122&gt;=Assumptions!$B$17,"S+",IF(M122&gt;=Assumptions!$B$18,"S",IF(M122&gt;=Assumptions!$B$19,"A",IF(M122&gt;=Assumptions!$B$20,"B",IF(M122&gt;=Assumptions!$B$21,"C",IF(M122&gt;=Assumptions!$B$22,"D","F"))))))</f>
        <v>A</v>
      </c>
      <c r="D122" s="3" t="s">
        <v>183</v>
      </c>
      <c r="E122" s="3" t="n">
        <v>1</v>
      </c>
      <c r="F122" s="12" t="n">
        <v>0.8981</v>
      </c>
      <c r="G122" s="12" t="n">
        <v>0.76</v>
      </c>
      <c r="H122" s="12" t="n">
        <v>0.4415</v>
      </c>
      <c r="I122" s="12" t="n">
        <v>0.719</v>
      </c>
      <c r="J122" s="12" t="n">
        <v>0.4295</v>
      </c>
      <c r="K122" s="12" t="n">
        <v>0.6558</v>
      </c>
      <c r="L122" s="3" t="n">
        <v>6.82</v>
      </c>
      <c r="M122" s="12" t="n">
        <f aca="false">Z122-W122</f>
        <v>0.163869</v>
      </c>
      <c r="N122" s="12" t="n">
        <f aca="false">IFERROR((Z122-J122)/L122,"")</f>
        <v>0.0331772727272727</v>
      </c>
      <c r="O122" s="3" t="n">
        <v>19</v>
      </c>
      <c r="P122" s="13" t="b">
        <f aca="false">FALSE()</f>
        <v>0</v>
      </c>
      <c r="Q122" s="3" t="s">
        <v>166</v>
      </c>
      <c r="R122" s="12" t="n">
        <v>0.7023</v>
      </c>
      <c r="S122" s="12" t="n">
        <v>0.673</v>
      </c>
      <c r="T122" s="3" t="n">
        <v>0.0747</v>
      </c>
      <c r="U122" s="12" t="n">
        <v>0.3401</v>
      </c>
      <c r="V122" s="12" t="n">
        <v>0.3719</v>
      </c>
      <c r="W122" s="12" t="n">
        <v>0.4919</v>
      </c>
      <c r="X122" s="3" t="n">
        <v>0.9531</v>
      </c>
      <c r="Y122" s="3" t="n">
        <v>0.6557</v>
      </c>
      <c r="Z122" s="14" t="n">
        <f aca="false">Assumptions!$B$3*R122+Assumptions!$B$4*S122+IF(AA122=1,Assumptions!$B$11,Assumptions!$B$5)*X122+IF(AA122=1,Assumptions!$B$12,Assumptions!$B$6)*T122+Assumptions!$B$7*U122+Assumptions!$B$8*V122+Assumptions!$B$9*Y122</f>
        <v>0.655769</v>
      </c>
      <c r="AA122" s="3" t="n">
        <v>1</v>
      </c>
    </row>
    <row r="123" customFormat="false" ht="15" hidden="false" customHeight="false" outlineLevel="0" collapsed="false">
      <c r="A123" s="3" t="s">
        <v>308</v>
      </c>
      <c r="B123" s="3" t="n">
        <v>518</v>
      </c>
      <c r="C123" s="11" t="str">
        <f aca="false">IF(M123&gt;=Assumptions!$B$17,"S+",IF(M123&gt;=Assumptions!$B$18,"S",IF(M123&gt;=Assumptions!$B$19,"A",IF(M123&gt;=Assumptions!$B$20,"B",IF(M123&gt;=Assumptions!$B$21,"C",IF(M123&gt;=Assumptions!$B$22,"D","F"))))))</f>
        <v>A</v>
      </c>
      <c r="D123" s="3" t="s">
        <v>190</v>
      </c>
      <c r="E123" s="3" t="n">
        <v>2</v>
      </c>
      <c r="F123" s="12" t="n">
        <v>0.7857</v>
      </c>
      <c r="G123" s="12" t="n">
        <v>1</v>
      </c>
      <c r="H123" s="12" t="n">
        <v>0.75</v>
      </c>
      <c r="I123" s="12" t="n">
        <v>0.8686</v>
      </c>
      <c r="J123" s="12" t="n">
        <v>0.3824</v>
      </c>
      <c r="K123" s="12" t="n">
        <v>0.6447</v>
      </c>
      <c r="L123" s="3" t="n">
        <v>4.78</v>
      </c>
      <c r="M123" s="12" t="n">
        <f aca="false">Z123-W123</f>
        <v>0.1633</v>
      </c>
      <c r="N123" s="12" t="n">
        <f aca="false">IFERROR((Z123-J123)/L123,"")</f>
        <v>0.0548744769874477</v>
      </c>
      <c r="O123" s="3" t="n">
        <v>18</v>
      </c>
      <c r="P123" s="13" t="b">
        <f aca="false">FALSE()</f>
        <v>0</v>
      </c>
      <c r="Q123" s="3" t="s">
        <v>201</v>
      </c>
      <c r="R123" s="12" t="n">
        <v>0.8684</v>
      </c>
      <c r="S123" s="12" t="n">
        <v>0.6171</v>
      </c>
      <c r="T123" s="3" t="n">
        <v>0.3583</v>
      </c>
      <c r="U123" s="12" t="n">
        <v>0.4829</v>
      </c>
      <c r="V123" s="12" t="n">
        <v>0.4761</v>
      </c>
      <c r="W123" s="12" t="n">
        <v>0.4814</v>
      </c>
      <c r="X123" s="3" t="n">
        <v>0.6574</v>
      </c>
      <c r="Y123" s="3" t="n">
        <v>0.7751</v>
      </c>
      <c r="Z123" s="14" t="n">
        <f aca="false">Assumptions!$B$3*R123+Assumptions!$B$4*S123+IF(AA123=1,Assumptions!$B$11,Assumptions!$B$5)*X123+IF(AA123=1,Assumptions!$B$12,Assumptions!$B$6)*T123+Assumptions!$B$7*U123+Assumptions!$B$8*V123+Assumptions!$B$9*Y123</f>
        <v>0.6447</v>
      </c>
      <c r="AA123" s="3" t="n">
        <v>0</v>
      </c>
    </row>
    <row r="124" customFormat="false" ht="15" hidden="false" customHeight="false" outlineLevel="0" collapsed="false">
      <c r="A124" s="3" t="s">
        <v>309</v>
      </c>
      <c r="B124" s="3" t="n">
        <v>540</v>
      </c>
      <c r="C124" s="11" t="str">
        <f aca="false">IF(M124&gt;=Assumptions!$B$17,"S+",IF(M124&gt;=Assumptions!$B$18,"S",IF(M124&gt;=Assumptions!$B$19,"A",IF(M124&gt;=Assumptions!$B$20,"B",IF(M124&gt;=Assumptions!$B$21,"C",IF(M124&gt;=Assumptions!$B$22,"D","F"))))))</f>
        <v>A</v>
      </c>
      <c r="D124" s="3" t="s">
        <v>190</v>
      </c>
      <c r="E124" s="3" t="n">
        <v>3</v>
      </c>
      <c r="F124" s="12" t="n">
        <v>0.8367</v>
      </c>
      <c r="G124" s="12" t="n">
        <v>0.6</v>
      </c>
      <c r="H124" s="12" t="n">
        <v>0.75</v>
      </c>
      <c r="I124" s="12" t="n">
        <v>0.7199</v>
      </c>
      <c r="J124" s="12" t="n">
        <v>0.4625</v>
      </c>
      <c r="K124" s="12" t="n">
        <v>0.6539</v>
      </c>
      <c r="L124" s="3" t="n">
        <v>3.94</v>
      </c>
      <c r="M124" s="12" t="n">
        <f aca="false">Z124-W124</f>
        <v>0.162953</v>
      </c>
      <c r="N124" s="12" t="n">
        <f aca="false">IFERROR((Z124-J124)/L124,"")</f>
        <v>0.0485921319796954</v>
      </c>
      <c r="O124" s="3" t="n">
        <v>17</v>
      </c>
      <c r="P124" s="13" t="b">
        <f aca="false">FALSE()</f>
        <v>0</v>
      </c>
      <c r="Q124" s="3" t="s">
        <v>201</v>
      </c>
      <c r="R124" s="12" t="n">
        <v>0.8438</v>
      </c>
      <c r="S124" s="12" t="n">
        <v>0.5537</v>
      </c>
      <c r="T124" s="3" t="n">
        <v>0.4643</v>
      </c>
      <c r="U124" s="12" t="n">
        <v>0.5928</v>
      </c>
      <c r="V124" s="12" t="n">
        <v>0.4846</v>
      </c>
      <c r="W124" s="12" t="n">
        <v>0.491</v>
      </c>
      <c r="X124" s="3" t="n">
        <v>0.7053</v>
      </c>
      <c r="Y124" s="3" t="n">
        <v>0.7036</v>
      </c>
      <c r="Z124" s="14" t="n">
        <f aca="false">Assumptions!$B$3*R124+Assumptions!$B$4*S124+IF(AA124=1,Assumptions!$B$11,Assumptions!$B$5)*X124+IF(AA124=1,Assumptions!$B$12,Assumptions!$B$6)*T124+Assumptions!$B$7*U124+Assumptions!$B$8*V124+Assumptions!$B$9*Y124</f>
        <v>0.653953</v>
      </c>
      <c r="AA124" s="3" t="n">
        <v>0</v>
      </c>
    </row>
    <row r="125" customFormat="false" ht="15" hidden="false" customHeight="false" outlineLevel="0" collapsed="false">
      <c r="A125" s="3" t="s">
        <v>310</v>
      </c>
      <c r="B125" s="3" t="n">
        <v>515</v>
      </c>
      <c r="C125" s="11" t="str">
        <f aca="false">IF(M125&gt;=Assumptions!$B$17,"S+",IF(M125&gt;=Assumptions!$B$18,"S",IF(M125&gt;=Assumptions!$B$19,"A",IF(M125&gt;=Assumptions!$B$20,"B",IF(M125&gt;=Assumptions!$B$21,"C",IF(M125&gt;=Assumptions!$B$22,"D","F"))))))</f>
        <v>A</v>
      </c>
      <c r="D125" s="3" t="s">
        <v>228</v>
      </c>
      <c r="E125" s="3" t="n">
        <v>7</v>
      </c>
      <c r="F125" s="12" t="n">
        <v>0.8974</v>
      </c>
      <c r="G125" s="12" t="n">
        <v>0.4</v>
      </c>
      <c r="H125" s="12" t="n">
        <v>0.75</v>
      </c>
      <c r="I125" s="12" t="n">
        <v>0.6292</v>
      </c>
      <c r="J125" s="12" t="n">
        <v>0.3561</v>
      </c>
      <c r="K125" s="12" t="n">
        <v>0.6395</v>
      </c>
      <c r="L125" s="3" t="n">
        <v>4</v>
      </c>
      <c r="M125" s="12" t="n">
        <f aca="false">Z125-W125</f>
        <v>0.163018</v>
      </c>
      <c r="N125" s="12" t="n">
        <f aca="false">IFERROR((Z125-J125)/L125,"")</f>
        <v>0.0708545</v>
      </c>
      <c r="O125" s="3" t="n">
        <v>13</v>
      </c>
      <c r="P125" s="13" t="b">
        <f aca="false">FALSE()</f>
        <v>0</v>
      </c>
      <c r="Q125" s="3" t="s">
        <v>166</v>
      </c>
      <c r="R125" s="12" t="n">
        <v>0.8062</v>
      </c>
      <c r="S125" s="12" t="n">
        <v>0.6645</v>
      </c>
      <c r="T125" s="3" t="n">
        <v>0.0773</v>
      </c>
      <c r="U125" s="12" t="n">
        <v>0.503</v>
      </c>
      <c r="V125" s="12" t="n">
        <v>0.4987</v>
      </c>
      <c r="W125" s="12" t="n">
        <v>0.4765</v>
      </c>
      <c r="X125" s="3" t="n">
        <v>0.9543</v>
      </c>
      <c r="Y125" s="3" t="n">
        <v>0.6311</v>
      </c>
      <c r="Z125" s="14" t="n">
        <f aca="false">Assumptions!$B$3*R125+Assumptions!$B$4*S125+IF(AA125=1,Assumptions!$B$11,Assumptions!$B$5)*X125+IF(AA125=1,Assumptions!$B$12,Assumptions!$B$6)*T125+Assumptions!$B$7*U125+Assumptions!$B$8*V125+Assumptions!$B$9*Y125</f>
        <v>0.639518</v>
      </c>
      <c r="AA125" s="3" t="n">
        <v>0</v>
      </c>
    </row>
    <row r="126" customFormat="false" ht="15" hidden="false" customHeight="false" outlineLevel="0" collapsed="false">
      <c r="A126" s="3" t="s">
        <v>311</v>
      </c>
      <c r="B126" s="3" t="n">
        <v>700</v>
      </c>
      <c r="C126" s="11" t="str">
        <f aca="false">IF(M126&gt;=Assumptions!$B$17,"S+",IF(M126&gt;=Assumptions!$B$18,"S",IF(M126&gt;=Assumptions!$B$19,"A",IF(M126&gt;=Assumptions!$B$20,"B",IF(M126&gt;=Assumptions!$B$21,"C",IF(M126&gt;=Assumptions!$B$22,"D","F"))))))</f>
        <v>A</v>
      </c>
      <c r="D126" s="3" t="s">
        <v>197</v>
      </c>
      <c r="E126" s="3" t="n">
        <v>19</v>
      </c>
      <c r="F126" s="12" t="n">
        <v>0.8858</v>
      </c>
      <c r="G126" s="12" t="n">
        <v>0.4</v>
      </c>
      <c r="H126" s="12" t="n">
        <v>0.75</v>
      </c>
      <c r="I126" s="12" t="n">
        <v>0.6546</v>
      </c>
      <c r="J126" s="12" t="n">
        <v>0.4004</v>
      </c>
      <c r="K126" s="12" t="n">
        <v>0.6472</v>
      </c>
      <c r="L126" s="3" t="n">
        <v>4</v>
      </c>
      <c r="M126" s="12" t="n">
        <f aca="false">Z126-W126</f>
        <v>0.162806</v>
      </c>
      <c r="N126" s="12" t="n">
        <f aca="false">IFERROR((Z126-J126)/L126,"")</f>
        <v>0.0617015</v>
      </c>
      <c r="O126" s="3" t="n">
        <v>1</v>
      </c>
      <c r="P126" s="13" t="b">
        <f aca="false">FALSE()</f>
        <v>0</v>
      </c>
      <c r="Q126" s="3" t="s">
        <v>166</v>
      </c>
      <c r="R126" s="12" t="n">
        <v>0.8072</v>
      </c>
      <c r="S126" s="12" t="n">
        <v>0.6775</v>
      </c>
      <c r="T126" s="3" t="n">
        <v>0.1667</v>
      </c>
      <c r="U126" s="12" t="n">
        <v>0.5385</v>
      </c>
      <c r="V126" s="12" t="n">
        <v>0.4385</v>
      </c>
      <c r="W126" s="12" t="n">
        <v>0.4844</v>
      </c>
      <c r="X126" s="3" t="n">
        <v>0.926</v>
      </c>
      <c r="Y126" s="3" t="n">
        <v>0.6546</v>
      </c>
      <c r="Z126" s="14" t="n">
        <f aca="false">Assumptions!$B$3*R126+Assumptions!$B$4*S126+IF(AA126=1,Assumptions!$B$11,Assumptions!$B$5)*X126+IF(AA126=1,Assumptions!$B$12,Assumptions!$B$6)*T126+Assumptions!$B$7*U126+Assumptions!$B$8*V126+Assumptions!$B$9*Y126</f>
        <v>0.647206</v>
      </c>
      <c r="AA126" s="3" t="n">
        <v>0</v>
      </c>
    </row>
    <row r="127" customFormat="false" ht="15" hidden="false" customHeight="false" outlineLevel="0" collapsed="false">
      <c r="A127" s="3" t="s">
        <v>312</v>
      </c>
      <c r="B127" s="3" t="n">
        <v>580</v>
      </c>
      <c r="C127" s="11" t="str">
        <f aca="false">IF(M127&gt;=Assumptions!$B$17,"S+",IF(M127&gt;=Assumptions!$B$18,"S",IF(M127&gt;=Assumptions!$B$19,"A",IF(M127&gt;=Assumptions!$B$20,"B",IF(M127&gt;=Assumptions!$B$21,"C",IF(M127&gt;=Assumptions!$B$22,"D","F"))))))</f>
        <v>A</v>
      </c>
      <c r="D127" s="3" t="s">
        <v>190</v>
      </c>
      <c r="E127" s="3" t="n">
        <v>9</v>
      </c>
      <c r="F127" s="12" t="n">
        <v>0.8885</v>
      </c>
      <c r="G127" s="12" t="n">
        <v>1</v>
      </c>
      <c r="H127" s="12" t="n">
        <v>0.75</v>
      </c>
      <c r="I127" s="12" t="n">
        <v>0.9076</v>
      </c>
      <c r="J127" s="12" t="n">
        <v>0.4011</v>
      </c>
      <c r="K127" s="12" t="n">
        <v>0.6374</v>
      </c>
      <c r="L127" s="3" t="n">
        <v>5</v>
      </c>
      <c r="M127" s="12" t="n">
        <f aca="false">Z127-W127</f>
        <v>0.162522</v>
      </c>
      <c r="N127" s="12" t="n">
        <f aca="false">IFERROR((Z127-J127)/L127,"")</f>
        <v>0.0472644</v>
      </c>
      <c r="O127" s="3" t="n">
        <v>11</v>
      </c>
      <c r="P127" s="13" t="b">
        <f aca="false">TRUE()</f>
        <v>1</v>
      </c>
      <c r="Q127" s="3" t="s">
        <v>166</v>
      </c>
      <c r="R127" s="12" t="n">
        <v>0.8883</v>
      </c>
      <c r="S127" s="12" t="n">
        <v>0.4121</v>
      </c>
      <c r="T127" s="3" t="n">
        <v>0.3675</v>
      </c>
      <c r="U127" s="12" t="n">
        <v>0.5105</v>
      </c>
      <c r="V127" s="12" t="n">
        <v>0.3489</v>
      </c>
      <c r="W127" s="12" t="n">
        <v>0.4749</v>
      </c>
      <c r="X127" s="3" t="n">
        <v>0.7515</v>
      </c>
      <c r="Y127" s="3" t="n">
        <v>0.9088</v>
      </c>
      <c r="Z127" s="14" t="n">
        <f aca="false">Assumptions!$B$3*R127+Assumptions!$B$4*S127+IF(AA127=1,Assumptions!$B$11,Assumptions!$B$5)*X127+IF(AA127=1,Assumptions!$B$12,Assumptions!$B$6)*T127+Assumptions!$B$7*U127+Assumptions!$B$8*V127+Assumptions!$B$9*Y127</f>
        <v>0.637422</v>
      </c>
      <c r="AA127" s="3" t="n">
        <v>0</v>
      </c>
    </row>
    <row r="128" customFormat="false" ht="15" hidden="false" customHeight="false" outlineLevel="0" collapsed="false">
      <c r="A128" s="3" t="s">
        <v>313</v>
      </c>
      <c r="B128" s="3" t="n">
        <v>575</v>
      </c>
      <c r="C128" s="11" t="str">
        <f aca="false">IF(M128&gt;=Assumptions!$B$17,"S+",IF(M128&gt;=Assumptions!$B$18,"S",IF(M128&gt;=Assumptions!$B$19,"A",IF(M128&gt;=Assumptions!$B$20,"B",IF(M128&gt;=Assumptions!$B$21,"C",IF(M128&gt;=Assumptions!$B$22,"D","F"))))))</f>
        <v>A</v>
      </c>
      <c r="D128" s="3" t="s">
        <v>253</v>
      </c>
      <c r="E128" s="3" t="n">
        <v>7</v>
      </c>
      <c r="F128" s="12" t="n">
        <v>0.9475</v>
      </c>
      <c r="G128" s="12" t="n">
        <v>0.6</v>
      </c>
      <c r="H128" s="12" t="n">
        <v>0.75</v>
      </c>
      <c r="I128" s="12" t="n">
        <v>0.7412</v>
      </c>
      <c r="J128" s="12" t="n">
        <v>0.4359</v>
      </c>
      <c r="K128" s="12" t="n">
        <v>0.6867</v>
      </c>
      <c r="L128" s="3" t="n">
        <v>4</v>
      </c>
      <c r="M128" s="12" t="n">
        <f aca="false">Z128-W128</f>
        <v>0.162362</v>
      </c>
      <c r="N128" s="12" t="n">
        <f aca="false">IFERROR((Z128-J128)/L128,"")</f>
        <v>0.0626905</v>
      </c>
      <c r="O128" s="3" t="n">
        <v>13</v>
      </c>
      <c r="P128" s="13" t="b">
        <f aca="false">FALSE()</f>
        <v>0</v>
      </c>
      <c r="Q128" s="3" t="s">
        <v>166</v>
      </c>
      <c r="R128" s="12" t="n">
        <v>0.8376</v>
      </c>
      <c r="S128" s="12" t="n">
        <v>0.4985</v>
      </c>
      <c r="T128" s="3" t="n">
        <v>0.7353</v>
      </c>
      <c r="U128" s="12" t="n">
        <v>0.5799</v>
      </c>
      <c r="V128" s="12" t="n">
        <v>0.4987</v>
      </c>
      <c r="W128" s="12" t="n">
        <v>0.5243</v>
      </c>
      <c r="X128" s="3" t="n">
        <v>0.7443</v>
      </c>
      <c r="Y128" s="3" t="n">
        <v>0.7394</v>
      </c>
      <c r="Z128" s="14" t="n">
        <f aca="false">Assumptions!$B$3*R128+Assumptions!$B$4*S128+IF(AA128=1,Assumptions!$B$11,Assumptions!$B$5)*X128+IF(AA128=1,Assumptions!$B$12,Assumptions!$B$6)*T128+Assumptions!$B$7*U128+Assumptions!$B$8*V128+Assumptions!$B$9*Y128</f>
        <v>0.686662</v>
      </c>
      <c r="AA128" s="3" t="n">
        <v>0</v>
      </c>
    </row>
    <row r="129" customFormat="false" ht="15" hidden="false" customHeight="false" outlineLevel="0" collapsed="false">
      <c r="A129" s="3" t="s">
        <v>314</v>
      </c>
      <c r="B129" s="3" t="n">
        <v>480</v>
      </c>
      <c r="C129" s="11" t="str">
        <f aca="false">IF(M129&gt;=Assumptions!$B$17,"S+",IF(M129&gt;=Assumptions!$B$18,"S",IF(M129&gt;=Assumptions!$B$19,"A",IF(M129&gt;=Assumptions!$B$20,"B",IF(M129&gt;=Assumptions!$B$21,"C",IF(M129&gt;=Assumptions!$B$22,"D","F"))))))</f>
        <v>A</v>
      </c>
      <c r="D129" s="3" t="s">
        <v>186</v>
      </c>
      <c r="E129" s="3" t="n">
        <v>7</v>
      </c>
      <c r="F129" s="12" t="n">
        <v>0.627</v>
      </c>
      <c r="G129" s="12" t="n">
        <v>0.6</v>
      </c>
      <c r="H129" s="12" t="n">
        <v>0.75</v>
      </c>
      <c r="I129" s="12" t="n">
        <v>0.6349</v>
      </c>
      <c r="J129" s="12" t="n">
        <v>0.3045</v>
      </c>
      <c r="K129" s="12" t="n">
        <v>0.6044</v>
      </c>
      <c r="L129" s="3" t="n">
        <v>4</v>
      </c>
      <c r="M129" s="12" t="n">
        <f aca="false">Z129-W129</f>
        <v>0.161029</v>
      </c>
      <c r="N129" s="12" t="n">
        <f aca="false">IFERROR((Z129-J129)/L129,"")</f>
        <v>0.07498225</v>
      </c>
      <c r="O129" s="3" t="n">
        <v>13</v>
      </c>
      <c r="P129" s="13" t="b">
        <f aca="false">FALSE()</f>
        <v>0</v>
      </c>
      <c r="Q129" s="3" t="s">
        <v>166</v>
      </c>
      <c r="R129" s="12" t="n">
        <v>0.7281</v>
      </c>
      <c r="S129" s="12" t="n">
        <v>0.4668</v>
      </c>
      <c r="T129" s="3" t="n">
        <v>0.1628</v>
      </c>
      <c r="U129" s="12" t="n">
        <v>0.5326</v>
      </c>
      <c r="V129" s="12" t="n">
        <v>0.3755</v>
      </c>
      <c r="W129" s="12" t="n">
        <v>0.4434</v>
      </c>
      <c r="X129" s="3" t="n">
        <v>0.7519</v>
      </c>
      <c r="Y129" s="3" t="n">
        <v>0.6357</v>
      </c>
      <c r="Z129" s="14" t="n">
        <f aca="false">Assumptions!$B$3*R129+Assumptions!$B$4*S129+IF(AA129=1,Assumptions!$B$11,Assumptions!$B$5)*X129+IF(AA129=1,Assumptions!$B$12,Assumptions!$B$6)*T129+Assumptions!$B$7*U129+Assumptions!$B$8*V129+Assumptions!$B$9*Y129</f>
        <v>0.604429</v>
      </c>
      <c r="AA129" s="3" t="n">
        <v>1</v>
      </c>
    </row>
    <row r="130" customFormat="false" ht="15" hidden="false" customHeight="false" outlineLevel="0" collapsed="false">
      <c r="A130" s="3" t="s">
        <v>315</v>
      </c>
      <c r="B130" s="3" t="n">
        <v>600</v>
      </c>
      <c r="C130" s="11" t="str">
        <f aca="false">IF(M130&gt;=Assumptions!$B$17,"S+",IF(M130&gt;=Assumptions!$B$18,"S",IF(M130&gt;=Assumptions!$B$19,"A",IF(M130&gt;=Assumptions!$B$20,"B",IF(M130&gt;=Assumptions!$B$21,"C",IF(M130&gt;=Assumptions!$B$22,"D","F"))))))</f>
        <v>A</v>
      </c>
      <c r="D130" s="3" t="s">
        <v>218</v>
      </c>
      <c r="E130" s="3" t="n">
        <v>9</v>
      </c>
      <c r="F130" s="12" t="n">
        <v>0.8929</v>
      </c>
      <c r="G130" s="12" t="n">
        <v>0.6</v>
      </c>
      <c r="H130" s="12" t="n">
        <v>0.75</v>
      </c>
      <c r="I130" s="12" t="n">
        <v>0.7237</v>
      </c>
      <c r="J130" s="12" t="n">
        <v>0.4653</v>
      </c>
      <c r="K130" s="12" t="n">
        <v>0.6715</v>
      </c>
      <c r="L130" s="3" t="n">
        <v>5</v>
      </c>
      <c r="M130" s="12" t="n">
        <f aca="false">Z130-W130</f>
        <v>0.160926</v>
      </c>
      <c r="N130" s="12" t="n">
        <f aca="false">IFERROR((Z130-J130)/L130,"")</f>
        <v>0.0412452</v>
      </c>
      <c r="O130" s="3" t="n">
        <v>11</v>
      </c>
      <c r="P130" s="13" t="b">
        <f aca="false">FALSE()</f>
        <v>0</v>
      </c>
      <c r="Q130" s="3" t="s">
        <v>166</v>
      </c>
      <c r="R130" s="12" t="n">
        <v>0.8954</v>
      </c>
      <c r="S130" s="12" t="n">
        <v>0.8863</v>
      </c>
      <c r="T130" s="3" t="n">
        <v>0.1831</v>
      </c>
      <c r="U130" s="12" t="n">
        <v>0.5385</v>
      </c>
      <c r="V130" s="12" t="n">
        <v>0.4781</v>
      </c>
      <c r="W130" s="12" t="n">
        <v>0.5106</v>
      </c>
      <c r="X130" s="3" t="n">
        <v>0.6554</v>
      </c>
      <c r="Y130" s="3" t="n">
        <v>0.725</v>
      </c>
      <c r="Z130" s="14" t="n">
        <f aca="false">Assumptions!$B$3*R130+Assumptions!$B$4*S130+IF(AA130=1,Assumptions!$B$11,Assumptions!$B$5)*X130+IF(AA130=1,Assumptions!$B$12,Assumptions!$B$6)*T130+Assumptions!$B$7*U130+Assumptions!$B$8*V130+Assumptions!$B$9*Y130</f>
        <v>0.671526</v>
      </c>
      <c r="AA130" s="3" t="n">
        <v>0</v>
      </c>
    </row>
    <row r="131" customFormat="false" ht="15" hidden="false" customHeight="false" outlineLevel="0" collapsed="false">
      <c r="A131" s="3" t="s">
        <v>316</v>
      </c>
      <c r="B131" s="3" t="n">
        <v>485</v>
      </c>
      <c r="C131" s="11" t="str">
        <f aca="false">IF(M131&gt;=Assumptions!$B$17,"S+",IF(M131&gt;=Assumptions!$B$18,"S",IF(M131&gt;=Assumptions!$B$19,"A",IF(M131&gt;=Assumptions!$B$20,"B",IF(M131&gt;=Assumptions!$B$21,"C",IF(M131&gt;=Assumptions!$B$22,"D","F"))))))</f>
        <v>A</v>
      </c>
      <c r="D131" s="3" t="s">
        <v>180</v>
      </c>
      <c r="E131" s="3" t="n">
        <v>2</v>
      </c>
      <c r="F131" s="12" t="n">
        <v>0.8283</v>
      </c>
      <c r="G131" s="12" t="n">
        <v>0.85</v>
      </c>
      <c r="H131" s="12" t="n">
        <v>0.4226</v>
      </c>
      <c r="I131" s="12" t="n">
        <v>0.7602</v>
      </c>
      <c r="J131" s="12" t="n">
        <v>0.4571</v>
      </c>
      <c r="K131" s="12" t="n">
        <v>0.6345</v>
      </c>
      <c r="L131" s="3" t="n">
        <v>4.58</v>
      </c>
      <c r="M131" s="12" t="n">
        <f aca="false">Z131-W131</f>
        <v>0.160952</v>
      </c>
      <c r="N131" s="12" t="n">
        <f aca="false">IFERROR((Z131-J131)/L131,"")</f>
        <v>0.0387449781659389</v>
      </c>
      <c r="O131" s="3" t="n">
        <v>18</v>
      </c>
      <c r="P131" s="13" t="b">
        <f aca="false">FALSE()</f>
        <v>0</v>
      </c>
      <c r="Q131" s="3" t="s">
        <v>166</v>
      </c>
      <c r="R131" s="12" t="n">
        <v>0.5994</v>
      </c>
      <c r="S131" s="12" t="n">
        <v>0.656</v>
      </c>
      <c r="T131" s="3" t="n">
        <v>0.2054</v>
      </c>
      <c r="U131" s="12" t="n">
        <v>0.4957</v>
      </c>
      <c r="V131" s="12" t="n">
        <v>0.4458</v>
      </c>
      <c r="W131" s="12" t="n">
        <v>0.4736</v>
      </c>
      <c r="X131" s="3" t="n">
        <v>0.8241</v>
      </c>
      <c r="Y131" s="3" t="n">
        <v>0.757</v>
      </c>
      <c r="Z131" s="14" t="n">
        <f aca="false">Assumptions!$B$3*R131+Assumptions!$B$4*S131+IF(AA131=1,Assumptions!$B$11,Assumptions!$B$5)*X131+IF(AA131=1,Assumptions!$B$12,Assumptions!$B$6)*T131+Assumptions!$B$7*U131+Assumptions!$B$8*V131+Assumptions!$B$9*Y131</f>
        <v>0.634552</v>
      </c>
      <c r="AA131" s="3" t="n">
        <v>1</v>
      </c>
    </row>
    <row r="132" customFormat="false" ht="15" hidden="false" customHeight="false" outlineLevel="0" collapsed="false">
      <c r="A132" s="3" t="s">
        <v>317</v>
      </c>
      <c r="B132" s="3" t="n">
        <v>580</v>
      </c>
      <c r="C132" s="11" t="str">
        <f aca="false">IF(M132&gt;=Assumptions!$B$17,"S+",IF(M132&gt;=Assumptions!$B$18,"S",IF(M132&gt;=Assumptions!$B$19,"A",IF(M132&gt;=Assumptions!$B$20,"B",IF(M132&gt;=Assumptions!$B$21,"C",IF(M132&gt;=Assumptions!$B$22,"D","F"))))))</f>
        <v>A</v>
      </c>
      <c r="D132" s="3" t="s">
        <v>197</v>
      </c>
      <c r="E132" s="3" t="n">
        <v>9</v>
      </c>
      <c r="F132" s="12" t="n">
        <v>0.6853</v>
      </c>
      <c r="G132" s="12" t="n">
        <v>0.6</v>
      </c>
      <c r="H132" s="12" t="n">
        <v>0.75</v>
      </c>
      <c r="I132" s="12" t="n">
        <v>0.6624</v>
      </c>
      <c r="J132" s="12" t="n">
        <v>0.4193</v>
      </c>
      <c r="K132" s="12" t="n">
        <v>0.647</v>
      </c>
      <c r="L132" s="3" t="n">
        <v>4</v>
      </c>
      <c r="M132" s="12" t="n">
        <f aca="false">Z132-W132</f>
        <v>0.160846</v>
      </c>
      <c r="N132" s="12" t="n">
        <f aca="false">IFERROR((Z132-J132)/L132,"")</f>
        <v>0.0569115</v>
      </c>
      <c r="O132" s="3" t="n">
        <v>11</v>
      </c>
      <c r="P132" s="13" t="b">
        <f aca="false">TRUE()</f>
        <v>1</v>
      </c>
      <c r="Q132" s="3" t="s">
        <v>166</v>
      </c>
      <c r="R132" s="12" t="n">
        <v>0.856</v>
      </c>
      <c r="S132" s="12" t="n">
        <v>0.5716</v>
      </c>
      <c r="T132" s="3" t="n">
        <v>0.3771</v>
      </c>
      <c r="U132" s="12" t="n">
        <v>0.6154</v>
      </c>
      <c r="V132" s="12" t="n">
        <v>0.4042</v>
      </c>
      <c r="W132" s="12" t="n">
        <v>0.4861</v>
      </c>
      <c r="X132" s="3" t="n">
        <v>0.7562</v>
      </c>
      <c r="Y132" s="3" t="n">
        <v>0.664</v>
      </c>
      <c r="Z132" s="14" t="n">
        <f aca="false">Assumptions!$B$3*R132+Assumptions!$B$4*S132+IF(AA132=1,Assumptions!$B$11,Assumptions!$B$5)*X132+IF(AA132=1,Assumptions!$B$12,Assumptions!$B$6)*T132+Assumptions!$B$7*U132+Assumptions!$B$8*V132+Assumptions!$B$9*Y132</f>
        <v>0.646946</v>
      </c>
      <c r="AA132" s="3" t="n">
        <v>0</v>
      </c>
    </row>
    <row r="133" customFormat="false" ht="15" hidden="false" customHeight="false" outlineLevel="0" collapsed="false">
      <c r="A133" s="3" t="s">
        <v>318</v>
      </c>
      <c r="B133" s="3" t="n">
        <v>483</v>
      </c>
      <c r="C133" s="11" t="str">
        <f aca="false">IF(M133&gt;=Assumptions!$B$17,"S+",IF(M133&gt;=Assumptions!$B$18,"S",IF(M133&gt;=Assumptions!$B$19,"A",IF(M133&gt;=Assumptions!$B$20,"B",IF(M133&gt;=Assumptions!$B$21,"C",IF(M133&gt;=Assumptions!$B$22,"D","F"))))))</f>
        <v>A</v>
      </c>
      <c r="D133" s="3" t="s">
        <v>173</v>
      </c>
      <c r="E133" s="3" t="n">
        <v>4</v>
      </c>
      <c r="F133" s="12" t="n">
        <v>0.7348</v>
      </c>
      <c r="G133" s="12" t="n">
        <v>0.45</v>
      </c>
      <c r="H133" s="12" t="n">
        <v>0.75</v>
      </c>
      <c r="I133" s="12" t="n">
        <v>0.5613</v>
      </c>
      <c r="J133" s="12" t="n">
        <v>0.2858</v>
      </c>
      <c r="K133" s="12" t="n">
        <v>0.6003</v>
      </c>
      <c r="L133" s="3" t="n">
        <v>3.88</v>
      </c>
      <c r="M133" s="12" t="n">
        <f aca="false">Z133-W133</f>
        <v>0.160799</v>
      </c>
      <c r="N133" s="12" t="n">
        <f aca="false">IFERROR((Z133-J133)/L133,"")</f>
        <v>0.0810564432989691</v>
      </c>
      <c r="O133" s="3" t="n">
        <v>16</v>
      </c>
      <c r="P133" s="13" t="b">
        <f aca="false">FALSE()</f>
        <v>0</v>
      </c>
      <c r="Q133" s="3" t="s">
        <v>166</v>
      </c>
      <c r="R133" s="12" t="n">
        <v>0.6424</v>
      </c>
      <c r="S133" s="12" t="n">
        <v>0.6332</v>
      </c>
      <c r="T133" s="3" t="n">
        <v>0.25</v>
      </c>
      <c r="U133" s="12" t="n">
        <v>0.4519</v>
      </c>
      <c r="V133" s="12" t="n">
        <v>0.4651</v>
      </c>
      <c r="W133" s="12" t="n">
        <v>0.4395</v>
      </c>
      <c r="X133" s="3" t="n">
        <v>0.7401</v>
      </c>
      <c r="Y133" s="3" t="n">
        <v>0.5432</v>
      </c>
      <c r="Z133" s="14" t="n">
        <f aca="false">Assumptions!$B$3*R133+Assumptions!$B$4*S133+IF(AA133=1,Assumptions!$B$11,Assumptions!$B$5)*X133+IF(AA133=1,Assumptions!$B$12,Assumptions!$B$6)*T133+Assumptions!$B$7*U133+Assumptions!$B$8*V133+Assumptions!$B$9*Y133</f>
        <v>0.600299</v>
      </c>
      <c r="AA133" s="3" t="n">
        <v>1</v>
      </c>
    </row>
    <row r="134" customFormat="false" ht="15" hidden="false" customHeight="false" outlineLevel="0" collapsed="false">
      <c r="A134" s="3" t="s">
        <v>319</v>
      </c>
      <c r="B134" s="3" t="n">
        <v>510</v>
      </c>
      <c r="C134" s="11" t="str">
        <f aca="false">IF(M134&gt;=Assumptions!$B$17,"S+",IF(M134&gt;=Assumptions!$B$18,"S",IF(M134&gt;=Assumptions!$B$19,"A",IF(M134&gt;=Assumptions!$B$20,"B",IF(M134&gt;=Assumptions!$B$21,"C",IF(M134&gt;=Assumptions!$B$22,"D","F"))))))</f>
        <v>A</v>
      </c>
      <c r="D134" s="3" t="s">
        <v>203</v>
      </c>
      <c r="E134" s="3" t="n">
        <v>7</v>
      </c>
      <c r="F134" s="12" t="n">
        <v>0.675</v>
      </c>
      <c r="G134" s="12" t="n">
        <v>1</v>
      </c>
      <c r="H134" s="12" t="n">
        <v>0.75</v>
      </c>
      <c r="I134" s="12" t="n">
        <v>0.8525</v>
      </c>
      <c r="J134" s="12" t="n">
        <v>0.4403</v>
      </c>
      <c r="K134" s="12" t="n">
        <v>0.6194</v>
      </c>
      <c r="L134" s="3" t="n">
        <v>4</v>
      </c>
      <c r="M134" s="12" t="n">
        <f aca="false">Z134-W134</f>
        <v>0.16059</v>
      </c>
      <c r="N134" s="12" t="n">
        <f aca="false">IFERROR((Z134-J134)/L134,"")</f>
        <v>0.0447725</v>
      </c>
      <c r="O134" s="3" t="n">
        <v>13</v>
      </c>
      <c r="P134" s="13" t="b">
        <f aca="false">FALSE()</f>
        <v>0</v>
      </c>
      <c r="Q134" s="3" t="s">
        <v>166</v>
      </c>
      <c r="R134" s="12" t="n">
        <v>0.7864</v>
      </c>
      <c r="S134" s="12" t="n">
        <v>0.5293</v>
      </c>
      <c r="T134" s="3" t="n">
        <v>0.1382</v>
      </c>
      <c r="U134" s="12" t="n">
        <v>0.4615</v>
      </c>
      <c r="V134" s="12" t="n">
        <v>0.5317</v>
      </c>
      <c r="W134" s="12" t="n">
        <v>0.4588</v>
      </c>
      <c r="X134" s="3" t="n">
        <v>0.8055</v>
      </c>
      <c r="Y134" s="3" t="n">
        <v>0.8543</v>
      </c>
      <c r="Z134" s="14" t="n">
        <f aca="false">Assumptions!$B$3*R134+Assumptions!$B$4*S134+IF(AA134=1,Assumptions!$B$11,Assumptions!$B$5)*X134+IF(AA134=1,Assumptions!$B$12,Assumptions!$B$6)*T134+Assumptions!$B$7*U134+Assumptions!$B$8*V134+Assumptions!$B$9*Y134</f>
        <v>0.61939</v>
      </c>
      <c r="AA134" s="3" t="n">
        <v>0</v>
      </c>
    </row>
    <row r="135" customFormat="false" ht="15" hidden="false" customHeight="false" outlineLevel="0" collapsed="false">
      <c r="A135" s="3" t="s">
        <v>320</v>
      </c>
      <c r="B135" s="3" t="n">
        <v>580</v>
      </c>
      <c r="C135" s="11" t="str">
        <f aca="false">IF(M135&gt;=Assumptions!$B$17,"S+",IF(M135&gt;=Assumptions!$B$18,"S",IF(M135&gt;=Assumptions!$B$19,"A",IF(M135&gt;=Assumptions!$B$20,"B",IF(M135&gt;=Assumptions!$B$21,"C",IF(M135&gt;=Assumptions!$B$22,"D","F"))))))</f>
        <v>A</v>
      </c>
      <c r="D135" s="3" t="s">
        <v>203</v>
      </c>
      <c r="E135" s="3" t="n">
        <v>9</v>
      </c>
      <c r="F135" s="12" t="n">
        <v>0.9125</v>
      </c>
      <c r="G135" s="12" t="n">
        <v>0.8</v>
      </c>
      <c r="H135" s="12" t="n">
        <v>0.75</v>
      </c>
      <c r="I135" s="12" t="n">
        <v>0.8238</v>
      </c>
      <c r="J135" s="12" t="n">
        <v>0.4097</v>
      </c>
      <c r="K135" s="12" t="n">
        <v>0.6218</v>
      </c>
      <c r="L135" s="3" t="n">
        <v>4</v>
      </c>
      <c r="M135" s="12" t="n">
        <f aca="false">Z135-W135</f>
        <v>0.1601</v>
      </c>
      <c r="N135" s="12" t="n">
        <f aca="false">IFERROR((Z135-J135)/L135,"")</f>
        <v>0.053025</v>
      </c>
      <c r="O135" s="3" t="n">
        <v>11</v>
      </c>
      <c r="P135" s="13" t="b">
        <f aca="false">TRUE()</f>
        <v>1</v>
      </c>
      <c r="Q135" s="3" t="s">
        <v>166</v>
      </c>
      <c r="R135" s="12" t="n">
        <v>0.8247</v>
      </c>
      <c r="S135" s="12" t="n">
        <v>0.5872</v>
      </c>
      <c r="T135" s="3" t="n">
        <v>0.3649</v>
      </c>
      <c r="U135" s="12" t="n">
        <v>0.4335</v>
      </c>
      <c r="V135" s="12" t="n">
        <v>0.5548</v>
      </c>
      <c r="W135" s="12" t="n">
        <v>0.4617</v>
      </c>
      <c r="X135" s="3" t="n">
        <v>0.5542</v>
      </c>
      <c r="Y135" s="3" t="n">
        <v>0.8246</v>
      </c>
      <c r="Z135" s="14" t="n">
        <f aca="false">Assumptions!$B$3*R135+Assumptions!$B$4*S135+IF(AA135=1,Assumptions!$B$11,Assumptions!$B$5)*X135+IF(AA135=1,Assumptions!$B$12,Assumptions!$B$6)*T135+Assumptions!$B$7*U135+Assumptions!$B$8*V135+Assumptions!$B$9*Y135</f>
        <v>0.6218</v>
      </c>
      <c r="AA135" s="3" t="n">
        <v>0</v>
      </c>
    </row>
    <row r="136" customFormat="false" ht="15" hidden="false" customHeight="false" outlineLevel="0" collapsed="false">
      <c r="A136" s="3" t="s">
        <v>321</v>
      </c>
      <c r="B136" s="3" t="n">
        <v>590</v>
      </c>
      <c r="C136" s="11" t="str">
        <f aca="false">IF(M136&gt;=Assumptions!$B$17,"S+",IF(M136&gt;=Assumptions!$B$18,"S",IF(M136&gt;=Assumptions!$B$19,"A",IF(M136&gt;=Assumptions!$B$20,"B",IF(M136&gt;=Assumptions!$B$21,"C",IF(M136&gt;=Assumptions!$B$22,"D","F"))))))</f>
        <v>A</v>
      </c>
      <c r="D136" s="3" t="s">
        <v>190</v>
      </c>
      <c r="E136" s="3" t="n">
        <v>1</v>
      </c>
      <c r="F136" s="12" t="n">
        <v>0.7071</v>
      </c>
      <c r="G136" s="12" t="n">
        <v>0.8</v>
      </c>
      <c r="H136" s="12" t="n">
        <v>0.75</v>
      </c>
      <c r="I136" s="12" t="n">
        <v>0.7547</v>
      </c>
      <c r="J136" s="12" t="n">
        <v>0.4856</v>
      </c>
      <c r="K136" s="12" t="n">
        <v>0.6511</v>
      </c>
      <c r="L136" s="3" t="n">
        <v>3.61</v>
      </c>
      <c r="M136" s="12" t="n">
        <f aca="false">Z136-W136</f>
        <v>0.159895</v>
      </c>
      <c r="N136" s="12" t="n">
        <f aca="false">IFERROR((Z136-J136)/L136,"")</f>
        <v>0.0458434903047091</v>
      </c>
      <c r="O136" s="3" t="n">
        <v>19</v>
      </c>
      <c r="P136" s="13" t="b">
        <f aca="false">FALSE()</f>
        <v>0</v>
      </c>
      <c r="Q136" s="3" t="s">
        <v>166</v>
      </c>
      <c r="R136" s="12" t="n">
        <v>0.8029</v>
      </c>
      <c r="S136" s="12" t="n">
        <v>0.7971</v>
      </c>
      <c r="T136" s="3" t="n">
        <v>0.51</v>
      </c>
      <c r="U136" s="12" t="n">
        <v>0.3198</v>
      </c>
      <c r="V136" s="12" t="n">
        <v>0.492</v>
      </c>
      <c r="W136" s="12" t="n">
        <v>0.4912</v>
      </c>
      <c r="X136" s="3" t="n">
        <v>0.6476</v>
      </c>
      <c r="Y136" s="3" t="n">
        <v>0.7186</v>
      </c>
      <c r="Z136" s="14" t="n">
        <f aca="false">Assumptions!$B$3*R136+Assumptions!$B$4*S136+IF(AA136=1,Assumptions!$B$11,Assumptions!$B$5)*X136+IF(AA136=1,Assumptions!$B$12,Assumptions!$B$6)*T136+Assumptions!$B$7*U136+Assumptions!$B$8*V136+Assumptions!$B$9*Y136</f>
        <v>0.651095</v>
      </c>
      <c r="AA136" s="3" t="n">
        <v>0</v>
      </c>
    </row>
    <row r="137" customFormat="false" ht="15" hidden="false" customHeight="false" outlineLevel="0" collapsed="false">
      <c r="A137" s="3" t="s">
        <v>322</v>
      </c>
      <c r="B137" s="3" t="n">
        <v>590</v>
      </c>
      <c r="C137" s="11" t="str">
        <f aca="false">IF(M137&gt;=Assumptions!$B$17,"S+",IF(M137&gt;=Assumptions!$B$18,"S",IF(M137&gt;=Assumptions!$B$19,"A",IF(M137&gt;=Assumptions!$B$20,"B",IF(M137&gt;=Assumptions!$B$21,"C",IF(M137&gt;=Assumptions!$B$22,"D","F"))))))</f>
        <v>A</v>
      </c>
      <c r="D137" s="3" t="s">
        <v>190</v>
      </c>
      <c r="E137" s="3" t="n">
        <v>1</v>
      </c>
      <c r="F137" s="12" t="n">
        <v>0.9041</v>
      </c>
      <c r="G137" s="12" t="n">
        <v>1</v>
      </c>
      <c r="H137" s="12" t="n">
        <v>0.75</v>
      </c>
      <c r="I137" s="12" t="n">
        <v>0.9136</v>
      </c>
      <c r="J137" s="12" t="n">
        <v>0.4384</v>
      </c>
      <c r="K137" s="12" t="n">
        <v>0.6507</v>
      </c>
      <c r="L137" s="3" t="n">
        <v>3.74</v>
      </c>
      <c r="M137" s="12" t="n">
        <f aca="false">Z137-W137</f>
        <v>0.159784</v>
      </c>
      <c r="N137" s="12" t="n">
        <f aca="false">IFERROR((Z137-J137)/L137,"")</f>
        <v>0.0567604278074866</v>
      </c>
      <c r="O137" s="3" t="n">
        <v>19</v>
      </c>
      <c r="P137" s="13" t="b">
        <f aca="false">FALSE()</f>
        <v>0</v>
      </c>
      <c r="Q137" s="3" t="s">
        <v>166</v>
      </c>
      <c r="R137" s="12" t="n">
        <v>0.8589</v>
      </c>
      <c r="S137" s="12" t="n">
        <v>0.5209</v>
      </c>
      <c r="T137" s="3" t="n">
        <v>0.7368</v>
      </c>
      <c r="U137" s="12" t="n">
        <v>0.4454</v>
      </c>
      <c r="V137" s="12" t="n">
        <v>0.3867</v>
      </c>
      <c r="W137" s="12" t="n">
        <v>0.4909</v>
      </c>
      <c r="X137" s="3" t="n">
        <v>0.5442</v>
      </c>
      <c r="Y137" s="3" t="n">
        <v>0.8667</v>
      </c>
      <c r="Z137" s="14" t="n">
        <f aca="false">Assumptions!$B$3*R137+Assumptions!$B$4*S137+IF(AA137=1,Assumptions!$B$11,Assumptions!$B$5)*X137+IF(AA137=1,Assumptions!$B$12,Assumptions!$B$6)*T137+Assumptions!$B$7*U137+Assumptions!$B$8*V137+Assumptions!$B$9*Y137</f>
        <v>0.650684</v>
      </c>
      <c r="AA137" s="3" t="n">
        <v>0</v>
      </c>
    </row>
    <row r="138" customFormat="false" ht="15" hidden="false" customHeight="false" outlineLevel="0" collapsed="false">
      <c r="A138" s="3" t="s">
        <v>323</v>
      </c>
      <c r="B138" s="3" t="n">
        <v>530</v>
      </c>
      <c r="C138" s="11" t="str">
        <f aca="false">IF(M138&gt;=Assumptions!$B$17,"S+",IF(M138&gt;=Assumptions!$B$18,"S",IF(M138&gt;=Assumptions!$B$19,"A",IF(M138&gt;=Assumptions!$B$20,"B",IF(M138&gt;=Assumptions!$B$21,"C",IF(M138&gt;=Assumptions!$B$22,"D","F"))))))</f>
        <v>A</v>
      </c>
      <c r="D138" s="3" t="s">
        <v>206</v>
      </c>
      <c r="E138" s="3" t="n">
        <v>1</v>
      </c>
      <c r="F138" s="12" t="n">
        <v>0.9937</v>
      </c>
      <c r="G138" s="12" t="n">
        <v>0.64</v>
      </c>
      <c r="H138" s="12" t="n">
        <v>0.5476</v>
      </c>
      <c r="I138" s="12" t="n">
        <v>0.7159</v>
      </c>
      <c r="J138" s="12" t="n">
        <v>0.4309</v>
      </c>
      <c r="K138" s="12" t="n">
        <v>0.5928</v>
      </c>
      <c r="L138" s="3" t="n">
        <v>5.37</v>
      </c>
      <c r="M138" s="12" t="n">
        <f aca="false">Z138-W138</f>
        <v>0.159253</v>
      </c>
      <c r="N138" s="12" t="n">
        <f aca="false">IFERROR((Z138-J138)/L138,"")</f>
        <v>0.0301588454376164</v>
      </c>
      <c r="O138" s="3" t="n">
        <v>19</v>
      </c>
      <c r="P138" s="13" t="b">
        <f aca="false">FALSE()</f>
        <v>0</v>
      </c>
      <c r="Q138" s="3" t="s">
        <v>166</v>
      </c>
      <c r="R138" s="12" t="n">
        <v>0.7162</v>
      </c>
      <c r="S138" s="12" t="n">
        <v>0.8064</v>
      </c>
      <c r="T138" s="3" t="n">
        <v>0.1326</v>
      </c>
      <c r="U138" s="12" t="n">
        <v>0.2551</v>
      </c>
      <c r="V138" s="12" t="n">
        <v>0.4905</v>
      </c>
      <c r="W138" s="12" t="n">
        <v>0.4336</v>
      </c>
      <c r="X138" s="3" t="n">
        <v>0.5598</v>
      </c>
      <c r="Y138" s="3" t="n">
        <v>0.6656</v>
      </c>
      <c r="Z138" s="14" t="n">
        <f aca="false">Assumptions!$B$3*R138+Assumptions!$B$4*S138+IF(AA138=1,Assumptions!$B$11,Assumptions!$B$5)*X138+IF(AA138=1,Assumptions!$B$12,Assumptions!$B$6)*T138+Assumptions!$B$7*U138+Assumptions!$B$8*V138+Assumptions!$B$9*Y138</f>
        <v>0.592853</v>
      </c>
      <c r="AA138" s="3" t="n">
        <v>1</v>
      </c>
    </row>
    <row r="139" customFormat="false" ht="15" hidden="false" customHeight="false" outlineLevel="0" collapsed="false">
      <c r="A139" s="3" t="s">
        <v>324</v>
      </c>
      <c r="B139" s="3" t="n">
        <v>505</v>
      </c>
      <c r="C139" s="11" t="str">
        <f aca="false">IF(M139&gt;=Assumptions!$B$17,"S+",IF(M139&gt;=Assumptions!$B$18,"S",IF(M139&gt;=Assumptions!$B$19,"A",IF(M139&gt;=Assumptions!$B$20,"B",IF(M139&gt;=Assumptions!$B$21,"C",IF(M139&gt;=Assumptions!$B$22,"D","F"))))))</f>
        <v>A</v>
      </c>
      <c r="D139" s="3" t="s">
        <v>173</v>
      </c>
      <c r="E139" s="3" t="n">
        <v>4</v>
      </c>
      <c r="F139" s="12" t="n">
        <v>0.8175</v>
      </c>
      <c r="G139" s="12" t="n">
        <v>0.45</v>
      </c>
      <c r="H139" s="12" t="n">
        <v>0.75</v>
      </c>
      <c r="I139" s="12" t="n">
        <v>0.5762</v>
      </c>
      <c r="J139" s="12" t="n">
        <v>0.3592</v>
      </c>
      <c r="K139" s="12" t="n">
        <v>0.5909</v>
      </c>
      <c r="L139" s="3" t="n">
        <v>3.84</v>
      </c>
      <c r="M139" s="12" t="n">
        <f aca="false">Z139-W139</f>
        <v>0.15867</v>
      </c>
      <c r="N139" s="12" t="n">
        <f aca="false">IFERROR((Z139-J139)/L139,"")</f>
        <v>0.0603567708333333</v>
      </c>
      <c r="O139" s="3" t="n">
        <v>16</v>
      </c>
      <c r="P139" s="13" t="b">
        <f aca="false">FALSE()</f>
        <v>0</v>
      </c>
      <c r="Q139" s="3" t="s">
        <v>166</v>
      </c>
      <c r="R139" s="12" t="n">
        <v>0.6504</v>
      </c>
      <c r="S139" s="12" t="n">
        <v>0.5718</v>
      </c>
      <c r="T139" s="3" t="n">
        <v>0.3391</v>
      </c>
      <c r="U139" s="12" t="n">
        <v>0.4182</v>
      </c>
      <c r="V139" s="12" t="n">
        <v>0.4254</v>
      </c>
      <c r="W139" s="12" t="n">
        <v>0.4323</v>
      </c>
      <c r="X139" s="3" t="n">
        <v>0.7372</v>
      </c>
      <c r="Y139" s="3" t="n">
        <v>0.5699</v>
      </c>
      <c r="Z139" s="14" t="n">
        <f aca="false">Assumptions!$B$3*R139+Assumptions!$B$4*S139+IF(AA139=1,Assumptions!$B$11,Assumptions!$B$5)*X139+IF(AA139=1,Assumptions!$B$12,Assumptions!$B$6)*T139+Assumptions!$B$7*U139+Assumptions!$B$8*V139+Assumptions!$B$9*Y139</f>
        <v>0.59097</v>
      </c>
      <c r="AA139" s="3" t="n">
        <v>1</v>
      </c>
    </row>
    <row r="140" customFormat="false" ht="15" hidden="false" customHeight="false" outlineLevel="0" collapsed="false">
      <c r="A140" s="3" t="s">
        <v>325</v>
      </c>
      <c r="B140" s="3" t="n">
        <v>700</v>
      </c>
      <c r="C140" s="11" t="str">
        <f aca="false">IF(M140&gt;=Assumptions!$B$17,"S+",IF(M140&gt;=Assumptions!$B$18,"S",IF(M140&gt;=Assumptions!$B$19,"A",IF(M140&gt;=Assumptions!$B$20,"B",IF(M140&gt;=Assumptions!$B$21,"C",IF(M140&gt;=Assumptions!$B$22,"D","F"))))))</f>
        <v>A</v>
      </c>
      <c r="D140" s="3" t="s">
        <v>218</v>
      </c>
      <c r="E140" s="3" t="n">
        <v>18</v>
      </c>
      <c r="F140" s="12" t="n">
        <v>0.9596</v>
      </c>
      <c r="G140" s="12" t="n">
        <v>0.4</v>
      </c>
      <c r="H140" s="12" t="n">
        <v>0.75</v>
      </c>
      <c r="I140" s="12" t="n">
        <v>0.6491</v>
      </c>
      <c r="J140" s="12" t="n">
        <v>0.4274</v>
      </c>
      <c r="K140" s="12" t="n">
        <v>0.625</v>
      </c>
      <c r="L140" s="3" t="n">
        <v>4</v>
      </c>
      <c r="M140" s="12" t="n">
        <f aca="false">Z140-W140</f>
        <v>0.157994</v>
      </c>
      <c r="N140" s="12" t="n">
        <f aca="false">IFERROR((Z140-J140)/L140,"")</f>
        <v>0.0493985</v>
      </c>
      <c r="O140" s="3" t="n">
        <v>2</v>
      </c>
      <c r="P140" s="13" t="b">
        <f aca="false">FALSE()</f>
        <v>0</v>
      </c>
      <c r="Q140" s="3" t="s">
        <v>166</v>
      </c>
      <c r="R140" s="12" t="n">
        <v>0.9656</v>
      </c>
      <c r="S140" s="12" t="n">
        <v>0.544</v>
      </c>
      <c r="T140" s="3" t="n">
        <v>0.375</v>
      </c>
      <c r="U140" s="12" t="n">
        <v>0.3846</v>
      </c>
      <c r="V140" s="12" t="n">
        <v>0.5008</v>
      </c>
      <c r="W140" s="12" t="n">
        <v>0.467</v>
      </c>
      <c r="X140" s="3" t="n">
        <v>0.5555</v>
      </c>
      <c r="Y140" s="3" t="n">
        <v>0.6491</v>
      </c>
      <c r="Z140" s="14" t="n">
        <f aca="false">Assumptions!$B$3*R140+Assumptions!$B$4*S140+IF(AA140=1,Assumptions!$B$11,Assumptions!$B$5)*X140+IF(AA140=1,Assumptions!$B$12,Assumptions!$B$6)*T140+Assumptions!$B$7*U140+Assumptions!$B$8*V140+Assumptions!$B$9*Y140</f>
        <v>0.624994</v>
      </c>
      <c r="AA140" s="3" t="n">
        <v>0</v>
      </c>
    </row>
    <row r="141" customFormat="false" ht="15" hidden="false" customHeight="false" outlineLevel="0" collapsed="false">
      <c r="A141" s="3" t="s">
        <v>326</v>
      </c>
      <c r="B141" s="3" t="n">
        <v>526</v>
      </c>
      <c r="C141" s="11" t="str">
        <f aca="false">IF(M141&gt;=Assumptions!$B$17,"S+",IF(M141&gt;=Assumptions!$B$18,"S",IF(M141&gt;=Assumptions!$B$19,"A",IF(M141&gt;=Assumptions!$B$20,"B",IF(M141&gt;=Assumptions!$B$21,"C",IF(M141&gt;=Assumptions!$B$22,"D","F"))))))</f>
        <v>A</v>
      </c>
      <c r="D141" s="3" t="s">
        <v>218</v>
      </c>
      <c r="E141" s="3" t="n">
        <v>7</v>
      </c>
      <c r="F141" s="12" t="n">
        <v>0.5459</v>
      </c>
      <c r="G141" s="12" t="n">
        <v>1</v>
      </c>
      <c r="H141" s="12" t="n">
        <v>0.75</v>
      </c>
      <c r="I141" s="12" t="n">
        <v>0.8047</v>
      </c>
      <c r="J141" s="12" t="n">
        <v>0.424</v>
      </c>
      <c r="K141" s="12" t="n">
        <v>0.6684</v>
      </c>
      <c r="L141" s="3" t="n">
        <v>4</v>
      </c>
      <c r="M141" s="12" t="n">
        <f aca="false">Z141-W141</f>
        <v>0.157715</v>
      </c>
      <c r="N141" s="12" t="n">
        <f aca="false">IFERROR((Z141-J141)/L141,"")</f>
        <v>0.06110375</v>
      </c>
      <c r="O141" s="3" t="n">
        <v>13</v>
      </c>
      <c r="P141" s="13" t="b">
        <f aca="false">FALSE()</f>
        <v>0</v>
      </c>
      <c r="Q141" s="3" t="s">
        <v>166</v>
      </c>
      <c r="R141" s="12" t="n">
        <v>0.8171</v>
      </c>
      <c r="S141" s="12" t="n">
        <v>0.6397</v>
      </c>
      <c r="T141" s="3" t="n">
        <v>0.3547</v>
      </c>
      <c r="U141" s="12" t="n">
        <v>0.503</v>
      </c>
      <c r="V141" s="12" t="n">
        <v>0.5892</v>
      </c>
      <c r="W141" s="12" t="n">
        <v>0.5107</v>
      </c>
      <c r="X141" s="3" t="n">
        <v>0.7783</v>
      </c>
      <c r="Y141" s="3" t="n">
        <v>0.7781</v>
      </c>
      <c r="Z141" s="14" t="n">
        <f aca="false">Assumptions!$B$3*R141+Assumptions!$B$4*S141+IF(AA141=1,Assumptions!$B$11,Assumptions!$B$5)*X141+IF(AA141=1,Assumptions!$B$12,Assumptions!$B$6)*T141+Assumptions!$B$7*U141+Assumptions!$B$8*V141+Assumptions!$B$9*Y141</f>
        <v>0.668415</v>
      </c>
      <c r="AA141" s="3" t="n">
        <v>0</v>
      </c>
    </row>
    <row r="142" customFormat="false" ht="15" hidden="false" customHeight="false" outlineLevel="0" collapsed="false">
      <c r="A142" s="3" t="s">
        <v>327</v>
      </c>
      <c r="B142" s="3" t="n">
        <v>500</v>
      </c>
      <c r="C142" s="11" t="str">
        <f aca="false">IF(M142&gt;=Assumptions!$B$17,"S+",IF(M142&gt;=Assumptions!$B$18,"S",IF(M142&gt;=Assumptions!$B$19,"A",IF(M142&gt;=Assumptions!$B$20,"B",IF(M142&gt;=Assumptions!$B$21,"C",IF(M142&gt;=Assumptions!$B$22,"D","F"))))))</f>
        <v>A</v>
      </c>
      <c r="D142" s="3" t="s">
        <v>247</v>
      </c>
      <c r="E142" s="3" t="n">
        <v>4</v>
      </c>
      <c r="F142" s="12" t="n">
        <v>0.7696</v>
      </c>
      <c r="G142" s="12" t="n">
        <v>0.6</v>
      </c>
      <c r="H142" s="12" t="n">
        <v>0.75</v>
      </c>
      <c r="I142" s="12" t="n">
        <v>0.6843</v>
      </c>
      <c r="J142" s="12" t="n">
        <v>0.3719</v>
      </c>
      <c r="K142" s="12" t="n">
        <v>0.6154</v>
      </c>
      <c r="L142" s="3" t="n">
        <v>5.94</v>
      </c>
      <c r="M142" s="12" t="n">
        <f aca="false">Z142-W142</f>
        <v>0.155831</v>
      </c>
      <c r="N142" s="12" t="n">
        <f aca="false">IFERROR((Z142-J142)/L142,"")</f>
        <v>0.0409816498316498</v>
      </c>
      <c r="O142" s="3" t="n">
        <v>16</v>
      </c>
      <c r="P142" s="13" t="b">
        <f aca="false">FALSE()</f>
        <v>0</v>
      </c>
      <c r="Q142" s="3" t="s">
        <v>166</v>
      </c>
      <c r="R142" s="12" t="n">
        <v>0.8362</v>
      </c>
      <c r="S142" s="12" t="n">
        <v>0.6674</v>
      </c>
      <c r="T142" s="3" t="n">
        <v>0.0695</v>
      </c>
      <c r="U142" s="12" t="n">
        <v>0.3942</v>
      </c>
      <c r="V142" s="12" t="n">
        <v>0.4705</v>
      </c>
      <c r="W142" s="12" t="n">
        <v>0.4595</v>
      </c>
      <c r="X142" s="3" t="n">
        <v>0.8234</v>
      </c>
      <c r="Y142" s="3" t="n">
        <v>0.6655</v>
      </c>
      <c r="Z142" s="14" t="n">
        <f aca="false">Assumptions!$B$3*R142+Assumptions!$B$4*S142+IF(AA142=1,Assumptions!$B$11,Assumptions!$B$5)*X142+IF(AA142=1,Assumptions!$B$12,Assumptions!$B$6)*T142+Assumptions!$B$7*U142+Assumptions!$B$8*V142+Assumptions!$B$9*Y142</f>
        <v>0.615331</v>
      </c>
      <c r="AA142" s="3" t="n">
        <v>0</v>
      </c>
    </row>
    <row r="143" customFormat="false" ht="15" hidden="false" customHeight="false" outlineLevel="0" collapsed="false">
      <c r="A143" s="3" t="s">
        <v>328</v>
      </c>
      <c r="B143" s="3" t="n">
        <v>640</v>
      </c>
      <c r="C143" s="11" t="str">
        <f aca="false">IF(M143&gt;=Assumptions!$B$17,"S+",IF(M143&gt;=Assumptions!$B$18,"S",IF(M143&gt;=Assumptions!$B$19,"A",IF(M143&gt;=Assumptions!$B$20,"B",IF(M143&gt;=Assumptions!$B$21,"C",IF(M143&gt;=Assumptions!$B$22,"D","F"))))))</f>
        <v>A</v>
      </c>
      <c r="D143" s="3" t="s">
        <v>218</v>
      </c>
      <c r="E143" s="3" t="n">
        <v>11</v>
      </c>
      <c r="F143" s="12" t="n">
        <v>0.9513</v>
      </c>
      <c r="G143" s="12" t="n">
        <v>0.8</v>
      </c>
      <c r="H143" s="12" t="n">
        <v>0.75</v>
      </c>
      <c r="I143" s="12" t="n">
        <v>0.8384</v>
      </c>
      <c r="J143" s="12" t="n">
        <v>0.4193</v>
      </c>
      <c r="K143" s="12" t="n">
        <v>0.6641</v>
      </c>
      <c r="L143" s="3" t="n">
        <v>4</v>
      </c>
      <c r="M143" s="12" t="n">
        <f aca="false">Z143-W143</f>
        <v>0.155531</v>
      </c>
      <c r="N143" s="12" t="n">
        <f aca="false">IFERROR((Z143-J143)/L143,"")</f>
        <v>0.06120775</v>
      </c>
      <c r="O143" s="3" t="n">
        <v>9</v>
      </c>
      <c r="P143" s="13" t="b">
        <f aca="false">FALSE()</f>
        <v>0</v>
      </c>
      <c r="Q143" s="3" t="s">
        <v>166</v>
      </c>
      <c r="R143" s="12" t="n">
        <v>0.9273</v>
      </c>
      <c r="S143" s="12" t="n">
        <v>0.639</v>
      </c>
      <c r="T143" s="3" t="n">
        <v>0.2006</v>
      </c>
      <c r="U143" s="12" t="n">
        <v>0.3846</v>
      </c>
      <c r="V143" s="12" t="n">
        <v>0.4693</v>
      </c>
      <c r="W143" s="12" t="n">
        <v>0.5086</v>
      </c>
      <c r="X143" s="3" t="n">
        <v>0.8138</v>
      </c>
      <c r="Y143" s="3" t="n">
        <v>0.8282</v>
      </c>
      <c r="Z143" s="14" t="n">
        <f aca="false">Assumptions!$B$3*R143+Assumptions!$B$4*S143+IF(AA143=1,Assumptions!$B$11,Assumptions!$B$5)*X143+IF(AA143=1,Assumptions!$B$12,Assumptions!$B$6)*T143+Assumptions!$B$7*U143+Assumptions!$B$8*V143+Assumptions!$B$9*Y143</f>
        <v>0.664131</v>
      </c>
      <c r="AA143" s="3" t="n">
        <v>0</v>
      </c>
    </row>
    <row r="144" customFormat="false" ht="15" hidden="false" customHeight="false" outlineLevel="0" collapsed="false">
      <c r="A144" s="3" t="s">
        <v>329</v>
      </c>
      <c r="B144" s="3" t="n">
        <v>600</v>
      </c>
      <c r="C144" s="11" t="str">
        <f aca="false">IF(M144&gt;=Assumptions!$B$17,"S+",IF(M144&gt;=Assumptions!$B$18,"S",IF(M144&gt;=Assumptions!$B$19,"A",IF(M144&gt;=Assumptions!$B$20,"B",IF(M144&gt;=Assumptions!$B$21,"C",IF(M144&gt;=Assumptions!$B$22,"D","F"))))))</f>
        <v>A</v>
      </c>
      <c r="D144" s="3" t="s">
        <v>197</v>
      </c>
      <c r="E144" s="3" t="n">
        <v>9</v>
      </c>
      <c r="F144" s="12" t="n">
        <v>0.9877</v>
      </c>
      <c r="G144" s="12" t="n">
        <v>0.4</v>
      </c>
      <c r="H144" s="12" t="n">
        <v>0.75</v>
      </c>
      <c r="I144" s="12" t="n">
        <v>0.6933</v>
      </c>
      <c r="J144" s="12" t="n">
        <v>0.4039</v>
      </c>
      <c r="K144" s="12" t="n">
        <v>0.6401</v>
      </c>
      <c r="L144" s="3" t="n">
        <v>4</v>
      </c>
      <c r="M144" s="12" t="n">
        <f aca="false">Z144-W144</f>
        <v>0.1552</v>
      </c>
      <c r="N144" s="12" t="n">
        <f aca="false">IFERROR((Z144-J144)/L144,"")</f>
        <v>0.05905</v>
      </c>
      <c r="O144" s="3" t="n">
        <v>11</v>
      </c>
      <c r="P144" s="13" t="b">
        <f aca="false">TRUE()</f>
        <v>1</v>
      </c>
      <c r="Q144" s="3" t="s">
        <v>166</v>
      </c>
      <c r="R144" s="12" t="n">
        <v>0.9146</v>
      </c>
      <c r="S144" s="12" t="n">
        <v>0.2579</v>
      </c>
      <c r="T144" s="3" t="n">
        <v>0.8071</v>
      </c>
      <c r="U144" s="12" t="n">
        <v>0.5594</v>
      </c>
      <c r="V144" s="12" t="n">
        <v>0.4787</v>
      </c>
      <c r="W144" s="12" t="n">
        <v>0.4849</v>
      </c>
      <c r="X144" s="3" t="n">
        <v>0.555</v>
      </c>
      <c r="Y144" s="3" t="n">
        <v>0.6937</v>
      </c>
      <c r="Z144" s="14" t="n">
        <f aca="false">Assumptions!$B$3*R144+Assumptions!$B$4*S144+IF(AA144=1,Assumptions!$B$11,Assumptions!$B$5)*X144+IF(AA144=1,Assumptions!$B$12,Assumptions!$B$6)*T144+Assumptions!$B$7*U144+Assumptions!$B$8*V144+Assumptions!$B$9*Y144</f>
        <v>0.6401</v>
      </c>
      <c r="AA144" s="3" t="n">
        <v>0</v>
      </c>
    </row>
    <row r="145" customFormat="false" ht="15" hidden="false" customHeight="false" outlineLevel="0" collapsed="false">
      <c r="A145" s="3" t="s">
        <v>330</v>
      </c>
      <c r="B145" s="3" t="n">
        <v>505</v>
      </c>
      <c r="C145" s="11" t="str">
        <f aca="false">IF(M145&gt;=Assumptions!$B$17,"S+",IF(M145&gt;=Assumptions!$B$18,"S",IF(M145&gt;=Assumptions!$B$19,"A",IF(M145&gt;=Assumptions!$B$20,"B",IF(M145&gt;=Assumptions!$B$21,"C",IF(M145&gt;=Assumptions!$B$22,"D","F"))))))</f>
        <v>A</v>
      </c>
      <c r="D145" s="3" t="s">
        <v>183</v>
      </c>
      <c r="E145" s="3" t="n">
        <v>4</v>
      </c>
      <c r="F145" s="12" t="n">
        <v>0.9374</v>
      </c>
      <c r="G145" s="12" t="n">
        <v>0.64</v>
      </c>
      <c r="H145" s="12" t="n">
        <v>0.4762</v>
      </c>
      <c r="I145" s="12" t="n">
        <v>0.6823</v>
      </c>
      <c r="J145" s="12" t="n">
        <v>0.3423</v>
      </c>
      <c r="K145" s="12" t="n">
        <v>0.6442</v>
      </c>
      <c r="L145" s="3" t="n">
        <v>4.94</v>
      </c>
      <c r="M145" s="12" t="n">
        <f aca="false">Z145-W145</f>
        <v>0.154953</v>
      </c>
      <c r="N145" s="12" t="n">
        <f aca="false">IFERROR((Z145-J145)/L145,"")</f>
        <v>0.0611240890688259</v>
      </c>
      <c r="O145" s="3" t="n">
        <v>16</v>
      </c>
      <c r="P145" s="13" t="b">
        <f aca="false">FALSE()</f>
        <v>0</v>
      </c>
      <c r="Q145" s="3" t="s">
        <v>166</v>
      </c>
      <c r="R145" s="12" t="n">
        <v>0.8647</v>
      </c>
      <c r="S145" s="12" t="n">
        <v>0.8182</v>
      </c>
      <c r="T145" s="3" t="n">
        <v>0.028</v>
      </c>
      <c r="U145" s="12" t="n">
        <v>0.2692</v>
      </c>
      <c r="V145" s="12" t="n">
        <v>0.4637</v>
      </c>
      <c r="W145" s="12" t="n">
        <v>0.4893</v>
      </c>
      <c r="X145" s="3" t="n">
        <v>0.6376</v>
      </c>
      <c r="Y145" s="3" t="n">
        <v>0.6463</v>
      </c>
      <c r="Z145" s="14" t="n">
        <f aca="false">Assumptions!$B$3*R145+Assumptions!$B$4*S145+IF(AA145=1,Assumptions!$B$11,Assumptions!$B$5)*X145+IF(AA145=1,Assumptions!$B$12,Assumptions!$B$6)*T145+Assumptions!$B$7*U145+Assumptions!$B$8*V145+Assumptions!$B$9*Y145</f>
        <v>0.644253</v>
      </c>
      <c r="AA145" s="3" t="n">
        <v>1</v>
      </c>
    </row>
    <row r="146" customFormat="false" ht="15" hidden="false" customHeight="false" outlineLevel="0" collapsed="false">
      <c r="A146" s="3" t="s">
        <v>331</v>
      </c>
      <c r="B146" s="3" t="n">
        <v>600</v>
      </c>
      <c r="C146" s="11" t="str">
        <f aca="false">IF(M146&gt;=Assumptions!$B$17,"S+",IF(M146&gt;=Assumptions!$B$18,"S",IF(M146&gt;=Assumptions!$B$19,"A",IF(M146&gt;=Assumptions!$B$20,"B",IF(M146&gt;=Assumptions!$B$21,"C",IF(M146&gt;=Assumptions!$B$22,"D","F"))))))</f>
        <v>A</v>
      </c>
      <c r="D146" s="3" t="s">
        <v>218</v>
      </c>
      <c r="E146" s="3" t="n">
        <v>7</v>
      </c>
      <c r="F146" s="12" t="n">
        <v>0.8359</v>
      </c>
      <c r="G146" s="12" t="n">
        <v>1</v>
      </c>
      <c r="H146" s="12" t="n">
        <v>0.75</v>
      </c>
      <c r="I146" s="12" t="n">
        <v>0.8975</v>
      </c>
      <c r="J146" s="12" t="n">
        <v>0.4354</v>
      </c>
      <c r="K146" s="12" t="n">
        <v>0.6653</v>
      </c>
      <c r="L146" s="3" t="n">
        <v>4</v>
      </c>
      <c r="M146" s="12" t="n">
        <f aca="false">Z146-W146</f>
        <v>0.154571</v>
      </c>
      <c r="N146" s="12" t="n">
        <f aca="false">IFERROR((Z146-J146)/L146,"")</f>
        <v>0.05746775</v>
      </c>
      <c r="O146" s="3" t="n">
        <v>13</v>
      </c>
      <c r="P146" s="13" t="b">
        <f aca="false">TRUE()</f>
        <v>1</v>
      </c>
      <c r="Q146" s="3" t="s">
        <v>166</v>
      </c>
      <c r="R146" s="12" t="n">
        <v>0.8889</v>
      </c>
      <c r="S146" s="12" t="n">
        <v>0.6001</v>
      </c>
      <c r="T146" s="3" t="n">
        <v>0.5833</v>
      </c>
      <c r="U146" s="12" t="n">
        <v>0.3846</v>
      </c>
      <c r="V146" s="12" t="n">
        <v>0.524</v>
      </c>
      <c r="W146" s="12" t="n">
        <v>0.5107</v>
      </c>
      <c r="X146" s="3" t="n">
        <v>0.5506</v>
      </c>
      <c r="Y146" s="3" t="n">
        <v>0.8995</v>
      </c>
      <c r="Z146" s="14" t="n">
        <f aca="false">Assumptions!$B$3*R146+Assumptions!$B$4*S146+IF(AA146=1,Assumptions!$B$11,Assumptions!$B$5)*X146+IF(AA146=1,Assumptions!$B$12,Assumptions!$B$6)*T146+Assumptions!$B$7*U146+Assumptions!$B$8*V146+Assumptions!$B$9*Y146</f>
        <v>0.665271</v>
      </c>
      <c r="AA146" s="3" t="n">
        <v>0</v>
      </c>
    </row>
    <row r="147" customFormat="false" ht="15" hidden="false" customHeight="false" outlineLevel="0" collapsed="false">
      <c r="A147" s="3" t="s">
        <v>332</v>
      </c>
      <c r="B147" s="3" t="n">
        <v>525</v>
      </c>
      <c r="C147" s="11" t="str">
        <f aca="false">IF(M147&gt;=Assumptions!$B$17,"S+",IF(M147&gt;=Assumptions!$B$18,"S",IF(M147&gt;=Assumptions!$B$19,"A",IF(M147&gt;=Assumptions!$B$20,"B",IF(M147&gt;=Assumptions!$B$21,"C",IF(M147&gt;=Assumptions!$B$22,"D","F"))))))</f>
        <v>A</v>
      </c>
      <c r="D147" s="3" t="s">
        <v>190</v>
      </c>
      <c r="E147" s="3" t="n">
        <v>6</v>
      </c>
      <c r="F147" s="12" t="n">
        <v>0.8099</v>
      </c>
      <c r="G147" s="12" t="n">
        <v>0.8</v>
      </c>
      <c r="H147" s="12" t="n">
        <v>0.75</v>
      </c>
      <c r="I147" s="12" t="n">
        <v>0.7938</v>
      </c>
      <c r="J147" s="12" t="n">
        <v>0.417</v>
      </c>
      <c r="K147" s="12" t="n">
        <v>0.6318</v>
      </c>
      <c r="L147" s="3" t="n">
        <v>6</v>
      </c>
      <c r="M147" s="12" t="n">
        <f aca="false">Z147-W147</f>
        <v>0.154471</v>
      </c>
      <c r="N147" s="12" t="n">
        <f aca="false">IFERROR((Z147-J147)/L147,"")</f>
        <v>0.0357951666666667</v>
      </c>
      <c r="O147" s="3" t="n">
        <v>14</v>
      </c>
      <c r="P147" s="13" t="b">
        <f aca="false">FALSE()</f>
        <v>0</v>
      </c>
      <c r="Q147" s="3" t="s">
        <v>166</v>
      </c>
      <c r="R147" s="12" t="n">
        <v>0.8612</v>
      </c>
      <c r="S147" s="12" t="n">
        <v>0.4959</v>
      </c>
      <c r="T147" s="3" t="n">
        <v>0.2932</v>
      </c>
      <c r="U147" s="12" t="n">
        <v>0.3956</v>
      </c>
      <c r="V147" s="12" t="n">
        <v>0.5228</v>
      </c>
      <c r="W147" s="12" t="n">
        <v>0.4773</v>
      </c>
      <c r="X147" s="3" t="n">
        <v>0.7602</v>
      </c>
      <c r="Y147" s="3" t="n">
        <v>0.7959</v>
      </c>
      <c r="Z147" s="14" t="n">
        <f aca="false">Assumptions!$B$3*R147+Assumptions!$B$4*S147+IF(AA147=1,Assumptions!$B$11,Assumptions!$B$5)*X147+IF(AA147=1,Assumptions!$B$12,Assumptions!$B$6)*T147+Assumptions!$B$7*U147+Assumptions!$B$8*V147+Assumptions!$B$9*Y147</f>
        <v>0.631771</v>
      </c>
      <c r="AA147" s="3" t="n">
        <v>0</v>
      </c>
    </row>
    <row r="148" customFormat="false" ht="15" hidden="false" customHeight="false" outlineLevel="0" collapsed="false">
      <c r="A148" s="3" t="s">
        <v>333</v>
      </c>
      <c r="B148" s="3" t="n">
        <v>660</v>
      </c>
      <c r="C148" s="11" t="str">
        <f aca="false">IF(M148&gt;=Assumptions!$B$17,"S+",IF(M148&gt;=Assumptions!$B$18,"S",IF(M148&gt;=Assumptions!$B$19,"A",IF(M148&gt;=Assumptions!$B$20,"B",IF(M148&gt;=Assumptions!$B$21,"C",IF(M148&gt;=Assumptions!$B$22,"D","F"))))))</f>
        <v>A</v>
      </c>
      <c r="D148" s="3" t="s">
        <v>228</v>
      </c>
      <c r="E148" s="3" t="n">
        <v>13</v>
      </c>
      <c r="F148" s="12" t="n">
        <v>0.9225</v>
      </c>
      <c r="G148" s="12" t="n">
        <v>0.4</v>
      </c>
      <c r="H148" s="12" t="n">
        <v>0.75</v>
      </c>
      <c r="I148" s="12" t="n">
        <v>0.6372</v>
      </c>
      <c r="J148" s="12" t="n">
        <v>0.3448</v>
      </c>
      <c r="K148" s="12" t="n">
        <v>0.6164</v>
      </c>
      <c r="L148" s="3" t="n">
        <v>4</v>
      </c>
      <c r="M148" s="12" t="n">
        <f aca="false">Z148-W148</f>
        <v>0.154029</v>
      </c>
      <c r="N148" s="12" t="n">
        <f aca="false">IFERROR((Z148-J148)/L148,"")</f>
        <v>0.06790725</v>
      </c>
      <c r="O148" s="3" t="n">
        <v>7</v>
      </c>
      <c r="P148" s="13" t="b">
        <f aca="false">TRUE()</f>
        <v>1</v>
      </c>
      <c r="Q148" s="3" t="s">
        <v>166</v>
      </c>
      <c r="R148" s="12" t="n">
        <v>0.8774</v>
      </c>
      <c r="S148" s="12" t="n">
        <v>0.5293</v>
      </c>
      <c r="T148" s="3" t="n">
        <v>0.2659</v>
      </c>
      <c r="U148" s="12" t="n">
        <v>0.3846</v>
      </c>
      <c r="V148" s="12" t="n">
        <v>0.3938</v>
      </c>
      <c r="W148" s="12" t="n">
        <v>0.4624</v>
      </c>
      <c r="X148" s="3" t="n">
        <v>0.8214</v>
      </c>
      <c r="Y148" s="3" t="n">
        <v>0.638</v>
      </c>
      <c r="Z148" s="14" t="n">
        <f aca="false">Assumptions!$B$3*R148+Assumptions!$B$4*S148+IF(AA148=1,Assumptions!$B$11,Assumptions!$B$5)*X148+IF(AA148=1,Assumptions!$B$12,Assumptions!$B$6)*T148+Assumptions!$B$7*U148+Assumptions!$B$8*V148+Assumptions!$B$9*Y148</f>
        <v>0.616429</v>
      </c>
      <c r="AA148" s="3" t="n">
        <v>0</v>
      </c>
    </row>
    <row r="149" customFormat="false" ht="15" hidden="false" customHeight="false" outlineLevel="0" collapsed="false">
      <c r="A149" s="3" t="s">
        <v>334</v>
      </c>
      <c r="B149" s="3" t="n">
        <v>510</v>
      </c>
      <c r="C149" s="11" t="str">
        <f aca="false">IF(M149&gt;=Assumptions!$B$17,"S+",IF(M149&gt;=Assumptions!$B$18,"S",IF(M149&gt;=Assumptions!$B$19,"A",IF(M149&gt;=Assumptions!$B$20,"B",IF(M149&gt;=Assumptions!$B$21,"C",IF(M149&gt;=Assumptions!$B$22,"D","F"))))))</f>
        <v>A</v>
      </c>
      <c r="D149" s="3" t="s">
        <v>171</v>
      </c>
      <c r="E149" s="3" t="n">
        <v>3</v>
      </c>
      <c r="F149" s="12" t="n">
        <v>0.7503</v>
      </c>
      <c r="G149" s="12" t="n">
        <v>0.6</v>
      </c>
      <c r="H149" s="12" t="n">
        <v>0.75</v>
      </c>
      <c r="I149" s="12" t="n">
        <v>0.6571</v>
      </c>
      <c r="J149" s="12" t="n">
        <v>0.3874</v>
      </c>
      <c r="K149" s="12" t="n">
        <v>0.5637</v>
      </c>
      <c r="L149" s="3" t="n">
        <v>5.71</v>
      </c>
      <c r="M149" s="12" t="n">
        <f aca="false">Z149-W149</f>
        <v>0.153968</v>
      </c>
      <c r="N149" s="12" t="n">
        <f aca="false">IFERROR((Z149-J149)/L149,"")</f>
        <v>0.0308700525394045</v>
      </c>
      <c r="O149" s="3" t="n">
        <v>17</v>
      </c>
      <c r="P149" s="13" t="b">
        <f aca="false">FALSE()</f>
        <v>0</v>
      </c>
      <c r="Q149" s="3" t="s">
        <v>166</v>
      </c>
      <c r="R149" s="12" t="n">
        <v>0.8184</v>
      </c>
      <c r="S149" s="12" t="n">
        <v>0.5615</v>
      </c>
      <c r="T149" s="3" t="n">
        <v>0.3421</v>
      </c>
      <c r="U149" s="12" t="n">
        <v>0.4072</v>
      </c>
      <c r="V149" s="12" t="n">
        <v>0.3849</v>
      </c>
      <c r="W149" s="12" t="n">
        <v>0.4097</v>
      </c>
      <c r="X149" s="3" t="n">
        <v>0.4459</v>
      </c>
      <c r="Y149" s="3" t="n">
        <v>0.629</v>
      </c>
      <c r="Z149" s="14" t="n">
        <f aca="false">Assumptions!$B$3*R149+Assumptions!$B$4*S149+IF(AA149=1,Assumptions!$B$11,Assumptions!$B$5)*X149+IF(AA149=1,Assumptions!$B$12,Assumptions!$B$6)*T149+Assumptions!$B$7*U149+Assumptions!$B$8*V149+Assumptions!$B$9*Y149</f>
        <v>0.563668</v>
      </c>
      <c r="AA149" s="3" t="n">
        <v>1</v>
      </c>
    </row>
    <row r="150" customFormat="false" ht="15" hidden="false" customHeight="false" outlineLevel="0" collapsed="false">
      <c r="A150" s="3" t="s">
        <v>335</v>
      </c>
      <c r="B150" s="3" t="n">
        <v>600</v>
      </c>
      <c r="C150" s="11" t="str">
        <f aca="false">IF(M150&gt;=Assumptions!$B$17,"S+",IF(M150&gt;=Assumptions!$B$18,"S",IF(M150&gt;=Assumptions!$B$19,"A",IF(M150&gt;=Assumptions!$B$20,"B",IF(M150&gt;=Assumptions!$B$21,"C",IF(M150&gt;=Assumptions!$B$22,"D","F"))))))</f>
        <v>B</v>
      </c>
      <c r="D150" s="3" t="s">
        <v>171</v>
      </c>
      <c r="E150" s="3" t="n">
        <v>7</v>
      </c>
      <c r="F150" s="12" t="n">
        <v>0.8275</v>
      </c>
      <c r="G150" s="12" t="n">
        <v>0.45</v>
      </c>
      <c r="H150" s="12" t="n">
        <v>0.75</v>
      </c>
      <c r="I150" s="12" t="n">
        <v>0.578</v>
      </c>
      <c r="J150" s="12" t="n">
        <v>0.402</v>
      </c>
      <c r="K150" s="12" t="n">
        <v>0.5767</v>
      </c>
      <c r="L150" s="3" t="n">
        <v>4</v>
      </c>
      <c r="M150" s="12" t="n">
        <f aca="false">Z150-W150</f>
        <v>0.153681</v>
      </c>
      <c r="N150" s="12" t="n">
        <f aca="false">IFERROR((Z150-J150)/L150,"")</f>
        <v>0.04367025</v>
      </c>
      <c r="O150" s="3" t="n">
        <v>13</v>
      </c>
      <c r="P150" s="13" t="b">
        <f aca="false">FALSE()</f>
        <v>0</v>
      </c>
      <c r="Q150" s="3" t="s">
        <v>166</v>
      </c>
      <c r="R150" s="12" t="n">
        <v>0.6585</v>
      </c>
      <c r="S150" s="12" t="n">
        <v>0.6941</v>
      </c>
      <c r="T150" s="3" t="n">
        <v>0.2366</v>
      </c>
      <c r="U150" s="12" t="n">
        <v>0.3077</v>
      </c>
      <c r="V150" s="12" t="n">
        <v>0.5132</v>
      </c>
      <c r="W150" s="12" t="n">
        <v>0.423</v>
      </c>
      <c r="X150" s="3" t="n">
        <v>0.611</v>
      </c>
      <c r="Y150" s="3" t="n">
        <v>0.5803</v>
      </c>
      <c r="Z150" s="14" t="n">
        <f aca="false">Assumptions!$B$3*R150+Assumptions!$B$4*S150+IF(AA150=1,Assumptions!$B$11,Assumptions!$B$5)*X150+IF(AA150=1,Assumptions!$B$12,Assumptions!$B$6)*T150+Assumptions!$B$7*U150+Assumptions!$B$8*V150+Assumptions!$B$9*Y150</f>
        <v>0.576681</v>
      </c>
      <c r="AA150" s="3" t="n">
        <v>1</v>
      </c>
    </row>
    <row r="151" customFormat="false" ht="15" hidden="false" customHeight="false" outlineLevel="0" collapsed="false">
      <c r="A151" s="3" t="s">
        <v>336</v>
      </c>
      <c r="B151" s="3" t="n">
        <v>495</v>
      </c>
      <c r="C151" s="11" t="str">
        <f aca="false">IF(M151&gt;=Assumptions!$B$17,"S+",IF(M151&gt;=Assumptions!$B$18,"S",IF(M151&gt;=Assumptions!$B$19,"A",IF(M151&gt;=Assumptions!$B$20,"B",IF(M151&gt;=Assumptions!$B$21,"C",IF(M151&gt;=Assumptions!$B$22,"D","F"))))))</f>
        <v>B</v>
      </c>
      <c r="D151" s="3" t="s">
        <v>208</v>
      </c>
      <c r="E151" s="3" t="n">
        <v>4</v>
      </c>
      <c r="F151" s="12" t="n">
        <v>0.8009</v>
      </c>
      <c r="G151" s="12" t="n">
        <v>0.6</v>
      </c>
      <c r="H151" s="12" t="n">
        <v>0.4028</v>
      </c>
      <c r="I151" s="12" t="n">
        <v>0.6309</v>
      </c>
      <c r="J151" s="12" t="n">
        <v>0.3584</v>
      </c>
      <c r="K151" s="12" t="n">
        <v>0.5867</v>
      </c>
      <c r="L151" s="3" t="n">
        <v>3.94</v>
      </c>
      <c r="M151" s="12" t="n">
        <f aca="false">Z151-W151</f>
        <v>0.15357</v>
      </c>
      <c r="N151" s="12" t="n">
        <f aca="false">IFERROR((Z151-J151)/L151,"")</f>
        <v>0.0579365482233502</v>
      </c>
      <c r="O151" s="3" t="n">
        <v>16</v>
      </c>
      <c r="P151" s="13" t="b">
        <f aca="false">FALSE()</f>
        <v>0</v>
      </c>
      <c r="Q151" s="3" t="s">
        <v>166</v>
      </c>
      <c r="R151" s="12" t="n">
        <v>0.7362</v>
      </c>
      <c r="S151" s="12" t="n">
        <v>0.6776</v>
      </c>
      <c r="T151" s="3" t="n">
        <v>0.0887</v>
      </c>
      <c r="U151" s="12" t="n">
        <v>0.4519</v>
      </c>
      <c r="V151" s="12" t="n">
        <v>0.423</v>
      </c>
      <c r="W151" s="12" t="n">
        <v>0.4331</v>
      </c>
      <c r="X151" s="3" t="n">
        <v>0.5715</v>
      </c>
      <c r="Y151" s="3" t="n">
        <v>0.6119</v>
      </c>
      <c r="Z151" s="14" t="n">
        <f aca="false">Assumptions!$B$3*R151+Assumptions!$B$4*S151+IF(AA151=1,Assumptions!$B$11,Assumptions!$B$5)*X151+IF(AA151=1,Assumptions!$B$12,Assumptions!$B$6)*T151+Assumptions!$B$7*U151+Assumptions!$B$8*V151+Assumptions!$B$9*Y151</f>
        <v>0.58667</v>
      </c>
      <c r="AA151" s="3" t="n">
        <v>1</v>
      </c>
    </row>
    <row r="152" customFormat="false" ht="15" hidden="false" customHeight="false" outlineLevel="0" collapsed="false">
      <c r="A152" s="3" t="s">
        <v>337</v>
      </c>
      <c r="B152" s="3" t="n">
        <v>480</v>
      </c>
      <c r="C152" s="11" t="str">
        <f aca="false">IF(M152&gt;=Assumptions!$B$17,"S+",IF(M152&gt;=Assumptions!$B$18,"S",IF(M152&gt;=Assumptions!$B$19,"A",IF(M152&gt;=Assumptions!$B$20,"B",IF(M152&gt;=Assumptions!$B$21,"C",IF(M152&gt;=Assumptions!$B$22,"D","F"))))))</f>
        <v>B</v>
      </c>
      <c r="D152" s="3" t="s">
        <v>183</v>
      </c>
      <c r="E152" s="3" t="n">
        <v>5</v>
      </c>
      <c r="F152" s="12" t="n">
        <v>0.9345</v>
      </c>
      <c r="G152" s="12" t="n">
        <v>0.64</v>
      </c>
      <c r="H152" s="12" t="n">
        <v>0.4722</v>
      </c>
      <c r="I152" s="12" t="n">
        <v>0.6805</v>
      </c>
      <c r="J152" s="12" t="n">
        <v>0.4104</v>
      </c>
      <c r="K152" s="12" t="n">
        <v>0.645</v>
      </c>
      <c r="L152" s="3" t="n">
        <v>3.93</v>
      </c>
      <c r="M152" s="12" t="n">
        <f aca="false">Z152-W152</f>
        <v>0.153263</v>
      </c>
      <c r="N152" s="12" t="n">
        <f aca="false">IFERROR((Z152-J152)/L152,"")</f>
        <v>0.0596852417302799</v>
      </c>
      <c r="O152" s="3" t="n">
        <v>15</v>
      </c>
      <c r="P152" s="13" t="b">
        <f aca="false">FALSE()</f>
        <v>0</v>
      </c>
      <c r="Q152" s="3" t="s">
        <v>166</v>
      </c>
      <c r="R152" s="12" t="n">
        <v>0.6961</v>
      </c>
      <c r="S152" s="12" t="n">
        <v>0.647</v>
      </c>
      <c r="T152" s="3" t="n">
        <v>0.2322</v>
      </c>
      <c r="U152" s="12" t="n">
        <v>0.4</v>
      </c>
      <c r="V152" s="12" t="n">
        <v>0.4727</v>
      </c>
      <c r="W152" s="12" t="n">
        <v>0.4917</v>
      </c>
      <c r="X152" s="3" t="n">
        <v>0.8278</v>
      </c>
      <c r="Y152" s="3" t="n">
        <v>0.6697</v>
      </c>
      <c r="Z152" s="14" t="n">
        <f aca="false">Assumptions!$B$3*R152+Assumptions!$B$4*S152+IF(AA152=1,Assumptions!$B$11,Assumptions!$B$5)*X152+IF(AA152=1,Assumptions!$B$12,Assumptions!$B$6)*T152+Assumptions!$B$7*U152+Assumptions!$B$8*V152+Assumptions!$B$9*Y152</f>
        <v>0.644963</v>
      </c>
      <c r="AA152" s="3" t="n">
        <v>1</v>
      </c>
    </row>
    <row r="153" customFormat="false" ht="15" hidden="false" customHeight="false" outlineLevel="0" collapsed="false">
      <c r="A153" s="3" t="s">
        <v>338</v>
      </c>
      <c r="B153" s="3" t="n">
        <v>468</v>
      </c>
      <c r="C153" s="11" t="str">
        <f aca="false">IF(M153&gt;=Assumptions!$B$17,"S+",IF(M153&gt;=Assumptions!$B$18,"S",IF(M153&gt;=Assumptions!$B$19,"A",IF(M153&gt;=Assumptions!$B$20,"B",IF(M153&gt;=Assumptions!$B$21,"C",IF(M153&gt;=Assumptions!$B$22,"D","F"))))))</f>
        <v>B</v>
      </c>
      <c r="D153" s="3" t="s">
        <v>175</v>
      </c>
      <c r="E153" s="3" t="n">
        <v>4</v>
      </c>
      <c r="F153" s="12" t="n">
        <v>0.7775</v>
      </c>
      <c r="G153" s="12" t="n">
        <v>0.45</v>
      </c>
      <c r="H153" s="12" t="n">
        <v>0.75</v>
      </c>
      <c r="I153" s="12" t="n">
        <v>0.5591</v>
      </c>
      <c r="J153" s="12" t="n">
        <v>0.4085</v>
      </c>
      <c r="K153" s="12" t="n">
        <v>0.5745</v>
      </c>
      <c r="L153" s="3" t="n">
        <v>3.88</v>
      </c>
      <c r="M153" s="12" t="n">
        <f aca="false">Z153-W153</f>
        <v>0.152919</v>
      </c>
      <c r="N153" s="12" t="n">
        <f aca="false">IFERROR((Z153-J153)/L153,"")</f>
        <v>0.0427884020618557</v>
      </c>
      <c r="O153" s="3" t="n">
        <v>16</v>
      </c>
      <c r="P153" s="13" t="b">
        <f aca="false">FALSE()</f>
        <v>0</v>
      </c>
      <c r="Q153" s="3" t="s">
        <v>166</v>
      </c>
      <c r="R153" s="12" t="n">
        <v>0.7518</v>
      </c>
      <c r="S153" s="12" t="n">
        <v>0.6483</v>
      </c>
      <c r="T153" s="3" t="n">
        <v>0.2373</v>
      </c>
      <c r="U153" s="12" t="n">
        <v>0.3461</v>
      </c>
      <c r="V153" s="12" t="n">
        <v>0.4976</v>
      </c>
      <c r="W153" s="12" t="n">
        <v>0.4216</v>
      </c>
      <c r="X153" s="3" t="n">
        <v>0.6864</v>
      </c>
      <c r="Y153" s="3" t="n">
        <v>0.5416</v>
      </c>
      <c r="Z153" s="14" t="n">
        <f aca="false">Assumptions!$B$3*R153+Assumptions!$B$4*S153+IF(AA153=1,Assumptions!$B$11,Assumptions!$B$5)*X153+IF(AA153=1,Assumptions!$B$12,Assumptions!$B$6)*T153+Assumptions!$B$7*U153+Assumptions!$B$8*V153+Assumptions!$B$9*Y153</f>
        <v>0.574519</v>
      </c>
      <c r="AA153" s="3" t="n">
        <v>0</v>
      </c>
    </row>
    <row r="154" customFormat="false" ht="15" hidden="false" customHeight="false" outlineLevel="0" collapsed="false">
      <c r="A154" s="3" t="s">
        <v>339</v>
      </c>
      <c r="B154" s="3" t="n">
        <v>610</v>
      </c>
      <c r="C154" s="11" t="str">
        <f aca="false">IF(M154&gt;=Assumptions!$B$17,"S+",IF(M154&gt;=Assumptions!$B$18,"S",IF(M154&gt;=Assumptions!$B$19,"A",IF(M154&gt;=Assumptions!$B$20,"B",IF(M154&gt;=Assumptions!$B$21,"C",IF(M154&gt;=Assumptions!$B$22,"D","F"))))))</f>
        <v>B</v>
      </c>
      <c r="D154" s="3" t="s">
        <v>253</v>
      </c>
      <c r="E154" s="3" t="n">
        <v>18</v>
      </c>
      <c r="F154" s="12" t="n">
        <v>0.9609</v>
      </c>
      <c r="G154" s="12" t="n">
        <v>1</v>
      </c>
      <c r="H154" s="12" t="n">
        <v>0.75</v>
      </c>
      <c r="I154" s="12" t="n">
        <v>0.9375</v>
      </c>
      <c r="J154" s="12" t="n">
        <v>0.4464</v>
      </c>
      <c r="K154" s="12" t="n">
        <v>0.6589</v>
      </c>
      <c r="L154" s="3" t="n">
        <v>4</v>
      </c>
      <c r="M154" s="12" t="n">
        <f aca="false">Z154-W154</f>
        <v>0.152157</v>
      </c>
      <c r="N154" s="12" t="n">
        <f aca="false">IFERROR((Z154-J154)/L154,"")</f>
        <v>0.05311425</v>
      </c>
      <c r="O154" s="3" t="n">
        <v>2</v>
      </c>
      <c r="P154" s="13" t="b">
        <f aca="false">FALSE()</f>
        <v>0</v>
      </c>
      <c r="Q154" s="3" t="s">
        <v>166</v>
      </c>
      <c r="R154" s="12" t="n">
        <v>0.8255</v>
      </c>
      <c r="S154" s="12" t="n">
        <v>0.6426</v>
      </c>
      <c r="T154" s="3" t="n">
        <v>0.0416</v>
      </c>
      <c r="U154" s="12" t="n">
        <v>0.4615</v>
      </c>
      <c r="V154" s="12" t="n">
        <v>0.5317</v>
      </c>
      <c r="W154" s="12" t="n">
        <v>0.5067</v>
      </c>
      <c r="X154" s="3" t="n">
        <v>0.9028</v>
      </c>
      <c r="Y154" s="3" t="n">
        <v>0.9376</v>
      </c>
      <c r="Z154" s="14" t="n">
        <f aca="false">Assumptions!$B$3*R154+Assumptions!$B$4*S154+IF(AA154=1,Assumptions!$B$11,Assumptions!$B$5)*X154+IF(AA154=1,Assumptions!$B$12,Assumptions!$B$6)*T154+Assumptions!$B$7*U154+Assumptions!$B$8*V154+Assumptions!$B$9*Y154</f>
        <v>0.658857</v>
      </c>
      <c r="AA154" s="3" t="n">
        <v>0</v>
      </c>
    </row>
    <row r="155" customFormat="false" ht="15" hidden="false" customHeight="false" outlineLevel="0" collapsed="false">
      <c r="A155" s="3" t="s">
        <v>340</v>
      </c>
      <c r="B155" s="3" t="n">
        <v>600</v>
      </c>
      <c r="C155" s="11" t="str">
        <f aca="false">IF(M155&gt;=Assumptions!$B$17,"S+",IF(M155&gt;=Assumptions!$B$18,"S",IF(M155&gt;=Assumptions!$B$19,"A",IF(M155&gt;=Assumptions!$B$20,"B",IF(M155&gt;=Assumptions!$B$21,"C",IF(M155&gt;=Assumptions!$B$22,"D","F"))))))</f>
        <v>B</v>
      </c>
      <c r="D155" s="3" t="s">
        <v>197</v>
      </c>
      <c r="E155" s="3" t="n">
        <v>13</v>
      </c>
      <c r="F155" s="12" t="n">
        <v>0.8215</v>
      </c>
      <c r="G155" s="12" t="n">
        <v>0.4</v>
      </c>
      <c r="H155" s="12" t="n">
        <v>0.75</v>
      </c>
      <c r="I155" s="12" t="n">
        <v>0.6302</v>
      </c>
      <c r="J155" s="12" t="n">
        <v>0.3724</v>
      </c>
      <c r="K155" s="12" t="n">
        <v>0.638</v>
      </c>
      <c r="L155" s="3" t="n">
        <v>4</v>
      </c>
      <c r="M155" s="12" t="n">
        <f aca="false">Z155-W155</f>
        <v>0.152109</v>
      </c>
      <c r="N155" s="12" t="n">
        <f aca="false">IFERROR((Z155-J155)/L155,"")</f>
        <v>0.06640225</v>
      </c>
      <c r="O155" s="3" t="n">
        <v>7</v>
      </c>
      <c r="P155" s="13" t="b">
        <f aca="false">FALSE()</f>
        <v>0</v>
      </c>
      <c r="Q155" s="3" t="s">
        <v>166</v>
      </c>
      <c r="R155" s="12" t="n">
        <v>0.7946</v>
      </c>
      <c r="S155" s="12" t="n">
        <v>0.6103</v>
      </c>
      <c r="T155" s="3" t="n">
        <v>0.381</v>
      </c>
      <c r="U155" s="12" t="n">
        <v>0.6154</v>
      </c>
      <c r="V155" s="12" t="n">
        <v>0.4846</v>
      </c>
      <c r="W155" s="12" t="n">
        <v>0.4859</v>
      </c>
      <c r="X155" s="3" t="n">
        <v>0.7262</v>
      </c>
      <c r="Y155" s="3" t="n">
        <v>0.6311</v>
      </c>
      <c r="Z155" s="14" t="n">
        <f aca="false">Assumptions!$B$3*R155+Assumptions!$B$4*S155+IF(AA155=1,Assumptions!$B$11,Assumptions!$B$5)*X155+IF(AA155=1,Assumptions!$B$12,Assumptions!$B$6)*T155+Assumptions!$B$7*U155+Assumptions!$B$8*V155+Assumptions!$B$9*Y155</f>
        <v>0.638009</v>
      </c>
      <c r="AA155" s="3" t="n">
        <v>0</v>
      </c>
    </row>
    <row r="156" customFormat="false" ht="15" hidden="false" customHeight="false" outlineLevel="0" collapsed="false">
      <c r="A156" s="3" t="s">
        <v>341</v>
      </c>
      <c r="B156" s="3" t="n">
        <v>600</v>
      </c>
      <c r="C156" s="11" t="str">
        <f aca="false">IF(M156&gt;=Assumptions!$B$17,"S+",IF(M156&gt;=Assumptions!$B$18,"S",IF(M156&gt;=Assumptions!$B$19,"A",IF(M156&gt;=Assumptions!$B$20,"B",IF(M156&gt;=Assumptions!$B$21,"C",IF(M156&gt;=Assumptions!$B$22,"D","F"))))))</f>
        <v>B</v>
      </c>
      <c r="D156" s="3" t="s">
        <v>218</v>
      </c>
      <c r="E156" s="3" t="n">
        <v>11</v>
      </c>
      <c r="F156" s="12" t="n">
        <v>0.799</v>
      </c>
      <c r="G156" s="12" t="n">
        <v>0.6</v>
      </c>
      <c r="H156" s="12" t="n">
        <v>0.75</v>
      </c>
      <c r="I156" s="12" t="n">
        <v>0.6937</v>
      </c>
      <c r="J156" s="12" t="n">
        <v>0.4338</v>
      </c>
      <c r="K156" s="12" t="n">
        <v>0.6598</v>
      </c>
      <c r="L156" s="3" t="n">
        <v>4</v>
      </c>
      <c r="M156" s="12" t="n">
        <f aca="false">Z156-W156</f>
        <v>0.151147</v>
      </c>
      <c r="N156" s="12" t="n">
        <f aca="false">IFERROR((Z156-J156)/L156,"")</f>
        <v>0.05648675</v>
      </c>
      <c r="O156" s="3" t="n">
        <v>9</v>
      </c>
      <c r="P156" s="13" t="b">
        <f aca="false">FALSE()</f>
        <v>0</v>
      </c>
      <c r="Q156" s="3" t="s">
        <v>166</v>
      </c>
      <c r="R156" s="12" t="n">
        <v>0.8409</v>
      </c>
      <c r="S156" s="12" t="n">
        <v>0.4479</v>
      </c>
      <c r="T156" s="3" t="n">
        <v>0.8241</v>
      </c>
      <c r="U156" s="12" t="n">
        <v>0.3846</v>
      </c>
      <c r="V156" s="12" t="n">
        <v>0.5388</v>
      </c>
      <c r="W156" s="12" t="n">
        <v>0.5086</v>
      </c>
      <c r="X156" s="3" t="n">
        <v>0.6738</v>
      </c>
      <c r="Y156" s="3" t="n">
        <v>0.695</v>
      </c>
      <c r="Z156" s="14" t="n">
        <f aca="false">Assumptions!$B$3*R156+Assumptions!$B$4*S156+IF(AA156=1,Assumptions!$B$11,Assumptions!$B$5)*X156+IF(AA156=1,Assumptions!$B$12,Assumptions!$B$6)*T156+Assumptions!$B$7*U156+Assumptions!$B$8*V156+Assumptions!$B$9*Y156</f>
        <v>0.659747</v>
      </c>
      <c r="AA156" s="3" t="n">
        <v>0</v>
      </c>
    </row>
    <row r="157" customFormat="false" ht="15" hidden="false" customHeight="false" outlineLevel="0" collapsed="false">
      <c r="A157" s="3" t="s">
        <v>342</v>
      </c>
      <c r="B157" s="3" t="n">
        <v>495</v>
      </c>
      <c r="C157" s="11" t="str">
        <f aca="false">IF(M157&gt;=Assumptions!$B$17,"S+",IF(M157&gt;=Assumptions!$B$18,"S",IF(M157&gt;=Assumptions!$B$19,"A",IF(M157&gt;=Assumptions!$B$20,"B",IF(M157&gt;=Assumptions!$B$21,"C",IF(M157&gt;=Assumptions!$B$22,"D","F"))))))</f>
        <v>B</v>
      </c>
      <c r="D157" s="3" t="s">
        <v>171</v>
      </c>
      <c r="E157" s="3" t="n">
        <v>4</v>
      </c>
      <c r="F157" s="12" t="n">
        <v>0.8651</v>
      </c>
      <c r="G157" s="12" t="n">
        <v>0.6</v>
      </c>
      <c r="H157" s="12" t="n">
        <v>0.75</v>
      </c>
      <c r="I157" s="12" t="n">
        <v>0.6777</v>
      </c>
      <c r="J157" s="12" t="n">
        <v>0.3297</v>
      </c>
      <c r="K157" s="12" t="n">
        <v>0.5511</v>
      </c>
      <c r="L157" s="3" t="n">
        <v>3.84</v>
      </c>
      <c r="M157" s="12" t="n">
        <f aca="false">Z157-W157</f>
        <v>0.150727</v>
      </c>
      <c r="N157" s="12" t="n">
        <f aca="false">IFERROR((Z157-J157)/L157,"")</f>
        <v>0.05766328125</v>
      </c>
      <c r="O157" s="3" t="n">
        <v>16</v>
      </c>
      <c r="P157" s="13" t="b">
        <f aca="false">FALSE()</f>
        <v>0</v>
      </c>
      <c r="Q157" s="3" t="s">
        <v>166</v>
      </c>
      <c r="R157" s="12" t="n">
        <v>0.7357</v>
      </c>
      <c r="S157" s="12" t="n">
        <v>0.6885</v>
      </c>
      <c r="T157" s="3" t="n">
        <v>0.0457</v>
      </c>
      <c r="U157" s="12" t="n">
        <v>0.3798</v>
      </c>
      <c r="V157" s="12" t="n">
        <v>0.3408</v>
      </c>
      <c r="W157" s="12" t="n">
        <v>0.4004</v>
      </c>
      <c r="X157" s="3" t="n">
        <v>0.4956</v>
      </c>
      <c r="Y157" s="3" t="n">
        <v>0.6033</v>
      </c>
      <c r="Z157" s="14" t="n">
        <f aca="false">Assumptions!$B$3*R157+Assumptions!$B$4*S157+IF(AA157=1,Assumptions!$B$11,Assumptions!$B$5)*X157+IF(AA157=1,Assumptions!$B$12,Assumptions!$B$6)*T157+Assumptions!$B$7*U157+Assumptions!$B$8*V157+Assumptions!$B$9*Y157</f>
        <v>0.551127</v>
      </c>
      <c r="AA157" s="3" t="n">
        <v>1</v>
      </c>
    </row>
    <row r="158" customFormat="false" ht="15" hidden="false" customHeight="false" outlineLevel="0" collapsed="false">
      <c r="A158" s="3" t="s">
        <v>343</v>
      </c>
      <c r="B158" s="3" t="n">
        <v>530</v>
      </c>
      <c r="C158" s="11" t="str">
        <f aca="false">IF(M158&gt;=Assumptions!$B$17,"S+",IF(M158&gt;=Assumptions!$B$18,"S",IF(M158&gt;=Assumptions!$B$19,"A",IF(M158&gt;=Assumptions!$B$20,"B",IF(M158&gt;=Assumptions!$B$21,"C",IF(M158&gt;=Assumptions!$B$22,"D","F"))))))</f>
        <v>B</v>
      </c>
      <c r="D158" s="3" t="s">
        <v>206</v>
      </c>
      <c r="E158" s="3" t="n">
        <v>4</v>
      </c>
      <c r="F158" s="12" t="n">
        <v>0.797</v>
      </c>
      <c r="G158" s="12" t="n">
        <v>0.76</v>
      </c>
      <c r="H158" s="12" t="n">
        <v>0.3274</v>
      </c>
      <c r="I158" s="12" t="n">
        <v>0.6622</v>
      </c>
      <c r="J158" s="12" t="n">
        <v>0.3653</v>
      </c>
      <c r="K158" s="12" t="n">
        <v>0.6273</v>
      </c>
      <c r="L158" s="3" t="n">
        <v>4.88</v>
      </c>
      <c r="M158" s="12" t="n">
        <f aca="false">Z158-W158</f>
        <v>0.150559</v>
      </c>
      <c r="N158" s="12" t="n">
        <f aca="false">IFERROR((Z158-J158)/L158,"")</f>
        <v>0.0537006147540983</v>
      </c>
      <c r="O158" s="3" t="n">
        <v>16</v>
      </c>
      <c r="P158" s="13" t="b">
        <f aca="false">FALSE()</f>
        <v>0</v>
      </c>
      <c r="Q158" s="3" t="s">
        <v>166</v>
      </c>
      <c r="R158" s="12" t="n">
        <v>0.7913</v>
      </c>
      <c r="S158" s="12" t="n">
        <v>0.5371</v>
      </c>
      <c r="T158" s="3" t="n">
        <v>0.2906</v>
      </c>
      <c r="U158" s="12" t="n">
        <v>0.4664</v>
      </c>
      <c r="V158" s="12" t="n">
        <v>0.3786</v>
      </c>
      <c r="W158" s="12" t="n">
        <v>0.4768</v>
      </c>
      <c r="X158" s="3" t="n">
        <v>0.7349</v>
      </c>
      <c r="Y158" s="3" t="n">
        <v>0.6477</v>
      </c>
      <c r="Z158" s="14" t="n">
        <f aca="false">Assumptions!$B$3*R158+Assumptions!$B$4*S158+IF(AA158=1,Assumptions!$B$11,Assumptions!$B$5)*X158+IF(AA158=1,Assumptions!$B$12,Assumptions!$B$6)*T158+Assumptions!$B$7*U158+Assumptions!$B$8*V158+Assumptions!$B$9*Y158</f>
        <v>0.627359</v>
      </c>
      <c r="AA158" s="3" t="n">
        <v>1</v>
      </c>
    </row>
    <row r="159" customFormat="false" ht="15" hidden="false" customHeight="false" outlineLevel="0" collapsed="false">
      <c r="A159" s="3" t="s">
        <v>344</v>
      </c>
      <c r="B159" s="3" t="n">
        <v>610</v>
      </c>
      <c r="C159" s="11" t="str">
        <f aca="false">IF(M159&gt;=Assumptions!$B$17,"S+",IF(M159&gt;=Assumptions!$B$18,"S",IF(M159&gt;=Assumptions!$B$19,"A",IF(M159&gt;=Assumptions!$B$20,"B",IF(M159&gt;=Assumptions!$B$21,"C",IF(M159&gt;=Assumptions!$B$22,"D","F"))))))</f>
        <v>B</v>
      </c>
      <c r="D159" s="3" t="s">
        <v>247</v>
      </c>
      <c r="E159" s="3" t="n">
        <v>5</v>
      </c>
      <c r="F159" s="12" t="n">
        <v>0.6364</v>
      </c>
      <c r="G159" s="12" t="n">
        <v>0.6</v>
      </c>
      <c r="H159" s="12" t="n">
        <v>0.75</v>
      </c>
      <c r="I159" s="12" t="n">
        <v>0.6416</v>
      </c>
      <c r="J159" s="12" t="n">
        <v>0.4401</v>
      </c>
      <c r="K159" s="12" t="n">
        <v>0.6094</v>
      </c>
      <c r="L159" s="3" t="n">
        <v>3.93</v>
      </c>
      <c r="M159" s="12" t="n">
        <f aca="false">Z159-W159</f>
        <v>0.150449</v>
      </c>
      <c r="N159" s="12" t="n">
        <f aca="false">IFERROR((Z159-J159)/L159,"")</f>
        <v>0.0430913486005089</v>
      </c>
      <c r="O159" s="3" t="n">
        <v>15</v>
      </c>
      <c r="P159" s="13" t="b">
        <f aca="false">FALSE()</f>
        <v>0</v>
      </c>
      <c r="Q159" s="3" t="s">
        <v>166</v>
      </c>
      <c r="R159" s="12" t="n">
        <v>0.8953</v>
      </c>
      <c r="S159" s="12" t="n">
        <v>0.7469</v>
      </c>
      <c r="T159" s="3" t="n">
        <v>0.0465</v>
      </c>
      <c r="U159" s="12" t="n">
        <v>0.359</v>
      </c>
      <c r="V159" s="12" t="n">
        <v>0.5078</v>
      </c>
      <c r="W159" s="12" t="n">
        <v>0.459</v>
      </c>
      <c r="X159" s="3" t="n">
        <v>0.6458</v>
      </c>
      <c r="Y159" s="3" t="n">
        <v>0.6397</v>
      </c>
      <c r="Z159" s="14" t="n">
        <f aca="false">Assumptions!$B$3*R159+Assumptions!$B$4*S159+IF(AA159=1,Assumptions!$B$11,Assumptions!$B$5)*X159+IF(AA159=1,Assumptions!$B$12,Assumptions!$B$6)*T159+Assumptions!$B$7*U159+Assumptions!$B$8*V159+Assumptions!$B$9*Y159</f>
        <v>0.609449</v>
      </c>
      <c r="AA159" s="3" t="n">
        <v>0</v>
      </c>
    </row>
    <row r="160" customFormat="false" ht="15" hidden="false" customHeight="false" outlineLevel="0" collapsed="false">
      <c r="A160" s="3" t="s">
        <v>345</v>
      </c>
      <c r="B160" s="3" t="n">
        <v>510</v>
      </c>
      <c r="C160" s="11" t="str">
        <f aca="false">IF(M160&gt;=Assumptions!$B$17,"S+",IF(M160&gt;=Assumptions!$B$18,"S",IF(M160&gt;=Assumptions!$B$19,"A",IF(M160&gt;=Assumptions!$B$20,"B",IF(M160&gt;=Assumptions!$B$21,"C",IF(M160&gt;=Assumptions!$B$22,"D","F"))))))</f>
        <v>B</v>
      </c>
      <c r="D160" s="3" t="s">
        <v>190</v>
      </c>
      <c r="E160" s="3" t="n">
        <v>8</v>
      </c>
      <c r="F160" s="12" t="n">
        <v>0.9614</v>
      </c>
      <c r="G160" s="12" t="n">
        <v>1</v>
      </c>
      <c r="H160" s="12" t="n">
        <v>0.75</v>
      </c>
      <c r="I160" s="12" t="n">
        <v>0.9353</v>
      </c>
      <c r="J160" s="12" t="n">
        <v>0.4251</v>
      </c>
      <c r="K160" s="12" t="n">
        <v>0.6256</v>
      </c>
      <c r="L160" s="3" t="n">
        <v>5</v>
      </c>
      <c r="M160" s="12" t="n">
        <f aca="false">Z160-W160</f>
        <v>0.150438</v>
      </c>
      <c r="N160" s="12" t="n">
        <f aca="false">IFERROR((Z160-J160)/L160,"")</f>
        <v>0.0401076</v>
      </c>
      <c r="O160" s="3" t="n">
        <v>12</v>
      </c>
      <c r="P160" s="13" t="b">
        <f aca="false">FALSE()</f>
        <v>0</v>
      </c>
      <c r="Q160" s="3" t="s">
        <v>166</v>
      </c>
      <c r="R160" s="12" t="n">
        <v>0.9176</v>
      </c>
      <c r="S160" s="12" t="n">
        <v>0.4139</v>
      </c>
      <c r="T160" s="3" t="n">
        <v>0.5769</v>
      </c>
      <c r="U160" s="12" t="n">
        <v>0.5064</v>
      </c>
      <c r="V160" s="12" t="n">
        <v>0.4325</v>
      </c>
      <c r="W160" s="12" t="n">
        <v>0.4752</v>
      </c>
      <c r="X160" s="3" t="n">
        <v>0.3994</v>
      </c>
      <c r="Y160" s="3" t="n">
        <v>0.9363</v>
      </c>
      <c r="Z160" s="14" t="n">
        <f aca="false">Assumptions!$B$3*R160+Assumptions!$B$4*S160+IF(AA160=1,Assumptions!$B$11,Assumptions!$B$5)*X160+IF(AA160=1,Assumptions!$B$12,Assumptions!$B$6)*T160+Assumptions!$B$7*U160+Assumptions!$B$8*V160+Assumptions!$B$9*Y160</f>
        <v>0.625638</v>
      </c>
      <c r="AA160" s="3" t="n">
        <v>0</v>
      </c>
    </row>
    <row r="161" customFormat="false" ht="15" hidden="false" customHeight="false" outlineLevel="0" collapsed="false">
      <c r="A161" s="3" t="s">
        <v>346</v>
      </c>
      <c r="B161" s="3" t="n">
        <v>620</v>
      </c>
      <c r="C161" s="11" t="str">
        <f aca="false">IF(M161&gt;=Assumptions!$B$17,"S+",IF(M161&gt;=Assumptions!$B$18,"S",IF(M161&gt;=Assumptions!$B$19,"A",IF(M161&gt;=Assumptions!$B$20,"B",IF(M161&gt;=Assumptions!$B$21,"C",IF(M161&gt;=Assumptions!$B$22,"D","F"))))))</f>
        <v>B</v>
      </c>
      <c r="D161" s="3" t="s">
        <v>228</v>
      </c>
      <c r="E161" s="3" t="n">
        <v>12</v>
      </c>
      <c r="F161" s="12" t="n">
        <v>0.9014</v>
      </c>
      <c r="G161" s="12" t="n">
        <v>1</v>
      </c>
      <c r="H161" s="12" t="n">
        <v>0.75</v>
      </c>
      <c r="I161" s="12" t="n">
        <v>0.9185</v>
      </c>
      <c r="J161" s="12" t="n">
        <v>0.4365</v>
      </c>
      <c r="K161" s="12" t="n">
        <v>0.6111</v>
      </c>
      <c r="L161" s="3" t="n">
        <v>4</v>
      </c>
      <c r="M161" s="12" t="n">
        <f aca="false">Z161-W161</f>
        <v>0.149139</v>
      </c>
      <c r="N161" s="12" t="n">
        <f aca="false">IFERROR((Z161-J161)/L161,"")</f>
        <v>0.04363475</v>
      </c>
      <c r="O161" s="3" t="n">
        <v>8</v>
      </c>
      <c r="P161" s="13" t="b">
        <f aca="false">FALSE()</f>
        <v>0</v>
      </c>
      <c r="Q161" s="3" t="s">
        <v>166</v>
      </c>
      <c r="R161" s="12" t="n">
        <v>0.982</v>
      </c>
      <c r="S161" s="12" t="n">
        <v>0.2494</v>
      </c>
      <c r="T161" s="3" t="n">
        <v>0.9167</v>
      </c>
      <c r="U161" s="12" t="n">
        <v>0.4423</v>
      </c>
      <c r="V161" s="12" t="n">
        <v>0.4117</v>
      </c>
      <c r="W161" s="12" t="n">
        <v>0.4619</v>
      </c>
      <c r="X161" s="3" t="n">
        <v>0.1678</v>
      </c>
      <c r="Y161" s="3" t="n">
        <v>0.9194</v>
      </c>
      <c r="Z161" s="14" t="n">
        <f aca="false">Assumptions!$B$3*R161+Assumptions!$B$4*S161+IF(AA161=1,Assumptions!$B$11,Assumptions!$B$5)*X161+IF(AA161=1,Assumptions!$B$12,Assumptions!$B$6)*T161+Assumptions!$B$7*U161+Assumptions!$B$8*V161+Assumptions!$B$9*Y161</f>
        <v>0.611039</v>
      </c>
      <c r="AA161" s="3" t="n">
        <v>0</v>
      </c>
    </row>
    <row r="162" customFormat="false" ht="15" hidden="false" customHeight="false" outlineLevel="0" collapsed="false">
      <c r="A162" s="3" t="s">
        <v>347</v>
      </c>
      <c r="B162" s="3" t="n">
        <v>590</v>
      </c>
      <c r="C162" s="11" t="str">
        <f aca="false">IF(M162&gt;=Assumptions!$B$17,"S+",IF(M162&gt;=Assumptions!$B$18,"S",IF(M162&gt;=Assumptions!$B$19,"A",IF(M162&gt;=Assumptions!$B$20,"B",IF(M162&gt;=Assumptions!$B$21,"C",IF(M162&gt;=Assumptions!$B$22,"D","F"))))))</f>
        <v>B</v>
      </c>
      <c r="D162" s="3" t="s">
        <v>197</v>
      </c>
      <c r="E162" s="3" t="n">
        <v>1</v>
      </c>
      <c r="F162" s="12" t="n">
        <v>0.8184</v>
      </c>
      <c r="G162" s="12" t="n">
        <v>1</v>
      </c>
      <c r="H162" s="12" t="n">
        <v>0.75</v>
      </c>
      <c r="I162" s="12" t="n">
        <v>0.881</v>
      </c>
      <c r="J162" s="12" t="n">
        <v>0.4241</v>
      </c>
      <c r="K162" s="12" t="n">
        <v>0.6579</v>
      </c>
      <c r="L162" s="3" t="n">
        <v>3.76</v>
      </c>
      <c r="M162" s="12" t="n">
        <f aca="false">Z162-W162</f>
        <v>0.148207</v>
      </c>
      <c r="N162" s="12" t="n">
        <f aca="false">IFERROR((Z162-J162)/L162,"")</f>
        <v>0.0621827127659575</v>
      </c>
      <c r="O162" s="3" t="n">
        <v>19</v>
      </c>
      <c r="P162" s="13" t="b">
        <f aca="false">FALSE()</f>
        <v>0</v>
      </c>
      <c r="Q162" s="3" t="s">
        <v>166</v>
      </c>
      <c r="R162" s="12" t="n">
        <v>0.8021</v>
      </c>
      <c r="S162" s="12" t="n">
        <v>0.6967</v>
      </c>
      <c r="T162" s="3" t="n">
        <v>0.5136</v>
      </c>
      <c r="U162" s="12" t="n">
        <v>0.4818</v>
      </c>
      <c r="V162" s="12" t="n">
        <v>0.5176</v>
      </c>
      <c r="W162" s="12" t="n">
        <v>0.5097</v>
      </c>
      <c r="X162" s="3" t="n">
        <v>0.6218</v>
      </c>
      <c r="Y162" s="3" t="n">
        <v>0.7862</v>
      </c>
      <c r="Z162" s="14" t="n">
        <f aca="false">Assumptions!$B$3*R162+Assumptions!$B$4*S162+IF(AA162=1,Assumptions!$B$11,Assumptions!$B$5)*X162+IF(AA162=1,Assumptions!$B$12,Assumptions!$B$6)*T162+Assumptions!$B$7*U162+Assumptions!$B$8*V162+Assumptions!$B$9*Y162</f>
        <v>0.657907</v>
      </c>
      <c r="AA162" s="3" t="n">
        <v>0</v>
      </c>
    </row>
    <row r="163" customFormat="false" ht="15" hidden="false" customHeight="false" outlineLevel="0" collapsed="false">
      <c r="A163" s="3" t="s">
        <v>348</v>
      </c>
      <c r="B163" s="3" t="n">
        <v>600</v>
      </c>
      <c r="C163" s="11" t="str">
        <f aca="false">IF(M163&gt;=Assumptions!$B$17,"S+",IF(M163&gt;=Assumptions!$B$18,"S",IF(M163&gt;=Assumptions!$B$19,"A",IF(M163&gt;=Assumptions!$B$20,"B",IF(M163&gt;=Assumptions!$B$21,"C",IF(M163&gt;=Assumptions!$B$22,"D","F"))))))</f>
        <v>B</v>
      </c>
      <c r="D163" s="3" t="s">
        <v>190</v>
      </c>
      <c r="E163" s="3" t="n">
        <v>9</v>
      </c>
      <c r="F163" s="12" t="n">
        <v>0.8484</v>
      </c>
      <c r="G163" s="12" t="n">
        <v>0.4</v>
      </c>
      <c r="H163" s="12" t="n">
        <v>0.75</v>
      </c>
      <c r="I163" s="12" t="n">
        <v>0.6404</v>
      </c>
      <c r="J163" s="12" t="n">
        <v>0.4026</v>
      </c>
      <c r="K163" s="12" t="n">
        <v>0.6103</v>
      </c>
      <c r="L163" s="3" t="n">
        <v>4</v>
      </c>
      <c r="M163" s="12" t="n">
        <f aca="false">Z163-W163</f>
        <v>0.146641</v>
      </c>
      <c r="N163" s="12" t="n">
        <f aca="false">IFERROR((Z163-J163)/L163,"")</f>
        <v>0.05191025</v>
      </c>
      <c r="O163" s="3" t="n">
        <v>11</v>
      </c>
      <c r="P163" s="13" t="b">
        <f aca="false">FALSE()</f>
        <v>0</v>
      </c>
      <c r="Q163" s="3" t="s">
        <v>166</v>
      </c>
      <c r="R163" s="12" t="n">
        <v>0.8809</v>
      </c>
      <c r="S163" s="12" t="n">
        <v>0.6073</v>
      </c>
      <c r="T163" s="3" t="n">
        <v>0.3422</v>
      </c>
      <c r="U163" s="12" t="n">
        <v>0.3846</v>
      </c>
      <c r="V163" s="12" t="n">
        <v>0.4472</v>
      </c>
      <c r="W163" s="12" t="n">
        <v>0.4636</v>
      </c>
      <c r="X163" s="3" t="n">
        <v>0.6161</v>
      </c>
      <c r="Y163" s="3" t="n">
        <v>0.6282</v>
      </c>
      <c r="Z163" s="14" t="n">
        <f aca="false">Assumptions!$B$3*R163+Assumptions!$B$4*S163+IF(AA163=1,Assumptions!$B$11,Assumptions!$B$5)*X163+IF(AA163=1,Assumptions!$B$12,Assumptions!$B$6)*T163+Assumptions!$B$7*U163+Assumptions!$B$8*V163+Assumptions!$B$9*Y163</f>
        <v>0.610241</v>
      </c>
      <c r="AA163" s="3" t="n">
        <v>0</v>
      </c>
    </row>
    <row r="164" customFormat="false" ht="15" hidden="false" customHeight="false" outlineLevel="0" collapsed="false">
      <c r="A164" s="3" t="s">
        <v>349</v>
      </c>
      <c r="B164" s="3" t="n">
        <v>530</v>
      </c>
      <c r="C164" s="11" t="str">
        <f aca="false">IF(M164&gt;=Assumptions!$B$17,"S+",IF(M164&gt;=Assumptions!$B$18,"S",IF(M164&gt;=Assumptions!$B$19,"A",IF(M164&gt;=Assumptions!$B$20,"B",IF(M164&gt;=Assumptions!$B$21,"C",IF(M164&gt;=Assumptions!$B$22,"D","F"))))))</f>
        <v>B</v>
      </c>
      <c r="D164" s="3" t="s">
        <v>197</v>
      </c>
      <c r="E164" s="3" t="n">
        <v>7</v>
      </c>
      <c r="F164" s="12" t="n">
        <v>0.9492</v>
      </c>
      <c r="G164" s="12" t="n">
        <v>0.6</v>
      </c>
      <c r="H164" s="12" t="n">
        <v>0.75</v>
      </c>
      <c r="I164" s="12" t="n">
        <v>0.7627</v>
      </c>
      <c r="J164" s="12" t="n">
        <v>0.4092</v>
      </c>
      <c r="K164" s="12" t="n">
        <v>0.633</v>
      </c>
      <c r="L164" s="3" t="n">
        <v>4</v>
      </c>
      <c r="M164" s="12" t="n">
        <f aca="false">Z164-W164</f>
        <v>0.146522</v>
      </c>
      <c r="N164" s="12" t="n">
        <f aca="false">IFERROR((Z164-J164)/L164,"")</f>
        <v>0.0559555</v>
      </c>
      <c r="O164" s="3" t="n">
        <v>13</v>
      </c>
      <c r="P164" s="13" t="b">
        <f aca="false">FALSE()</f>
        <v>0</v>
      </c>
      <c r="Q164" s="3" t="s">
        <v>166</v>
      </c>
      <c r="R164" s="12" t="n">
        <v>0.7742</v>
      </c>
      <c r="S164" s="12" t="n">
        <v>0.4731</v>
      </c>
      <c r="T164" s="3" t="n">
        <v>0.4748</v>
      </c>
      <c r="U164" s="12" t="n">
        <v>0.5267</v>
      </c>
      <c r="V164" s="12" t="n">
        <v>0.4981</v>
      </c>
      <c r="W164" s="12" t="n">
        <v>0.4865</v>
      </c>
      <c r="X164" s="3" t="n">
        <v>0.7498</v>
      </c>
      <c r="Y164" s="3" t="n">
        <v>0.7636</v>
      </c>
      <c r="Z164" s="14" t="n">
        <f aca="false">Assumptions!$B$3*R164+Assumptions!$B$4*S164+IF(AA164=1,Assumptions!$B$11,Assumptions!$B$5)*X164+IF(AA164=1,Assumptions!$B$12,Assumptions!$B$6)*T164+Assumptions!$B$7*U164+Assumptions!$B$8*V164+Assumptions!$B$9*Y164</f>
        <v>0.633022</v>
      </c>
      <c r="AA164" s="3" t="n">
        <v>0</v>
      </c>
    </row>
    <row r="165" customFormat="false" ht="15" hidden="false" customHeight="false" outlineLevel="0" collapsed="false">
      <c r="A165" s="3" t="s">
        <v>350</v>
      </c>
      <c r="B165" s="3" t="n">
        <v>495</v>
      </c>
      <c r="C165" s="11" t="str">
        <f aca="false">IF(M165&gt;=Assumptions!$B$17,"S+",IF(M165&gt;=Assumptions!$B$18,"S",IF(M165&gt;=Assumptions!$B$19,"A",IF(M165&gt;=Assumptions!$B$20,"B",IF(M165&gt;=Assumptions!$B$21,"C",IF(M165&gt;=Assumptions!$B$22,"D","F"))))))</f>
        <v>B</v>
      </c>
      <c r="D165" s="3" t="s">
        <v>169</v>
      </c>
      <c r="E165" s="3" t="n">
        <v>1</v>
      </c>
      <c r="F165" s="12" t="n">
        <v>0.8155</v>
      </c>
      <c r="G165" s="12" t="n">
        <v>1</v>
      </c>
      <c r="H165" s="12" t="n">
        <v>0.5694</v>
      </c>
      <c r="I165" s="12" t="n">
        <v>0.877</v>
      </c>
      <c r="J165" s="12" t="n">
        <v>0.4663</v>
      </c>
      <c r="K165" s="12" t="n">
        <v>0.6113</v>
      </c>
      <c r="L165" s="3" t="n">
        <v>6.37</v>
      </c>
      <c r="M165" s="12" t="n">
        <f aca="false">Z165-W165</f>
        <v>0.14641</v>
      </c>
      <c r="N165" s="12" t="n">
        <f aca="false">IFERROR((Z165-J165)/L165,"")</f>
        <v>0.0227645211930926</v>
      </c>
      <c r="O165" s="3" t="n">
        <v>19</v>
      </c>
      <c r="P165" s="13" t="b">
        <f aca="false">FALSE()</f>
        <v>0</v>
      </c>
      <c r="Q165" s="3" t="s">
        <v>166</v>
      </c>
      <c r="R165" s="12" t="n">
        <v>0.7374</v>
      </c>
      <c r="S165" s="12" t="n">
        <v>0.6762</v>
      </c>
      <c r="T165" s="3" t="n">
        <v>0.2807</v>
      </c>
      <c r="U165" s="12" t="n">
        <v>0.3765</v>
      </c>
      <c r="V165" s="12" t="n">
        <v>0.4854</v>
      </c>
      <c r="W165" s="12" t="n">
        <v>0.4649</v>
      </c>
      <c r="X165" s="3" t="n">
        <v>0.5781</v>
      </c>
      <c r="Y165" s="3" t="n">
        <v>0.7714</v>
      </c>
      <c r="Z165" s="14" t="n">
        <f aca="false">Assumptions!$B$3*R165+Assumptions!$B$4*S165+IF(AA165=1,Assumptions!$B$11,Assumptions!$B$5)*X165+IF(AA165=1,Assumptions!$B$12,Assumptions!$B$6)*T165+Assumptions!$B$7*U165+Assumptions!$B$8*V165+Assumptions!$B$9*Y165</f>
        <v>0.61131</v>
      </c>
      <c r="AA165" s="3" t="n">
        <v>1</v>
      </c>
    </row>
    <row r="166" customFormat="false" ht="15" hidden="false" customHeight="false" outlineLevel="0" collapsed="false">
      <c r="A166" s="3" t="s">
        <v>351</v>
      </c>
      <c r="B166" s="3" t="n">
        <v>570</v>
      </c>
      <c r="C166" s="11" t="str">
        <f aca="false">IF(M166&gt;=Assumptions!$B$17,"S+",IF(M166&gt;=Assumptions!$B$18,"S",IF(M166&gt;=Assumptions!$B$19,"A",IF(M166&gt;=Assumptions!$B$20,"B",IF(M166&gt;=Assumptions!$B$21,"C",IF(M166&gt;=Assumptions!$B$22,"D","F"))))))</f>
        <v>B</v>
      </c>
      <c r="D166" s="3" t="s">
        <v>190</v>
      </c>
      <c r="E166" s="3" t="n">
        <v>1</v>
      </c>
      <c r="F166" s="12" t="n">
        <v>0.7047</v>
      </c>
      <c r="G166" s="12" t="n">
        <v>1</v>
      </c>
      <c r="H166" s="12" t="n">
        <v>0.75</v>
      </c>
      <c r="I166" s="12" t="n">
        <v>0.8378</v>
      </c>
      <c r="J166" s="12" t="n">
        <v>0.3931</v>
      </c>
      <c r="K166" s="12" t="n">
        <v>0.5902</v>
      </c>
      <c r="L166" s="3" t="n">
        <v>4.26</v>
      </c>
      <c r="M166" s="12" t="n">
        <f aca="false">Z166-W166</f>
        <v>0.145734</v>
      </c>
      <c r="N166" s="12" t="n">
        <f aca="false">IFERROR((Z166-J166)/L166,"")</f>
        <v>0.0462755868544601</v>
      </c>
      <c r="O166" s="3" t="n">
        <v>19</v>
      </c>
      <c r="P166" s="13" t="b">
        <f aca="false">FALSE()</f>
        <v>0</v>
      </c>
      <c r="Q166" s="3" t="s">
        <v>166</v>
      </c>
      <c r="R166" s="12" t="n">
        <v>0.798</v>
      </c>
      <c r="S166" s="12" t="n">
        <v>0.6786</v>
      </c>
      <c r="T166" s="3" t="n">
        <v>0.3453</v>
      </c>
      <c r="U166" s="12" t="n">
        <v>0.4656</v>
      </c>
      <c r="V166" s="12" t="n">
        <v>0.3496</v>
      </c>
      <c r="W166" s="12" t="n">
        <v>0.4445</v>
      </c>
      <c r="X166" s="3" t="n">
        <v>0.5172</v>
      </c>
      <c r="Y166" s="3" t="n">
        <v>0.7176</v>
      </c>
      <c r="Z166" s="14" t="n">
        <f aca="false">Assumptions!$B$3*R166+Assumptions!$B$4*S166+IF(AA166=1,Assumptions!$B$11,Assumptions!$B$5)*X166+IF(AA166=1,Assumptions!$B$12,Assumptions!$B$6)*T166+Assumptions!$B$7*U166+Assumptions!$B$8*V166+Assumptions!$B$9*Y166</f>
        <v>0.590234</v>
      </c>
      <c r="AA166" s="3" t="n">
        <v>0</v>
      </c>
    </row>
    <row r="167" customFormat="false" ht="15" hidden="false" customHeight="false" outlineLevel="0" collapsed="false">
      <c r="A167" s="3" t="s">
        <v>352</v>
      </c>
      <c r="B167" s="3" t="n">
        <v>430</v>
      </c>
      <c r="C167" s="11" t="str">
        <f aca="false">IF(M167&gt;=Assumptions!$B$17,"S+",IF(M167&gt;=Assumptions!$B$18,"S",IF(M167&gt;=Assumptions!$B$19,"A",IF(M167&gt;=Assumptions!$B$20,"B",IF(M167&gt;=Assumptions!$B$21,"C",IF(M167&gt;=Assumptions!$B$22,"D","F"))))))</f>
        <v>B</v>
      </c>
      <c r="D167" s="3" t="s">
        <v>186</v>
      </c>
      <c r="E167" s="3" t="n">
        <v>2</v>
      </c>
      <c r="F167" s="12" t="n">
        <v>0.7124</v>
      </c>
      <c r="G167" s="12" t="n">
        <v>1</v>
      </c>
      <c r="H167" s="12" t="n">
        <v>0.75</v>
      </c>
      <c r="I167" s="12" t="n">
        <v>0.8982</v>
      </c>
      <c r="J167" s="12" t="n">
        <v>0.3578</v>
      </c>
      <c r="K167" s="12" t="n">
        <v>0.583</v>
      </c>
      <c r="L167" s="3" t="n">
        <v>5.81</v>
      </c>
      <c r="M167" s="12" t="n">
        <f aca="false">Z167-W167</f>
        <v>0.145098</v>
      </c>
      <c r="N167" s="12" t="n">
        <f aca="false">IFERROR((Z167-J167)/L167,"")</f>
        <v>0.038760413080895</v>
      </c>
      <c r="O167" s="3" t="n">
        <v>18</v>
      </c>
      <c r="P167" s="13" t="b">
        <f aca="false">FALSE()</f>
        <v>0</v>
      </c>
      <c r="Q167" s="3" t="s">
        <v>166</v>
      </c>
      <c r="R167" s="12" t="n">
        <v>0.8215</v>
      </c>
      <c r="S167" s="12" t="n">
        <v>0.5649</v>
      </c>
      <c r="T167" s="3" t="n">
        <v>0.0814</v>
      </c>
      <c r="U167" s="12" t="n">
        <v>0.4487</v>
      </c>
      <c r="V167" s="12" t="n">
        <v>0.3879</v>
      </c>
      <c r="W167" s="12" t="n">
        <v>0.4379</v>
      </c>
      <c r="X167" s="3" t="n">
        <v>0.4612</v>
      </c>
      <c r="Y167" s="3" t="n">
        <v>0.8319</v>
      </c>
      <c r="Z167" s="14" t="n">
        <f aca="false">Assumptions!$B$3*R167+Assumptions!$B$4*S167+IF(AA167=1,Assumptions!$B$11,Assumptions!$B$5)*X167+IF(AA167=1,Assumptions!$B$12,Assumptions!$B$6)*T167+Assumptions!$B$7*U167+Assumptions!$B$8*V167+Assumptions!$B$9*Y167</f>
        <v>0.582998</v>
      </c>
      <c r="AA167" s="3" t="n">
        <v>1</v>
      </c>
    </row>
    <row r="168" customFormat="false" ht="15" hidden="false" customHeight="false" outlineLevel="0" collapsed="false">
      <c r="A168" s="3" t="s">
        <v>353</v>
      </c>
      <c r="B168" s="3" t="n">
        <v>483</v>
      </c>
      <c r="C168" s="11" t="str">
        <f aca="false">IF(M168&gt;=Assumptions!$B$17,"S+",IF(M168&gt;=Assumptions!$B$18,"S",IF(M168&gt;=Assumptions!$B$19,"A",IF(M168&gt;=Assumptions!$B$20,"B",IF(M168&gt;=Assumptions!$B$21,"C",IF(M168&gt;=Assumptions!$B$22,"D","F"))))))</f>
        <v>B</v>
      </c>
      <c r="D168" s="3" t="s">
        <v>171</v>
      </c>
      <c r="E168" s="3" t="n">
        <v>7</v>
      </c>
      <c r="F168" s="12" t="n">
        <v>0.8188</v>
      </c>
      <c r="G168" s="12" t="n">
        <v>0.6</v>
      </c>
      <c r="H168" s="12" t="n">
        <v>0.75</v>
      </c>
      <c r="I168" s="12" t="n">
        <v>0.6694</v>
      </c>
      <c r="J168" s="12" t="n">
        <v>0.3692</v>
      </c>
      <c r="K168" s="12" t="n">
        <v>0.5924</v>
      </c>
      <c r="L168" s="3" t="n">
        <v>4</v>
      </c>
      <c r="M168" s="12" t="n">
        <f aca="false">Z168-W168</f>
        <v>0.144899</v>
      </c>
      <c r="N168" s="12" t="n">
        <f aca="false">IFERROR((Z168-J168)/L168,"")</f>
        <v>0.05579975</v>
      </c>
      <c r="O168" s="3" t="n">
        <v>13</v>
      </c>
      <c r="P168" s="13" t="b">
        <f aca="false">FALSE()</f>
        <v>0</v>
      </c>
      <c r="Q168" s="3" t="s">
        <v>166</v>
      </c>
      <c r="R168" s="12" t="n">
        <v>0.7508</v>
      </c>
      <c r="S168" s="12" t="n">
        <v>0.6144</v>
      </c>
      <c r="T168" s="3" t="n">
        <v>0.0665</v>
      </c>
      <c r="U168" s="12" t="n">
        <v>0.497</v>
      </c>
      <c r="V168" s="12" t="n">
        <v>0.5095</v>
      </c>
      <c r="W168" s="12" t="n">
        <v>0.4475</v>
      </c>
      <c r="X168" s="3" t="n">
        <v>0.5444</v>
      </c>
      <c r="Y168" s="3" t="n">
        <v>0.6597</v>
      </c>
      <c r="Z168" s="14" t="n">
        <f aca="false">Assumptions!$B$3*R168+Assumptions!$B$4*S168+IF(AA168=1,Assumptions!$B$11,Assumptions!$B$5)*X168+IF(AA168=1,Assumptions!$B$12,Assumptions!$B$6)*T168+Assumptions!$B$7*U168+Assumptions!$B$8*V168+Assumptions!$B$9*Y168</f>
        <v>0.592399</v>
      </c>
      <c r="AA168" s="3" t="n">
        <v>1</v>
      </c>
    </row>
    <row r="169" customFormat="false" ht="15" hidden="false" customHeight="false" outlineLevel="0" collapsed="false">
      <c r="A169" s="3" t="s">
        <v>354</v>
      </c>
      <c r="B169" s="3" t="n">
        <v>490</v>
      </c>
      <c r="C169" s="11" t="str">
        <f aca="false">IF(M169&gt;=Assumptions!$B$17,"S+",IF(M169&gt;=Assumptions!$B$18,"S",IF(M169&gt;=Assumptions!$B$19,"A",IF(M169&gt;=Assumptions!$B$20,"B",IF(M169&gt;=Assumptions!$B$21,"C",IF(M169&gt;=Assumptions!$B$22,"D","F"))))))</f>
        <v>B</v>
      </c>
      <c r="D169" s="3" t="s">
        <v>200</v>
      </c>
      <c r="E169" s="3" t="n">
        <v>2</v>
      </c>
      <c r="F169" s="12" t="n">
        <v>0.7635</v>
      </c>
      <c r="G169" s="12" t="n">
        <v>0.85</v>
      </c>
      <c r="H169" s="12" t="n">
        <v>0.4692</v>
      </c>
      <c r="I169" s="12" t="n">
        <v>0.7522</v>
      </c>
      <c r="J169" s="12" t="n">
        <v>0.4805</v>
      </c>
      <c r="K169" s="12" t="n">
        <v>0.6405</v>
      </c>
      <c r="L169" s="3" t="n">
        <v>4.83</v>
      </c>
      <c r="M169" s="12" t="n">
        <f aca="false">Z169-W169</f>
        <v>0.143906</v>
      </c>
      <c r="N169" s="12" t="n">
        <f aca="false">IFERROR((Z169-J169)/L169,"")</f>
        <v>0.0331275362318841</v>
      </c>
      <c r="O169" s="3" t="n">
        <v>18</v>
      </c>
      <c r="P169" s="13" t="b">
        <f aca="false">FALSE()</f>
        <v>0</v>
      </c>
      <c r="Q169" s="3" t="s">
        <v>166</v>
      </c>
      <c r="R169" s="12" t="n">
        <v>0.8092</v>
      </c>
      <c r="S169" s="12" t="n">
        <v>0.7082</v>
      </c>
      <c r="T169" s="3" t="n">
        <v>0.061</v>
      </c>
      <c r="U169" s="12" t="n">
        <v>0.3718</v>
      </c>
      <c r="V169" s="12" t="n">
        <v>0.4902</v>
      </c>
      <c r="W169" s="12" t="n">
        <v>0.4966</v>
      </c>
      <c r="X169" s="3" t="n">
        <v>0.6578</v>
      </c>
      <c r="Y169" s="3" t="n">
        <v>0.7247</v>
      </c>
      <c r="Z169" s="14" t="n">
        <f aca="false">Assumptions!$B$3*R169+Assumptions!$B$4*S169+IF(AA169=1,Assumptions!$B$11,Assumptions!$B$5)*X169+IF(AA169=1,Assumptions!$B$12,Assumptions!$B$6)*T169+Assumptions!$B$7*U169+Assumptions!$B$8*V169+Assumptions!$B$9*Y169</f>
        <v>0.640506</v>
      </c>
      <c r="AA169" s="3" t="n">
        <v>1</v>
      </c>
    </row>
    <row r="170" customFormat="false" ht="15" hidden="false" customHeight="false" outlineLevel="0" collapsed="false">
      <c r="A170" s="3" t="s">
        <v>355</v>
      </c>
      <c r="B170" s="3" t="n">
        <v>570</v>
      </c>
      <c r="C170" s="11" t="str">
        <f aca="false">IF(M170&gt;=Assumptions!$B$17,"S+",IF(M170&gt;=Assumptions!$B$18,"S",IF(M170&gt;=Assumptions!$B$19,"A",IF(M170&gt;=Assumptions!$B$20,"B",IF(M170&gt;=Assumptions!$B$21,"C",IF(M170&gt;=Assumptions!$B$22,"D","F"))))))</f>
        <v>B</v>
      </c>
      <c r="D170" s="3" t="s">
        <v>190</v>
      </c>
      <c r="E170" s="3" t="n">
        <v>5</v>
      </c>
      <c r="F170" s="12" t="n">
        <v>0.9534</v>
      </c>
      <c r="G170" s="12" t="n">
        <v>0.6</v>
      </c>
      <c r="H170" s="12" t="n">
        <v>0.75</v>
      </c>
      <c r="I170" s="12" t="n">
        <v>0.7643</v>
      </c>
      <c r="J170" s="12" t="n">
        <v>0.4144</v>
      </c>
      <c r="K170" s="12" t="n">
        <v>0.6216</v>
      </c>
      <c r="L170" s="3" t="n">
        <v>3.93</v>
      </c>
      <c r="M170" s="12" t="n">
        <f aca="false">Z170-W170</f>
        <v>0.143541</v>
      </c>
      <c r="N170" s="12" t="n">
        <f aca="false">IFERROR((Z170-J170)/L170,"")</f>
        <v>0.0527076335877863</v>
      </c>
      <c r="O170" s="3" t="n">
        <v>15</v>
      </c>
      <c r="P170" s="13" t="b">
        <f aca="false">FALSE()</f>
        <v>0</v>
      </c>
      <c r="Q170" s="3" t="s">
        <v>166</v>
      </c>
      <c r="R170" s="12" t="n">
        <v>0.8962</v>
      </c>
      <c r="S170" s="12" t="n">
        <v>0.5781</v>
      </c>
      <c r="T170" s="3" t="n">
        <v>0.4368</v>
      </c>
      <c r="U170" s="12" t="n">
        <v>0.4359</v>
      </c>
      <c r="V170" s="12" t="n">
        <v>0.5272</v>
      </c>
      <c r="W170" s="12" t="n">
        <v>0.478</v>
      </c>
      <c r="X170" s="3" t="n">
        <v>0.4796</v>
      </c>
      <c r="Y170" s="3" t="n">
        <v>0.7108</v>
      </c>
      <c r="Z170" s="14" t="n">
        <f aca="false">Assumptions!$B$3*R170+Assumptions!$B$4*S170+IF(AA170=1,Assumptions!$B$11,Assumptions!$B$5)*X170+IF(AA170=1,Assumptions!$B$12,Assumptions!$B$6)*T170+Assumptions!$B$7*U170+Assumptions!$B$8*V170+Assumptions!$B$9*Y170</f>
        <v>0.621541</v>
      </c>
      <c r="AA170" s="3" t="n">
        <v>0</v>
      </c>
    </row>
    <row r="171" customFormat="false" ht="15" hidden="false" customHeight="false" outlineLevel="0" collapsed="false">
      <c r="A171" s="3" t="s">
        <v>356</v>
      </c>
      <c r="B171" s="3" t="n">
        <v>600</v>
      </c>
      <c r="C171" s="11" t="str">
        <f aca="false">IF(M171&gt;=Assumptions!$B$17,"S+",IF(M171&gt;=Assumptions!$B$18,"S",IF(M171&gt;=Assumptions!$B$19,"A",IF(M171&gt;=Assumptions!$B$20,"B",IF(M171&gt;=Assumptions!$B$21,"C",IF(M171&gt;=Assumptions!$B$22,"D","F"))))))</f>
        <v>B</v>
      </c>
      <c r="D171" s="3" t="s">
        <v>218</v>
      </c>
      <c r="E171" s="3" t="n">
        <v>8</v>
      </c>
      <c r="F171" s="12" t="n">
        <v>0.9001</v>
      </c>
      <c r="G171" s="12" t="n">
        <v>0.6</v>
      </c>
      <c r="H171" s="12" t="n">
        <v>0.75</v>
      </c>
      <c r="I171" s="12" t="n">
        <v>0.726</v>
      </c>
      <c r="J171" s="12" t="n">
        <v>0.3862</v>
      </c>
      <c r="K171" s="12" t="n">
        <v>0.6531</v>
      </c>
      <c r="L171" s="3" t="n">
        <v>4</v>
      </c>
      <c r="M171" s="12" t="n">
        <f aca="false">Z171-W171</f>
        <v>0.143486</v>
      </c>
      <c r="N171" s="12" t="n">
        <f aca="false">IFERROR((Z171-J171)/L171,"")</f>
        <v>0.0667215</v>
      </c>
      <c r="O171" s="3" t="n">
        <v>12</v>
      </c>
      <c r="P171" s="13" t="b">
        <f aca="false">FALSE()</f>
        <v>0</v>
      </c>
      <c r="Q171" s="3" t="s">
        <v>166</v>
      </c>
      <c r="R171" s="12" t="n">
        <v>0.9065</v>
      </c>
      <c r="S171" s="12" t="n">
        <v>0.5977</v>
      </c>
      <c r="T171" s="3" t="n">
        <v>0.164</v>
      </c>
      <c r="U171" s="12" t="n">
        <v>0.5064</v>
      </c>
      <c r="V171" s="12" t="n">
        <v>0.5195</v>
      </c>
      <c r="W171" s="12" t="n">
        <v>0.5096</v>
      </c>
      <c r="X171" s="3" t="n">
        <v>0.7971</v>
      </c>
      <c r="Y171" s="3" t="n">
        <v>0.7274</v>
      </c>
      <c r="Z171" s="14" t="n">
        <f aca="false">Assumptions!$B$3*R171+Assumptions!$B$4*S171+IF(AA171=1,Assumptions!$B$11,Assumptions!$B$5)*X171+IF(AA171=1,Assumptions!$B$12,Assumptions!$B$6)*T171+Assumptions!$B$7*U171+Assumptions!$B$8*V171+Assumptions!$B$9*Y171</f>
        <v>0.653086</v>
      </c>
      <c r="AA171" s="3" t="n">
        <v>0</v>
      </c>
    </row>
    <row r="172" customFormat="false" ht="15" hidden="false" customHeight="false" outlineLevel="0" collapsed="false">
      <c r="A172" s="3" t="s">
        <v>357</v>
      </c>
      <c r="B172" s="3" t="n">
        <v>590</v>
      </c>
      <c r="C172" s="11" t="str">
        <f aca="false">IF(M172&gt;=Assumptions!$B$17,"S+",IF(M172&gt;=Assumptions!$B$18,"S",IF(M172&gt;=Assumptions!$B$19,"A",IF(M172&gt;=Assumptions!$B$20,"B",IF(M172&gt;=Assumptions!$B$21,"C",IF(M172&gt;=Assumptions!$B$22,"D","F"))))))</f>
        <v>B</v>
      </c>
      <c r="D172" s="3" t="s">
        <v>247</v>
      </c>
      <c r="E172" s="3" t="n">
        <v>7</v>
      </c>
      <c r="F172" s="12" t="n">
        <v>0.7786</v>
      </c>
      <c r="G172" s="12" t="n">
        <v>0.6</v>
      </c>
      <c r="H172" s="12" t="n">
        <v>0.75</v>
      </c>
      <c r="I172" s="12" t="n">
        <v>0.6872</v>
      </c>
      <c r="J172" s="12" t="n">
        <v>0.3668</v>
      </c>
      <c r="K172" s="12" t="n">
        <v>0.6275</v>
      </c>
      <c r="L172" s="3" t="n">
        <v>4</v>
      </c>
      <c r="M172" s="12" t="n">
        <f aca="false">Z172-W172</f>
        <v>0.143336</v>
      </c>
      <c r="N172" s="12" t="n">
        <f aca="false">IFERROR((Z172-J172)/L172,"")</f>
        <v>0.065184</v>
      </c>
      <c r="O172" s="3" t="n">
        <v>13</v>
      </c>
      <c r="P172" s="13" t="b">
        <f aca="false">FALSE()</f>
        <v>0</v>
      </c>
      <c r="Q172" s="3" t="s">
        <v>166</v>
      </c>
      <c r="R172" s="12" t="n">
        <v>0.8225</v>
      </c>
      <c r="S172" s="12" t="n">
        <v>0.6615</v>
      </c>
      <c r="T172" s="3" t="n">
        <v>0.0618</v>
      </c>
      <c r="U172" s="12" t="n">
        <v>0.5326</v>
      </c>
      <c r="V172" s="12" t="n">
        <v>0.4567</v>
      </c>
      <c r="W172" s="12" t="n">
        <v>0.4842</v>
      </c>
      <c r="X172" s="3" t="n">
        <v>0.8613</v>
      </c>
      <c r="Y172" s="3" t="n">
        <v>0.6574</v>
      </c>
      <c r="Z172" s="14" t="n">
        <f aca="false">Assumptions!$B$3*R172+Assumptions!$B$4*S172+IF(AA172=1,Assumptions!$B$11,Assumptions!$B$5)*X172+IF(AA172=1,Assumptions!$B$12,Assumptions!$B$6)*T172+Assumptions!$B$7*U172+Assumptions!$B$8*V172+Assumptions!$B$9*Y172</f>
        <v>0.627536</v>
      </c>
      <c r="AA172" s="3" t="n">
        <v>0</v>
      </c>
    </row>
    <row r="173" customFormat="false" ht="15" hidden="false" customHeight="false" outlineLevel="0" collapsed="false">
      <c r="A173" s="3" t="s">
        <v>358</v>
      </c>
      <c r="B173" s="3" t="n">
        <v>625</v>
      </c>
      <c r="C173" s="11" t="str">
        <f aca="false">IF(M173&gt;=Assumptions!$B$17,"S+",IF(M173&gt;=Assumptions!$B$18,"S",IF(M173&gt;=Assumptions!$B$19,"A",IF(M173&gt;=Assumptions!$B$20,"B",IF(M173&gt;=Assumptions!$B$21,"C",IF(M173&gt;=Assumptions!$B$22,"D","F"))))))</f>
        <v>B</v>
      </c>
      <c r="D173" s="3" t="s">
        <v>228</v>
      </c>
      <c r="E173" s="3" t="n">
        <v>7</v>
      </c>
      <c r="F173" s="12" t="n">
        <v>0.9818</v>
      </c>
      <c r="G173" s="12" t="n">
        <v>1</v>
      </c>
      <c r="H173" s="12" t="n">
        <v>0.75</v>
      </c>
      <c r="I173" s="12" t="n">
        <v>0.9442</v>
      </c>
      <c r="J173" s="12" t="n">
        <v>0.4361</v>
      </c>
      <c r="K173" s="12" t="n">
        <v>0.6074</v>
      </c>
      <c r="L173" s="3" t="n">
        <v>4</v>
      </c>
      <c r="M173" s="12" t="n">
        <f aca="false">Z173-W173</f>
        <v>0.143242</v>
      </c>
      <c r="N173" s="12" t="n">
        <f aca="false">IFERROR((Z173-J173)/L173,"")</f>
        <v>0.0428105</v>
      </c>
      <c r="O173" s="3" t="n">
        <v>13</v>
      </c>
      <c r="P173" s="13" t="b">
        <f aca="false">FALSE()</f>
        <v>0</v>
      </c>
      <c r="Q173" s="3" t="s">
        <v>166</v>
      </c>
      <c r="R173" s="12" t="n">
        <v>0.9472</v>
      </c>
      <c r="S173" s="12" t="n">
        <v>0.4282</v>
      </c>
      <c r="T173" s="3" t="n">
        <v>0.4306</v>
      </c>
      <c r="U173" s="12" t="n">
        <v>0.426</v>
      </c>
      <c r="V173" s="12" t="n">
        <v>0.5008</v>
      </c>
      <c r="W173" s="12" t="n">
        <v>0.4641</v>
      </c>
      <c r="X173" s="3" t="n">
        <v>0.331</v>
      </c>
      <c r="Y173" s="3" t="n">
        <v>0.9452</v>
      </c>
      <c r="Z173" s="14" t="n">
        <f aca="false">Assumptions!$B$3*R173+Assumptions!$B$4*S173+IF(AA173=1,Assumptions!$B$11,Assumptions!$B$5)*X173+IF(AA173=1,Assumptions!$B$12,Assumptions!$B$6)*T173+Assumptions!$B$7*U173+Assumptions!$B$8*V173+Assumptions!$B$9*Y173</f>
        <v>0.607342</v>
      </c>
      <c r="AA173" s="3" t="n">
        <v>0</v>
      </c>
    </row>
    <row r="174" customFormat="false" ht="15" hidden="false" customHeight="false" outlineLevel="0" collapsed="false">
      <c r="A174" s="3" t="s">
        <v>359</v>
      </c>
      <c r="B174" s="3" t="n">
        <v>477</v>
      </c>
      <c r="C174" s="11" t="str">
        <f aca="false">IF(M174&gt;=Assumptions!$B$17,"S+",IF(M174&gt;=Assumptions!$B$18,"S",IF(M174&gt;=Assumptions!$B$19,"A",IF(M174&gt;=Assumptions!$B$20,"B",IF(M174&gt;=Assumptions!$B$21,"C",IF(M174&gt;=Assumptions!$B$22,"D","F"))))))</f>
        <v>B</v>
      </c>
      <c r="D174" s="3" t="s">
        <v>183</v>
      </c>
      <c r="E174" s="3" t="n">
        <v>4</v>
      </c>
      <c r="F174" s="12" t="n">
        <v>0.8846</v>
      </c>
      <c r="G174" s="12" t="n">
        <v>0.64</v>
      </c>
      <c r="H174" s="12" t="n">
        <v>0.4901</v>
      </c>
      <c r="I174" s="12" t="n">
        <v>0.671</v>
      </c>
      <c r="J174" s="12" t="n">
        <v>0.4666</v>
      </c>
      <c r="K174" s="12" t="n">
        <v>0.6422</v>
      </c>
      <c r="L174" s="3" t="n">
        <v>4.84</v>
      </c>
      <c r="M174" s="12" t="n">
        <f aca="false">Z174-W174</f>
        <v>0.142564</v>
      </c>
      <c r="N174" s="12" t="n">
        <f aca="false">IFERROR((Z174-J174)/L174,"")</f>
        <v>0.0362735537190083</v>
      </c>
      <c r="O174" s="3" t="n">
        <v>16</v>
      </c>
      <c r="P174" s="13" t="b">
        <f aca="false">FALSE()</f>
        <v>0</v>
      </c>
      <c r="Q174" s="3" t="s">
        <v>166</v>
      </c>
      <c r="R174" s="12" t="n">
        <v>0.7333</v>
      </c>
      <c r="S174" s="12" t="n">
        <v>0.7511</v>
      </c>
      <c r="T174" s="3" t="n">
        <v>0.1308</v>
      </c>
      <c r="U174" s="12" t="n">
        <v>0.3317</v>
      </c>
      <c r="V174" s="12" t="n">
        <v>0.5075</v>
      </c>
      <c r="W174" s="12" t="n">
        <v>0.4996</v>
      </c>
      <c r="X174" s="3" t="n">
        <v>0.7366</v>
      </c>
      <c r="Y174" s="3" t="n">
        <v>0.6783</v>
      </c>
      <c r="Z174" s="14" t="n">
        <f aca="false">Assumptions!$B$3*R174+Assumptions!$B$4*S174+IF(AA174=1,Assumptions!$B$11,Assumptions!$B$5)*X174+IF(AA174=1,Assumptions!$B$12,Assumptions!$B$6)*T174+Assumptions!$B$7*U174+Assumptions!$B$8*V174+Assumptions!$B$9*Y174</f>
        <v>0.642164</v>
      </c>
      <c r="AA174" s="3" t="n">
        <v>1</v>
      </c>
    </row>
    <row r="175" customFormat="false" ht="15" hidden="false" customHeight="false" outlineLevel="0" collapsed="false">
      <c r="A175" s="3" t="s">
        <v>360</v>
      </c>
      <c r="B175" s="3" t="n">
        <v>530</v>
      </c>
      <c r="C175" s="11" t="str">
        <f aca="false">IF(M175&gt;=Assumptions!$B$17,"S+",IF(M175&gt;=Assumptions!$B$18,"S",IF(M175&gt;=Assumptions!$B$19,"A",IF(M175&gt;=Assumptions!$B$20,"B",IF(M175&gt;=Assumptions!$B$21,"C",IF(M175&gt;=Assumptions!$B$22,"D","F"))))))</f>
        <v>B</v>
      </c>
      <c r="D175" s="3" t="s">
        <v>206</v>
      </c>
      <c r="E175" s="3" t="n">
        <v>7</v>
      </c>
      <c r="F175" s="12" t="n">
        <v>0.8806</v>
      </c>
      <c r="G175" s="12" t="n">
        <v>0.64</v>
      </c>
      <c r="H175" s="12" t="n">
        <v>0.494</v>
      </c>
      <c r="I175" s="12" t="n">
        <v>0.6709</v>
      </c>
      <c r="J175" s="12" t="n">
        <v>0.3596</v>
      </c>
      <c r="K175" s="12" t="n">
        <v>0.5574</v>
      </c>
      <c r="L175" s="3" t="n">
        <v>5</v>
      </c>
      <c r="M175" s="12" t="n">
        <f aca="false">Z175-W175</f>
        <v>0.142329</v>
      </c>
      <c r="N175" s="12" t="n">
        <f aca="false">IFERROR((Z175-J175)/L175,"")</f>
        <v>0.0395658</v>
      </c>
      <c r="O175" s="3" t="n">
        <v>13</v>
      </c>
      <c r="P175" s="13" t="b">
        <f aca="false">FALSE()</f>
        <v>0</v>
      </c>
      <c r="Q175" s="3" t="s">
        <v>166</v>
      </c>
      <c r="R175" s="12" t="n">
        <v>0.7856</v>
      </c>
      <c r="S175" s="12" t="n">
        <v>0.5505</v>
      </c>
      <c r="T175" s="3" t="n">
        <v>0.1513</v>
      </c>
      <c r="U175" s="12" t="n">
        <v>0.2604</v>
      </c>
      <c r="V175" s="12" t="n">
        <v>0.518</v>
      </c>
      <c r="W175" s="12" t="n">
        <v>0.4151</v>
      </c>
      <c r="X175" s="3" t="n">
        <v>0.4739</v>
      </c>
      <c r="Y175" s="3" t="n">
        <v>0.6779</v>
      </c>
      <c r="Z175" s="14" t="n">
        <f aca="false">Assumptions!$B$3*R175+Assumptions!$B$4*S175+IF(AA175=1,Assumptions!$B$11,Assumptions!$B$5)*X175+IF(AA175=1,Assumptions!$B$12,Assumptions!$B$6)*T175+Assumptions!$B$7*U175+Assumptions!$B$8*V175+Assumptions!$B$9*Y175</f>
        <v>0.557429</v>
      </c>
      <c r="AA175" s="3" t="n">
        <v>1</v>
      </c>
    </row>
    <row r="176" customFormat="false" ht="15" hidden="false" customHeight="false" outlineLevel="0" collapsed="false">
      <c r="A176" s="3" t="s">
        <v>361</v>
      </c>
      <c r="B176" s="3" t="n">
        <v>495</v>
      </c>
      <c r="C176" s="11" t="str">
        <f aca="false">IF(M176&gt;=Assumptions!$B$17,"S+",IF(M176&gt;=Assumptions!$B$18,"S",IF(M176&gt;=Assumptions!$B$19,"A",IF(M176&gt;=Assumptions!$B$20,"B",IF(M176&gt;=Assumptions!$B$21,"C",IF(M176&gt;=Assumptions!$B$22,"D","F"))))))</f>
        <v>B</v>
      </c>
      <c r="D176" s="3" t="s">
        <v>206</v>
      </c>
      <c r="E176" s="3" t="n">
        <v>2</v>
      </c>
      <c r="F176" s="12" t="n">
        <v>0.8934</v>
      </c>
      <c r="G176" s="12" t="n">
        <v>0.88</v>
      </c>
      <c r="H176" s="12" t="n">
        <v>0.4762</v>
      </c>
      <c r="I176" s="12" t="n">
        <v>0.7828</v>
      </c>
      <c r="J176" s="12" t="n">
        <v>0.4279</v>
      </c>
      <c r="K176" s="12" t="n">
        <v>0.6126</v>
      </c>
      <c r="L176" s="3" t="n">
        <v>5.92</v>
      </c>
      <c r="M176" s="12" t="n">
        <f aca="false">Z176-W176</f>
        <v>0.142117</v>
      </c>
      <c r="N176" s="12" t="n">
        <f aca="false">IFERROR((Z176-J176)/L176,"")</f>
        <v>0.0312021959459459</v>
      </c>
      <c r="O176" s="3" t="n">
        <v>18</v>
      </c>
      <c r="P176" s="13" t="b">
        <f aca="false">FALSE()</f>
        <v>0</v>
      </c>
      <c r="Q176" s="3" t="s">
        <v>166</v>
      </c>
      <c r="R176" s="12" t="n">
        <v>0.6778</v>
      </c>
      <c r="S176" s="12" t="n">
        <v>0.7252</v>
      </c>
      <c r="T176" s="3" t="n">
        <v>0.4385</v>
      </c>
      <c r="U176" s="12" t="n">
        <v>0.3419</v>
      </c>
      <c r="V176" s="12" t="n">
        <v>0.4579</v>
      </c>
      <c r="W176" s="12" t="n">
        <v>0.4705</v>
      </c>
      <c r="X176" s="3" t="n">
        <v>0.6425</v>
      </c>
      <c r="Y176" s="3" t="n">
        <v>0.7131</v>
      </c>
      <c r="Z176" s="14" t="n">
        <f aca="false">Assumptions!$B$3*R176+Assumptions!$B$4*S176+IF(AA176=1,Assumptions!$B$11,Assumptions!$B$5)*X176+IF(AA176=1,Assumptions!$B$12,Assumptions!$B$6)*T176+Assumptions!$B$7*U176+Assumptions!$B$8*V176+Assumptions!$B$9*Y176</f>
        <v>0.612617</v>
      </c>
      <c r="AA176" s="3" t="n">
        <v>1</v>
      </c>
    </row>
    <row r="177" customFormat="false" ht="15" hidden="false" customHeight="false" outlineLevel="0" collapsed="false">
      <c r="A177" s="3" t="s">
        <v>362</v>
      </c>
      <c r="B177" s="3" t="n">
        <v>600</v>
      </c>
      <c r="C177" s="11" t="str">
        <f aca="false">IF(M177&gt;=Assumptions!$B$17,"S+",IF(M177&gt;=Assumptions!$B$18,"S",IF(M177&gt;=Assumptions!$B$19,"A",IF(M177&gt;=Assumptions!$B$20,"B",IF(M177&gt;=Assumptions!$B$21,"C",IF(M177&gt;=Assumptions!$B$22,"D","F"))))))</f>
        <v>B</v>
      </c>
      <c r="D177" s="3" t="s">
        <v>253</v>
      </c>
      <c r="E177" s="3" t="n">
        <v>7</v>
      </c>
      <c r="F177" s="12" t="n">
        <v>0.8772</v>
      </c>
      <c r="G177" s="12" t="n">
        <v>0.6</v>
      </c>
      <c r="H177" s="12" t="n">
        <v>0.75</v>
      </c>
      <c r="I177" s="12" t="n">
        <v>0.7187</v>
      </c>
      <c r="J177" s="12" t="n">
        <v>0.3923</v>
      </c>
      <c r="K177" s="12" t="n">
        <v>0.6708</v>
      </c>
      <c r="L177" s="3" t="n">
        <v>4</v>
      </c>
      <c r="M177" s="12" t="n">
        <f aca="false">Z177-W177</f>
        <v>0.141256</v>
      </c>
      <c r="N177" s="12" t="n">
        <f aca="false">IFERROR((Z177-J177)/L177,"")</f>
        <v>0.069614</v>
      </c>
      <c r="O177" s="3" t="n">
        <v>13</v>
      </c>
      <c r="P177" s="13" t="b">
        <f aca="false">FALSE()</f>
        <v>0</v>
      </c>
      <c r="Q177" s="3" t="s">
        <v>166</v>
      </c>
      <c r="R177" s="12" t="n">
        <v>0.8458</v>
      </c>
      <c r="S177" s="12" t="n">
        <v>0.6412</v>
      </c>
      <c r="T177" s="3" t="n">
        <v>0.3285</v>
      </c>
      <c r="U177" s="12" t="n">
        <v>0.503</v>
      </c>
      <c r="V177" s="12" t="n">
        <v>0.4798</v>
      </c>
      <c r="W177" s="12" t="n">
        <v>0.5295</v>
      </c>
      <c r="X177" s="3" t="n">
        <v>0.876</v>
      </c>
      <c r="Y177" s="3" t="n">
        <v>0.7201</v>
      </c>
      <c r="Z177" s="14" t="n">
        <f aca="false">Assumptions!$B$3*R177+Assumptions!$B$4*S177+IF(AA177=1,Assumptions!$B$11,Assumptions!$B$5)*X177+IF(AA177=1,Assumptions!$B$12,Assumptions!$B$6)*T177+Assumptions!$B$7*U177+Assumptions!$B$8*V177+Assumptions!$B$9*Y177</f>
        <v>0.670756</v>
      </c>
      <c r="AA177" s="3" t="n">
        <v>0</v>
      </c>
    </row>
    <row r="178" customFormat="false" ht="15" hidden="false" customHeight="false" outlineLevel="0" collapsed="false">
      <c r="A178" s="3" t="s">
        <v>363</v>
      </c>
      <c r="B178" s="3" t="n">
        <v>270</v>
      </c>
      <c r="C178" s="11" t="str">
        <f aca="false">IF(M178&gt;=Assumptions!$B$17,"S+",IF(M178&gt;=Assumptions!$B$18,"S",IF(M178&gt;=Assumptions!$B$19,"A",IF(M178&gt;=Assumptions!$B$20,"B",IF(M178&gt;=Assumptions!$B$21,"C",IF(M178&gt;=Assumptions!$B$22,"D","F"))))))</f>
        <v>B</v>
      </c>
      <c r="D178" s="3" t="s">
        <v>237</v>
      </c>
      <c r="E178" s="3" t="n">
        <v>1</v>
      </c>
      <c r="F178" s="12" t="n">
        <v>0.6944</v>
      </c>
      <c r="G178" s="12" t="n">
        <v>0.6</v>
      </c>
      <c r="H178" s="12" t="n">
        <v>0.75</v>
      </c>
      <c r="I178" s="12" t="n">
        <v>0.647</v>
      </c>
      <c r="J178" s="12" t="n">
        <v>0.2614</v>
      </c>
      <c r="K178" s="12" t="n">
        <v>0.4936</v>
      </c>
      <c r="L178" s="3" t="n">
        <v>4.71</v>
      </c>
      <c r="M178" s="12" t="n">
        <f aca="false">Z178-W178</f>
        <v>0.140364</v>
      </c>
      <c r="N178" s="12" t="n">
        <f aca="false">IFERROR((Z178-J178)/L178,"")</f>
        <v>0.0492917197452229</v>
      </c>
      <c r="O178" s="3" t="n">
        <v>19</v>
      </c>
      <c r="P178" s="13" t="b">
        <f aca="false">FALSE()</f>
        <v>0</v>
      </c>
      <c r="Q178" s="3" t="s">
        <v>166</v>
      </c>
      <c r="R178" s="12" t="n">
        <v>0.5135</v>
      </c>
      <c r="S178" s="12" t="n">
        <v>0.457</v>
      </c>
      <c r="T178" s="3" t="n">
        <v>0.0277</v>
      </c>
      <c r="U178" s="12" t="n">
        <v>0.4251</v>
      </c>
      <c r="V178" s="12" t="n">
        <v>0.5188</v>
      </c>
      <c r="W178" s="12" t="n">
        <v>0.3532</v>
      </c>
      <c r="X178" s="3" t="n">
        <v>0.5702</v>
      </c>
      <c r="Y178" s="3" t="n">
        <v>0.5397</v>
      </c>
      <c r="Z178" s="14" t="n">
        <f aca="false">Assumptions!$B$3*R178+Assumptions!$B$4*S178+IF(AA178=1,Assumptions!$B$11,Assumptions!$B$5)*X178+IF(AA178=1,Assumptions!$B$12,Assumptions!$B$6)*T178+Assumptions!$B$7*U178+Assumptions!$B$8*V178+Assumptions!$B$9*Y178</f>
        <v>0.493564</v>
      </c>
      <c r="AA178" s="3" t="n">
        <v>1</v>
      </c>
    </row>
    <row r="179" customFormat="false" ht="15" hidden="false" customHeight="false" outlineLevel="0" collapsed="false">
      <c r="A179" s="3" t="s">
        <v>364</v>
      </c>
      <c r="B179" s="3" t="n">
        <v>634</v>
      </c>
      <c r="C179" s="11" t="str">
        <f aca="false">IF(M179&gt;=Assumptions!$B$17,"S+",IF(M179&gt;=Assumptions!$B$18,"S",IF(M179&gt;=Assumptions!$B$19,"A",IF(M179&gt;=Assumptions!$B$20,"B",IF(M179&gt;=Assumptions!$B$21,"C",IF(M179&gt;=Assumptions!$B$22,"D","F"))))))</f>
        <v>B</v>
      </c>
      <c r="D179" s="3" t="s">
        <v>197</v>
      </c>
      <c r="E179" s="3" t="n">
        <v>9</v>
      </c>
      <c r="F179" s="12" t="n">
        <v>0.9177</v>
      </c>
      <c r="G179" s="12" t="n">
        <v>0.6</v>
      </c>
      <c r="H179" s="12" t="n">
        <v>0.75</v>
      </c>
      <c r="I179" s="12" t="n">
        <v>0.7507</v>
      </c>
      <c r="J179" s="12" t="n">
        <v>0.4136</v>
      </c>
      <c r="K179" s="12" t="n">
        <v>0.6259</v>
      </c>
      <c r="L179" s="3" t="n">
        <v>4</v>
      </c>
      <c r="M179" s="12" t="n">
        <f aca="false">Z179-W179</f>
        <v>0.139762</v>
      </c>
      <c r="N179" s="12" t="n">
        <f aca="false">IFERROR((Z179-J179)/L179,"")</f>
        <v>0.0530655</v>
      </c>
      <c r="O179" s="3" t="n">
        <v>11</v>
      </c>
      <c r="P179" s="13" t="b">
        <f aca="false">FALSE()</f>
        <v>0</v>
      </c>
      <c r="Q179" s="3" t="s">
        <v>166</v>
      </c>
      <c r="R179" s="12" t="n">
        <v>0.9555</v>
      </c>
      <c r="S179" s="12" t="n">
        <v>0.4204</v>
      </c>
      <c r="T179" s="3" t="n">
        <v>0.5839</v>
      </c>
      <c r="U179" s="12" t="n">
        <v>0.5455</v>
      </c>
      <c r="V179" s="12" t="n">
        <v>0.4474</v>
      </c>
      <c r="W179" s="12" t="n">
        <v>0.4861</v>
      </c>
      <c r="X179" s="3" t="n">
        <v>0.409</v>
      </c>
      <c r="Y179" s="3" t="n">
        <v>0.751</v>
      </c>
      <c r="Z179" s="14" t="n">
        <f aca="false">Assumptions!$B$3*R179+Assumptions!$B$4*S179+IF(AA179=1,Assumptions!$B$11,Assumptions!$B$5)*X179+IF(AA179=1,Assumptions!$B$12,Assumptions!$B$6)*T179+Assumptions!$B$7*U179+Assumptions!$B$8*V179+Assumptions!$B$9*Y179</f>
        <v>0.625862</v>
      </c>
      <c r="AA179" s="3" t="n">
        <v>0</v>
      </c>
    </row>
    <row r="180" customFormat="false" ht="15" hidden="false" customHeight="false" outlineLevel="0" collapsed="false">
      <c r="A180" s="3" t="s">
        <v>365</v>
      </c>
      <c r="B180" s="3" t="n">
        <v>545</v>
      </c>
      <c r="C180" s="11" t="str">
        <f aca="false">IF(M180&gt;=Assumptions!$B$17,"S+",IF(M180&gt;=Assumptions!$B$18,"S",IF(M180&gt;=Assumptions!$B$19,"A",IF(M180&gt;=Assumptions!$B$20,"B",IF(M180&gt;=Assumptions!$B$21,"C",IF(M180&gt;=Assumptions!$B$22,"D","F"))))))</f>
        <v>B</v>
      </c>
      <c r="D180" s="3" t="s">
        <v>253</v>
      </c>
      <c r="E180" s="3" t="n">
        <v>6</v>
      </c>
      <c r="F180" s="12" t="n">
        <v>0.8795</v>
      </c>
      <c r="G180" s="12" t="n">
        <v>0.6</v>
      </c>
      <c r="H180" s="12" t="n">
        <v>0.75</v>
      </c>
      <c r="I180" s="12" t="n">
        <v>0.7194</v>
      </c>
      <c r="J180" s="12" t="n">
        <v>0.377</v>
      </c>
      <c r="K180" s="12" t="n">
        <v>0.6663</v>
      </c>
      <c r="L180" s="3" t="n">
        <v>5</v>
      </c>
      <c r="M180" s="12" t="n">
        <f aca="false">Z180-W180</f>
        <v>0.13971</v>
      </c>
      <c r="N180" s="12" t="n">
        <f aca="false">IFERROR((Z180-J180)/L180,"")</f>
        <v>0.057862</v>
      </c>
      <c r="O180" s="3" t="n">
        <v>14</v>
      </c>
      <c r="P180" s="13" t="b">
        <f aca="false">FALSE()</f>
        <v>0</v>
      </c>
      <c r="Q180" s="3" t="s">
        <v>166</v>
      </c>
      <c r="R180" s="12" t="n">
        <v>0.7836</v>
      </c>
      <c r="S180" s="12" t="n">
        <v>0.6978</v>
      </c>
      <c r="T180" s="3" t="n">
        <v>0.213</v>
      </c>
      <c r="U180" s="12" t="n">
        <v>0.5275</v>
      </c>
      <c r="V180" s="12" t="n">
        <v>0.5092</v>
      </c>
      <c r="W180" s="12" t="n">
        <v>0.5266</v>
      </c>
      <c r="X180" s="3" t="n">
        <v>0.9462</v>
      </c>
      <c r="Y180" s="3" t="n">
        <v>0.7219</v>
      </c>
      <c r="Z180" s="14" t="n">
        <f aca="false">Assumptions!$B$3*R180+Assumptions!$B$4*S180+IF(AA180=1,Assumptions!$B$11,Assumptions!$B$5)*X180+IF(AA180=1,Assumptions!$B$12,Assumptions!$B$6)*T180+Assumptions!$B$7*U180+Assumptions!$B$8*V180+Assumptions!$B$9*Y180</f>
        <v>0.66631</v>
      </c>
      <c r="AA180" s="3" t="n">
        <v>0</v>
      </c>
    </row>
    <row r="181" customFormat="false" ht="15" hidden="false" customHeight="false" outlineLevel="0" collapsed="false">
      <c r="A181" s="3" t="s">
        <v>366</v>
      </c>
      <c r="B181" s="3" t="n">
        <v>300</v>
      </c>
      <c r="C181" s="11" t="str">
        <f aca="false">IF(M181&gt;=Assumptions!$B$17,"S+",IF(M181&gt;=Assumptions!$B$18,"S",IF(M181&gt;=Assumptions!$B$19,"A",IF(M181&gt;=Assumptions!$B$20,"B",IF(M181&gt;=Assumptions!$B$21,"C",IF(M181&gt;=Assumptions!$B$22,"D","F"))))))</f>
        <v>B</v>
      </c>
      <c r="D181" s="3" t="s">
        <v>173</v>
      </c>
      <c r="E181" s="3" t="n">
        <v>7</v>
      </c>
      <c r="F181" s="12" t="n">
        <v>0.3518</v>
      </c>
      <c r="G181" s="12" t="n">
        <v>0.3</v>
      </c>
      <c r="H181" s="12" t="n">
        <v>0.75</v>
      </c>
      <c r="I181" s="12" t="n">
        <v>0.3993</v>
      </c>
      <c r="J181" s="12" t="n">
        <v>0.1325</v>
      </c>
      <c r="K181" s="12" t="n">
        <v>0.4804</v>
      </c>
      <c r="L181" s="3" t="n">
        <v>4</v>
      </c>
      <c r="M181" s="12" t="n">
        <f aca="false">Z181-W181</f>
        <v>0.139209</v>
      </c>
      <c r="N181" s="12" t="n">
        <f aca="false">IFERROR((Z181-J181)/L181,"")</f>
        <v>0.08697725</v>
      </c>
      <c r="O181" s="3" t="n">
        <v>13</v>
      </c>
      <c r="P181" s="13" t="b">
        <f aca="false">FALSE()</f>
        <v>0</v>
      </c>
      <c r="Q181" s="3" t="s">
        <v>166</v>
      </c>
      <c r="R181" s="12" t="n">
        <v>0.4634</v>
      </c>
      <c r="S181" s="12" t="n">
        <v>0.4684</v>
      </c>
      <c r="T181" s="3" t="n">
        <v>0</v>
      </c>
      <c r="U181" s="12" t="n">
        <v>0.2308</v>
      </c>
      <c r="V181" s="12" t="n">
        <v>0.5475</v>
      </c>
      <c r="W181" s="12" t="n">
        <v>0.3412</v>
      </c>
      <c r="X181" s="3" t="n">
        <v>0.685</v>
      </c>
      <c r="Y181" s="3" t="n">
        <v>0.4196</v>
      </c>
      <c r="Z181" s="14" t="n">
        <f aca="false">Assumptions!$B$3*R181+Assumptions!$B$4*S181+IF(AA181=1,Assumptions!$B$11,Assumptions!$B$5)*X181+IF(AA181=1,Assumptions!$B$12,Assumptions!$B$6)*T181+Assumptions!$B$7*U181+Assumptions!$B$8*V181+Assumptions!$B$9*Y181</f>
        <v>0.480409</v>
      </c>
      <c r="AA181" s="3" t="n">
        <v>1</v>
      </c>
    </row>
    <row r="182" customFormat="false" ht="15" hidden="false" customHeight="false" outlineLevel="0" collapsed="false">
      <c r="A182" s="3" t="s">
        <v>367</v>
      </c>
      <c r="B182" s="3" t="n">
        <v>670</v>
      </c>
      <c r="C182" s="11" t="str">
        <f aca="false">IF(M182&gt;=Assumptions!$B$17,"S+",IF(M182&gt;=Assumptions!$B$18,"S",IF(M182&gt;=Assumptions!$B$19,"A",IF(M182&gt;=Assumptions!$B$20,"B",IF(M182&gt;=Assumptions!$B$21,"C",IF(M182&gt;=Assumptions!$B$22,"D","F"))))))</f>
        <v>B</v>
      </c>
      <c r="D182" s="3" t="s">
        <v>218</v>
      </c>
      <c r="E182" s="3" t="n">
        <v>7</v>
      </c>
      <c r="F182" s="12" t="n">
        <v>0.9485</v>
      </c>
      <c r="G182" s="12" t="n">
        <v>0.6</v>
      </c>
      <c r="H182" s="12" t="n">
        <v>0.75</v>
      </c>
      <c r="I182" s="12" t="n">
        <v>0.7415</v>
      </c>
      <c r="J182" s="12" t="n">
        <v>0.4964</v>
      </c>
      <c r="K182" s="12" t="n">
        <v>0.6499</v>
      </c>
      <c r="L182" s="3" t="n">
        <v>4</v>
      </c>
      <c r="M182" s="12" t="n">
        <f aca="false">Z182-W182</f>
        <v>0.139207</v>
      </c>
      <c r="N182" s="12" t="n">
        <f aca="false">IFERROR((Z182-J182)/L182,"")</f>
        <v>0.03837675</v>
      </c>
      <c r="O182" s="3" t="n">
        <v>13</v>
      </c>
      <c r="P182" s="13" t="b">
        <f aca="false">FALSE()</f>
        <v>0</v>
      </c>
      <c r="Q182" s="3" t="s">
        <v>166</v>
      </c>
      <c r="R182" s="12" t="n">
        <v>0.8759</v>
      </c>
      <c r="S182" s="12" t="n">
        <v>0.7032</v>
      </c>
      <c r="T182" s="3" t="n">
        <v>0.3576</v>
      </c>
      <c r="U182" s="12" t="n">
        <v>0.3491</v>
      </c>
      <c r="V182" s="12" t="n">
        <v>0.4619</v>
      </c>
      <c r="W182" s="12" t="n">
        <v>0.5107</v>
      </c>
      <c r="X182" s="3" t="n">
        <v>0.7117</v>
      </c>
      <c r="Y182" s="3" t="n">
        <v>0.7419</v>
      </c>
      <c r="Z182" s="14" t="n">
        <f aca="false">Assumptions!$B$3*R182+Assumptions!$B$4*S182+IF(AA182=1,Assumptions!$B$11,Assumptions!$B$5)*X182+IF(AA182=1,Assumptions!$B$12,Assumptions!$B$6)*T182+Assumptions!$B$7*U182+Assumptions!$B$8*V182+Assumptions!$B$9*Y182</f>
        <v>0.649907</v>
      </c>
      <c r="AA182" s="3" t="n">
        <v>0</v>
      </c>
    </row>
    <row r="183" customFormat="false" ht="15" hidden="false" customHeight="false" outlineLevel="0" collapsed="false">
      <c r="A183" s="3" t="s">
        <v>368</v>
      </c>
      <c r="B183" s="3" t="n">
        <v>555</v>
      </c>
      <c r="C183" s="11" t="str">
        <f aca="false">IF(M183&gt;=Assumptions!$B$17,"S+",IF(M183&gt;=Assumptions!$B$18,"S",IF(M183&gt;=Assumptions!$B$19,"A",IF(M183&gt;=Assumptions!$B$20,"B",IF(M183&gt;=Assumptions!$B$21,"C",IF(M183&gt;=Assumptions!$B$22,"D","F"))))))</f>
        <v>B</v>
      </c>
      <c r="D183" s="3" t="s">
        <v>206</v>
      </c>
      <c r="E183" s="3" t="n">
        <v>6</v>
      </c>
      <c r="F183" s="12" t="n">
        <v>0.5992</v>
      </c>
      <c r="G183" s="12" t="n">
        <v>0.76</v>
      </c>
      <c r="H183" s="12" t="n">
        <v>0.496</v>
      </c>
      <c r="I183" s="12" t="n">
        <v>0.649</v>
      </c>
      <c r="J183" s="12" t="n">
        <v>0.3468</v>
      </c>
      <c r="K183" s="12" t="n">
        <v>0.5725</v>
      </c>
      <c r="L183" s="3" t="n">
        <v>5</v>
      </c>
      <c r="M183" s="12" t="n">
        <f aca="false">Z183-W183</f>
        <v>0.139086</v>
      </c>
      <c r="N183" s="12" t="n">
        <f aca="false">IFERROR((Z183-J183)/L183,"")</f>
        <v>0.0451372</v>
      </c>
      <c r="O183" s="3" t="n">
        <v>14</v>
      </c>
      <c r="P183" s="13" t="b">
        <f aca="false">FALSE()</f>
        <v>0</v>
      </c>
      <c r="Q183" s="3" t="s">
        <v>166</v>
      </c>
      <c r="R183" s="12" t="n">
        <v>0.746</v>
      </c>
      <c r="S183" s="12" t="n">
        <v>0.6299</v>
      </c>
      <c r="T183" s="3" t="n">
        <v>0.2721</v>
      </c>
      <c r="U183" s="12" t="n">
        <v>0.3956</v>
      </c>
      <c r="V183" s="12" t="n">
        <v>0.4809</v>
      </c>
      <c r="W183" s="12" t="n">
        <v>0.4334</v>
      </c>
      <c r="X183" s="3" t="n">
        <v>0.4872</v>
      </c>
      <c r="Y183" s="3" t="n">
        <v>0.6377</v>
      </c>
      <c r="Z183" s="14" t="n">
        <f aca="false">Assumptions!$B$3*R183+Assumptions!$B$4*S183+IF(AA183=1,Assumptions!$B$11,Assumptions!$B$5)*X183+IF(AA183=1,Assumptions!$B$12,Assumptions!$B$6)*T183+Assumptions!$B$7*U183+Assumptions!$B$8*V183+Assumptions!$B$9*Y183</f>
        <v>0.572486</v>
      </c>
      <c r="AA183" s="3" t="n">
        <v>1</v>
      </c>
    </row>
    <row r="184" customFormat="false" ht="15" hidden="false" customHeight="false" outlineLevel="0" collapsed="false">
      <c r="A184" s="3" t="s">
        <v>369</v>
      </c>
      <c r="B184" s="3" t="n">
        <v>485</v>
      </c>
      <c r="C184" s="11" t="str">
        <f aca="false">IF(M184&gt;=Assumptions!$B$17,"S+",IF(M184&gt;=Assumptions!$B$18,"S",IF(M184&gt;=Assumptions!$B$19,"A",IF(M184&gt;=Assumptions!$B$20,"B",IF(M184&gt;=Assumptions!$B$21,"C",IF(M184&gt;=Assumptions!$B$22,"D","F"))))))</f>
        <v>B</v>
      </c>
      <c r="D184" s="3" t="s">
        <v>247</v>
      </c>
      <c r="E184" s="3" t="n">
        <v>6</v>
      </c>
      <c r="F184" s="12" t="n">
        <v>0.8456</v>
      </c>
      <c r="G184" s="12" t="n">
        <v>0.6</v>
      </c>
      <c r="H184" s="12" t="n">
        <v>0.75</v>
      </c>
      <c r="I184" s="12" t="n">
        <v>0.7086</v>
      </c>
      <c r="J184" s="12" t="n">
        <v>0.3811</v>
      </c>
      <c r="K184" s="12" t="n">
        <v>0.592</v>
      </c>
      <c r="L184" s="3" t="n">
        <v>6</v>
      </c>
      <c r="M184" s="12" t="n">
        <f aca="false">Z184-W184</f>
        <v>0.138965</v>
      </c>
      <c r="N184" s="12" t="n">
        <f aca="false">IFERROR((Z184-J184)/L184,"")</f>
        <v>0.0351441666666667</v>
      </c>
      <c r="O184" s="3" t="n">
        <v>14</v>
      </c>
      <c r="P184" s="13" t="b">
        <f aca="false">FALSE()</f>
        <v>0</v>
      </c>
      <c r="Q184" s="3" t="s">
        <v>166</v>
      </c>
      <c r="R184" s="12" t="n">
        <v>0.6994</v>
      </c>
      <c r="S184" s="12" t="n">
        <v>0.6471</v>
      </c>
      <c r="T184" s="3" t="n">
        <v>0.0439</v>
      </c>
      <c r="U184" s="12" t="n">
        <v>0.489</v>
      </c>
      <c r="V184" s="12" t="n">
        <v>0.427</v>
      </c>
      <c r="W184" s="12" t="n">
        <v>0.453</v>
      </c>
      <c r="X184" s="3" t="n">
        <v>0.8803</v>
      </c>
      <c r="Y184" s="3" t="n">
        <v>0.7107</v>
      </c>
      <c r="Z184" s="14" t="n">
        <f aca="false">Assumptions!$B$3*R184+Assumptions!$B$4*S184+IF(AA184=1,Assumptions!$B$11,Assumptions!$B$5)*X184+IF(AA184=1,Assumptions!$B$12,Assumptions!$B$6)*T184+Assumptions!$B$7*U184+Assumptions!$B$8*V184+Assumptions!$B$9*Y184</f>
        <v>0.591965</v>
      </c>
      <c r="AA184" s="3" t="n">
        <v>0</v>
      </c>
    </row>
    <row r="185" customFormat="false" ht="15" hidden="false" customHeight="false" outlineLevel="0" collapsed="false">
      <c r="A185" s="3" t="s">
        <v>370</v>
      </c>
      <c r="B185" s="3" t="n">
        <v>450</v>
      </c>
      <c r="C185" s="11" t="str">
        <f aca="false">IF(M185&gt;=Assumptions!$B$17,"S+",IF(M185&gt;=Assumptions!$B$18,"S",IF(M185&gt;=Assumptions!$B$19,"A",IF(M185&gt;=Assumptions!$B$20,"B",IF(M185&gt;=Assumptions!$B$21,"C",IF(M185&gt;=Assumptions!$B$22,"D","F"))))))</f>
        <v>B</v>
      </c>
      <c r="D185" s="3" t="s">
        <v>206</v>
      </c>
      <c r="E185" s="3" t="n">
        <v>4</v>
      </c>
      <c r="F185" s="12" t="n">
        <v>0.8276</v>
      </c>
      <c r="G185" s="12" t="n">
        <v>0.76</v>
      </c>
      <c r="H185" s="12" t="n">
        <v>0.3274</v>
      </c>
      <c r="I185" s="12" t="n">
        <v>0.6708</v>
      </c>
      <c r="J185" s="12" t="n">
        <v>0.3214</v>
      </c>
      <c r="K185" s="12" t="n">
        <v>0.5776</v>
      </c>
      <c r="L185" s="3" t="n">
        <v>4.94</v>
      </c>
      <c r="M185" s="12" t="n">
        <f aca="false">Z185-W185</f>
        <v>0.139</v>
      </c>
      <c r="N185" s="12" t="n">
        <f aca="false">IFERROR((Z185-J185)/L185,"")</f>
        <v>0.0518623481781376</v>
      </c>
      <c r="O185" s="3" t="n">
        <v>16</v>
      </c>
      <c r="P185" s="13" t="b">
        <f aca="false">FALSE()</f>
        <v>0</v>
      </c>
      <c r="Q185" s="3" t="s">
        <v>166</v>
      </c>
      <c r="R185" s="12" t="n">
        <v>0.7572</v>
      </c>
      <c r="S185" s="12" t="n">
        <v>0.49</v>
      </c>
      <c r="T185" s="3" t="n">
        <v>0.0926</v>
      </c>
      <c r="U185" s="12" t="n">
        <v>0.4471</v>
      </c>
      <c r="V185" s="12" t="n">
        <v>0.3786</v>
      </c>
      <c r="W185" s="12" t="n">
        <v>0.4386</v>
      </c>
      <c r="X185" s="3" t="n">
        <v>0.6382</v>
      </c>
      <c r="Y185" s="3" t="n">
        <v>0.64</v>
      </c>
      <c r="Z185" s="14" t="n">
        <f aca="false">Assumptions!$B$3*R185+Assumptions!$B$4*S185+IF(AA185=1,Assumptions!$B$11,Assumptions!$B$5)*X185+IF(AA185=1,Assumptions!$B$12,Assumptions!$B$6)*T185+Assumptions!$B$7*U185+Assumptions!$B$8*V185+Assumptions!$B$9*Y185</f>
        <v>0.5776</v>
      </c>
      <c r="AA185" s="3" t="n">
        <v>1</v>
      </c>
    </row>
    <row r="186" customFormat="false" ht="15" hidden="false" customHeight="false" outlineLevel="0" collapsed="false">
      <c r="A186" s="3" t="s">
        <v>371</v>
      </c>
      <c r="B186" s="3" t="n">
        <v>610</v>
      </c>
      <c r="C186" s="11" t="str">
        <f aca="false">IF(M186&gt;=Assumptions!$B$17,"S+",IF(M186&gt;=Assumptions!$B$18,"S",IF(M186&gt;=Assumptions!$B$19,"A",IF(M186&gt;=Assumptions!$B$20,"B",IF(M186&gt;=Assumptions!$B$21,"C",IF(M186&gt;=Assumptions!$B$22,"D","F"))))))</f>
        <v>B</v>
      </c>
      <c r="D186" s="3" t="s">
        <v>253</v>
      </c>
      <c r="E186" s="3" t="n">
        <v>7</v>
      </c>
      <c r="F186" s="12" t="n">
        <v>0.9932</v>
      </c>
      <c r="G186" s="12" t="n">
        <v>0.8</v>
      </c>
      <c r="H186" s="12" t="n">
        <v>0.75</v>
      </c>
      <c r="I186" s="12" t="n">
        <v>0.8518</v>
      </c>
      <c r="J186" s="12" t="n">
        <v>0.4869</v>
      </c>
      <c r="K186" s="12" t="n">
        <v>0.6683</v>
      </c>
      <c r="L186" s="3" t="n">
        <v>4.38</v>
      </c>
      <c r="M186" s="12" t="n">
        <f aca="false">Z186-W186</f>
        <v>0.138788</v>
      </c>
      <c r="N186" s="12" t="n">
        <f aca="false">IFERROR((Z186-J186)/L186,"")</f>
        <v>0.0414127853881279</v>
      </c>
      <c r="O186" s="3" t="n">
        <v>13</v>
      </c>
      <c r="P186" s="13" t="b">
        <f aca="false">FALSE()</f>
        <v>0</v>
      </c>
      <c r="Q186" s="3" t="s">
        <v>166</v>
      </c>
      <c r="R186" s="12" t="n">
        <v>0.9195</v>
      </c>
      <c r="S186" s="12" t="n">
        <v>0.6911</v>
      </c>
      <c r="T186" s="3" t="n">
        <v>0.0752</v>
      </c>
      <c r="U186" s="12" t="n">
        <v>0.426</v>
      </c>
      <c r="V186" s="12" t="n">
        <v>0.4935</v>
      </c>
      <c r="W186" s="12" t="n">
        <v>0.5295</v>
      </c>
      <c r="X186" s="3" t="n">
        <v>0.8404</v>
      </c>
      <c r="Y186" s="3" t="n">
        <v>0.8518</v>
      </c>
      <c r="Z186" s="14" t="n">
        <f aca="false">Assumptions!$B$3*R186+Assumptions!$B$4*S186+IF(AA186=1,Assumptions!$B$11,Assumptions!$B$5)*X186+IF(AA186=1,Assumptions!$B$12,Assumptions!$B$6)*T186+Assumptions!$B$7*U186+Assumptions!$B$8*V186+Assumptions!$B$9*Y186</f>
        <v>0.668288</v>
      </c>
      <c r="AA186" s="3" t="n">
        <v>0</v>
      </c>
    </row>
    <row r="187" customFormat="false" ht="15" hidden="false" customHeight="false" outlineLevel="0" collapsed="false">
      <c r="A187" s="3" t="s">
        <v>372</v>
      </c>
      <c r="B187" s="3" t="n">
        <v>440</v>
      </c>
      <c r="C187" s="11" t="str">
        <f aca="false">IF(M187&gt;=Assumptions!$B$17,"S+",IF(M187&gt;=Assumptions!$B$18,"S",IF(M187&gt;=Assumptions!$B$19,"A",IF(M187&gt;=Assumptions!$B$20,"B",IF(M187&gt;=Assumptions!$B$21,"C",IF(M187&gt;=Assumptions!$B$22,"D","F"))))))</f>
        <v>B</v>
      </c>
      <c r="D187" s="3" t="s">
        <v>206</v>
      </c>
      <c r="E187" s="3" t="n">
        <v>2</v>
      </c>
      <c r="F187" s="12" t="n">
        <v>0.8909</v>
      </c>
      <c r="G187" s="12" t="n">
        <v>0.76</v>
      </c>
      <c r="H187" s="12" t="n">
        <v>0.5139</v>
      </c>
      <c r="I187" s="12" t="n">
        <v>0.7351</v>
      </c>
      <c r="J187" s="12" t="n">
        <v>0.3443</v>
      </c>
      <c r="K187" s="12" t="n">
        <v>0.5741</v>
      </c>
      <c r="L187" s="3" t="n">
        <v>4.75</v>
      </c>
      <c r="M187" s="12" t="n">
        <f aca="false">Z187-W187</f>
        <v>0.138762</v>
      </c>
      <c r="N187" s="12" t="n">
        <f aca="false">IFERROR((Z187-J187)/L187,"")</f>
        <v>0.0483709473684211</v>
      </c>
      <c r="O187" s="3" t="n">
        <v>18</v>
      </c>
      <c r="P187" s="13" t="b">
        <f aca="false">FALSE()</f>
        <v>0</v>
      </c>
      <c r="Q187" s="3" t="s">
        <v>166</v>
      </c>
      <c r="R187" s="12" t="n">
        <v>0.7284</v>
      </c>
      <c r="S187" s="12" t="n">
        <v>0.6784</v>
      </c>
      <c r="T187" s="3" t="n">
        <v>0.0891</v>
      </c>
      <c r="U187" s="12" t="n">
        <v>0.3162</v>
      </c>
      <c r="V187" s="12" t="n">
        <v>0.5052</v>
      </c>
      <c r="W187" s="12" t="n">
        <v>0.4353</v>
      </c>
      <c r="X187" s="3" t="n">
        <v>0.5248</v>
      </c>
      <c r="Y187" s="3" t="n">
        <v>0.6621</v>
      </c>
      <c r="Z187" s="14" t="n">
        <f aca="false">Assumptions!$B$3*R187+Assumptions!$B$4*S187+IF(AA187=1,Assumptions!$B$11,Assumptions!$B$5)*X187+IF(AA187=1,Assumptions!$B$12,Assumptions!$B$6)*T187+Assumptions!$B$7*U187+Assumptions!$B$8*V187+Assumptions!$B$9*Y187</f>
        <v>0.574062</v>
      </c>
      <c r="AA187" s="3" t="n">
        <v>1</v>
      </c>
    </row>
    <row r="188" customFormat="false" ht="15" hidden="false" customHeight="false" outlineLevel="0" collapsed="false">
      <c r="A188" s="3" t="s">
        <v>373</v>
      </c>
      <c r="B188" s="3" t="n">
        <v>530</v>
      </c>
      <c r="C188" s="11" t="str">
        <f aca="false">IF(M188&gt;=Assumptions!$B$17,"S+",IF(M188&gt;=Assumptions!$B$18,"S",IF(M188&gt;=Assumptions!$B$19,"A",IF(M188&gt;=Assumptions!$B$20,"B",IF(M188&gt;=Assumptions!$B$21,"C",IF(M188&gt;=Assumptions!$B$22,"D","F"))))))</f>
        <v>B</v>
      </c>
      <c r="D188" s="3" t="s">
        <v>253</v>
      </c>
      <c r="E188" s="3" t="n">
        <v>7</v>
      </c>
      <c r="F188" s="12" t="n">
        <v>0.9379</v>
      </c>
      <c r="G188" s="12" t="n">
        <v>0.6</v>
      </c>
      <c r="H188" s="12" t="n">
        <v>0.75</v>
      </c>
      <c r="I188" s="12" t="n">
        <v>0.7381</v>
      </c>
      <c r="J188" s="12" t="n">
        <v>0.4346</v>
      </c>
      <c r="K188" s="12" t="n">
        <v>0.6678</v>
      </c>
      <c r="L188" s="3" t="n">
        <v>4</v>
      </c>
      <c r="M188" s="12" t="n">
        <f aca="false">Z188-W188</f>
        <v>0.138309</v>
      </c>
      <c r="N188" s="12" t="n">
        <f aca="false">IFERROR((Z188-J188)/L188,"")</f>
        <v>0.05830225</v>
      </c>
      <c r="O188" s="3" t="n">
        <v>13</v>
      </c>
      <c r="P188" s="13" t="b">
        <f aca="false">FALSE()</f>
        <v>0</v>
      </c>
      <c r="Q188" s="3" t="s">
        <v>166</v>
      </c>
      <c r="R188" s="12" t="n">
        <v>0.8473</v>
      </c>
      <c r="S188" s="12" t="n">
        <v>0.6629</v>
      </c>
      <c r="T188" s="3" t="n">
        <v>0.1277</v>
      </c>
      <c r="U188" s="12" t="n">
        <v>0.5858</v>
      </c>
      <c r="V188" s="12" t="n">
        <v>0.5428</v>
      </c>
      <c r="W188" s="12" t="n">
        <v>0.5295</v>
      </c>
      <c r="X188" s="3" t="n">
        <v>0.8784</v>
      </c>
      <c r="Y188" s="3" t="n">
        <v>0.7392</v>
      </c>
      <c r="Z188" s="14" t="n">
        <f aca="false">Assumptions!$B$3*R188+Assumptions!$B$4*S188+IF(AA188=1,Assumptions!$B$11,Assumptions!$B$5)*X188+IF(AA188=1,Assumptions!$B$12,Assumptions!$B$6)*T188+Assumptions!$B$7*U188+Assumptions!$B$8*V188+Assumptions!$B$9*Y188</f>
        <v>0.667809</v>
      </c>
      <c r="AA188" s="3" t="n">
        <v>0</v>
      </c>
    </row>
    <row r="189" customFormat="false" ht="15" hidden="false" customHeight="false" outlineLevel="0" collapsed="false">
      <c r="A189" s="3" t="s">
        <v>374</v>
      </c>
      <c r="B189" s="3" t="n">
        <v>505</v>
      </c>
      <c r="C189" s="11" t="str">
        <f aca="false">IF(M189&gt;=Assumptions!$B$17,"S+",IF(M189&gt;=Assumptions!$B$18,"S",IF(M189&gt;=Assumptions!$B$19,"A",IF(M189&gt;=Assumptions!$B$20,"B",IF(M189&gt;=Assumptions!$B$21,"C",IF(M189&gt;=Assumptions!$B$22,"D","F"))))))</f>
        <v>B</v>
      </c>
      <c r="D189" s="3" t="s">
        <v>175</v>
      </c>
      <c r="E189" s="3" t="n">
        <v>4</v>
      </c>
      <c r="F189" s="12" t="n">
        <v>0.8084</v>
      </c>
      <c r="G189" s="12" t="n">
        <v>0.45</v>
      </c>
      <c r="H189" s="12" t="n">
        <v>0.75</v>
      </c>
      <c r="I189" s="12" t="n">
        <v>0.5638</v>
      </c>
      <c r="J189" s="12" t="n">
        <v>0.3427</v>
      </c>
      <c r="K189" s="12" t="n">
        <v>0.5536</v>
      </c>
      <c r="L189" s="3" t="n">
        <v>4.31</v>
      </c>
      <c r="M189" s="12" t="n">
        <f aca="false">Z189-W189</f>
        <v>0.138327</v>
      </c>
      <c r="N189" s="12" t="n">
        <f aca="false">IFERROR((Z189-J189)/L189,"")</f>
        <v>0.0489389791183295</v>
      </c>
      <c r="O189" s="3" t="n">
        <v>16</v>
      </c>
      <c r="P189" s="13" t="b">
        <f aca="false">FALSE()</f>
        <v>0</v>
      </c>
      <c r="Q189" s="3" t="s">
        <v>166</v>
      </c>
      <c r="R189" s="12" t="n">
        <v>0.7074</v>
      </c>
      <c r="S189" s="12" t="n">
        <v>0.6023</v>
      </c>
      <c r="T189" s="3" t="n">
        <v>0.3218</v>
      </c>
      <c r="U189" s="12" t="n">
        <v>0.3317</v>
      </c>
      <c r="V189" s="12" t="n">
        <v>0.3978</v>
      </c>
      <c r="W189" s="12" t="n">
        <v>0.4153</v>
      </c>
      <c r="X189" s="3" t="n">
        <v>0.6979</v>
      </c>
      <c r="Y189" s="3" t="n">
        <v>0.5215</v>
      </c>
      <c r="Z189" s="14" t="n">
        <f aca="false">Assumptions!$B$3*R189+Assumptions!$B$4*S189+IF(AA189=1,Assumptions!$B$11,Assumptions!$B$5)*X189+IF(AA189=1,Assumptions!$B$12,Assumptions!$B$6)*T189+Assumptions!$B$7*U189+Assumptions!$B$8*V189+Assumptions!$B$9*Y189</f>
        <v>0.553627</v>
      </c>
      <c r="AA189" s="3" t="n">
        <v>0</v>
      </c>
    </row>
    <row r="190" customFormat="false" ht="15" hidden="false" customHeight="false" outlineLevel="0" collapsed="false">
      <c r="A190" s="3" t="s">
        <v>375</v>
      </c>
      <c r="B190" s="3" t="n">
        <v>525</v>
      </c>
      <c r="C190" s="11" t="str">
        <f aca="false">IF(M190&gt;=Assumptions!$B$17,"S+",IF(M190&gt;=Assumptions!$B$18,"S",IF(M190&gt;=Assumptions!$B$19,"A",IF(M190&gt;=Assumptions!$B$20,"B",IF(M190&gt;=Assumptions!$B$21,"C",IF(M190&gt;=Assumptions!$B$22,"D","F"))))))</f>
        <v>B</v>
      </c>
      <c r="D190" s="3" t="s">
        <v>171</v>
      </c>
      <c r="E190" s="3" t="n">
        <v>4</v>
      </c>
      <c r="F190" s="12" t="n">
        <v>0.9331</v>
      </c>
      <c r="G190" s="12" t="n">
        <v>0.45</v>
      </c>
      <c r="H190" s="12" t="n">
        <v>0.75</v>
      </c>
      <c r="I190" s="12" t="n">
        <v>0.597</v>
      </c>
      <c r="J190" s="12" t="n">
        <v>0.4125</v>
      </c>
      <c r="K190" s="12" t="n">
        <v>0.5634</v>
      </c>
      <c r="L190" s="3" t="n">
        <v>3.88</v>
      </c>
      <c r="M190" s="12" t="n">
        <f aca="false">Z190-W190</f>
        <v>0.138119</v>
      </c>
      <c r="N190" s="12" t="n">
        <f aca="false">IFERROR((Z190-J190)/L190,"")</f>
        <v>0.0388966494845361</v>
      </c>
      <c r="O190" s="3" t="n">
        <v>16</v>
      </c>
      <c r="P190" s="13" t="b">
        <f aca="false">FALSE()</f>
        <v>0</v>
      </c>
      <c r="Q190" s="3" t="s">
        <v>166</v>
      </c>
      <c r="R190" s="12" t="n">
        <v>0.5854</v>
      </c>
      <c r="S190" s="12" t="n">
        <v>0.7661</v>
      </c>
      <c r="T190" s="3" t="n">
        <v>0.2539</v>
      </c>
      <c r="U190" s="12" t="n">
        <v>0.3077</v>
      </c>
      <c r="V190" s="12" t="n">
        <v>0.4632</v>
      </c>
      <c r="W190" s="12" t="n">
        <v>0.4253</v>
      </c>
      <c r="X190" s="3" t="n">
        <v>0.6148</v>
      </c>
      <c r="Y190" s="3" t="n">
        <v>0.5687</v>
      </c>
      <c r="Z190" s="14" t="n">
        <f aca="false">Assumptions!$B$3*R190+Assumptions!$B$4*S190+IF(AA190=1,Assumptions!$B$11,Assumptions!$B$5)*X190+IF(AA190=1,Assumptions!$B$12,Assumptions!$B$6)*T190+Assumptions!$B$7*U190+Assumptions!$B$8*V190+Assumptions!$B$9*Y190</f>
        <v>0.563419</v>
      </c>
      <c r="AA190" s="3" t="n">
        <v>1</v>
      </c>
    </row>
    <row r="191" customFormat="false" ht="15" hidden="false" customHeight="false" outlineLevel="0" collapsed="false">
      <c r="A191" s="3" t="s">
        <v>376</v>
      </c>
      <c r="B191" s="3" t="n">
        <v>505</v>
      </c>
      <c r="C191" s="11" t="str">
        <f aca="false">IF(M191&gt;=Assumptions!$B$17,"S+",IF(M191&gt;=Assumptions!$B$18,"S",IF(M191&gt;=Assumptions!$B$19,"A",IF(M191&gt;=Assumptions!$B$20,"B",IF(M191&gt;=Assumptions!$B$21,"C",IF(M191&gt;=Assumptions!$B$22,"D","F"))))))</f>
        <v>B</v>
      </c>
      <c r="D191" s="3" t="s">
        <v>206</v>
      </c>
      <c r="E191" s="3" t="n">
        <v>4</v>
      </c>
      <c r="F191" s="12" t="n">
        <v>0.8331</v>
      </c>
      <c r="G191" s="12" t="n">
        <v>0.24</v>
      </c>
      <c r="H191" s="12" t="n">
        <v>0.5179</v>
      </c>
      <c r="I191" s="12" t="n">
        <v>0.4755</v>
      </c>
      <c r="J191" s="12" t="n">
        <v>0.3131</v>
      </c>
      <c r="K191" s="12" t="n">
        <v>0.5731</v>
      </c>
      <c r="L191" s="3" t="n">
        <v>4.22</v>
      </c>
      <c r="M191" s="12" t="n">
        <f aca="false">Z191-W191</f>
        <v>0.137494</v>
      </c>
      <c r="N191" s="12" t="n">
        <f aca="false">IFERROR((Z191-J191)/L191,"")</f>
        <v>0.0616099526066351</v>
      </c>
      <c r="O191" s="3" t="n">
        <v>16</v>
      </c>
      <c r="P191" s="13" t="b">
        <f aca="false">FALSE()</f>
        <v>0</v>
      </c>
      <c r="Q191" s="3" t="s">
        <v>166</v>
      </c>
      <c r="R191" s="12" t="n">
        <v>0.7224</v>
      </c>
      <c r="S191" s="12" t="n">
        <v>0.703</v>
      </c>
      <c r="T191" s="3" t="n">
        <v>0.2614</v>
      </c>
      <c r="U191" s="12" t="n">
        <v>0.3125</v>
      </c>
      <c r="V191" s="12" t="n">
        <v>0.5228</v>
      </c>
      <c r="W191" s="12" t="n">
        <v>0.4356</v>
      </c>
      <c r="X191" s="3" t="n">
        <v>0.5589</v>
      </c>
      <c r="Y191" s="3" t="n">
        <v>0.4647</v>
      </c>
      <c r="Z191" s="14" t="n">
        <f aca="false">Assumptions!$B$3*R191+Assumptions!$B$4*S191+IF(AA191=1,Assumptions!$B$11,Assumptions!$B$5)*X191+IF(AA191=1,Assumptions!$B$12,Assumptions!$B$6)*T191+Assumptions!$B$7*U191+Assumptions!$B$8*V191+Assumptions!$B$9*Y191</f>
        <v>0.573094</v>
      </c>
      <c r="AA191" s="3" t="n">
        <v>1</v>
      </c>
    </row>
    <row r="192" customFormat="false" ht="15" hidden="false" customHeight="false" outlineLevel="0" collapsed="false">
      <c r="A192" s="3" t="s">
        <v>377</v>
      </c>
      <c r="B192" s="3" t="n">
        <v>680</v>
      </c>
      <c r="C192" s="11" t="str">
        <f aca="false">IF(M192&gt;=Assumptions!$B$17,"S+",IF(M192&gt;=Assumptions!$B$18,"S",IF(M192&gt;=Assumptions!$B$19,"A",IF(M192&gt;=Assumptions!$B$20,"B",IF(M192&gt;=Assumptions!$B$21,"C",IF(M192&gt;=Assumptions!$B$22,"D","F"))))))</f>
        <v>B</v>
      </c>
      <c r="D192" s="3" t="s">
        <v>253</v>
      </c>
      <c r="E192" s="3" t="n">
        <v>11</v>
      </c>
      <c r="F192" s="12" t="n">
        <v>0.8674</v>
      </c>
      <c r="G192" s="12" t="n">
        <v>0.4</v>
      </c>
      <c r="H192" s="12" t="n">
        <v>0.75</v>
      </c>
      <c r="I192" s="12" t="n">
        <v>0.6196</v>
      </c>
      <c r="J192" s="12" t="n">
        <v>0.5781</v>
      </c>
      <c r="K192" s="12" t="n">
        <v>0.6548</v>
      </c>
      <c r="L192" s="3" t="n">
        <v>4</v>
      </c>
      <c r="M192" s="12" t="n">
        <f aca="false">Z192-W192</f>
        <v>0.137215</v>
      </c>
      <c r="N192" s="12" t="n">
        <f aca="false">IFERROR((Z192-J192)/L192,"")</f>
        <v>0.0191787500000001</v>
      </c>
      <c r="O192" s="3" t="n">
        <v>9</v>
      </c>
      <c r="P192" s="13" t="b">
        <f aca="false">FALSE()</f>
        <v>0</v>
      </c>
      <c r="Q192" s="3" t="s">
        <v>166</v>
      </c>
      <c r="R192" s="12" t="n">
        <v>0.9121</v>
      </c>
      <c r="S192" s="12" t="n">
        <v>0.8621</v>
      </c>
      <c r="T192" s="3" t="n">
        <v>0.3179</v>
      </c>
      <c r="U192" s="12" t="n">
        <v>0.5812</v>
      </c>
      <c r="V192" s="12" t="n">
        <v>0.4628</v>
      </c>
      <c r="W192" s="12" t="n">
        <v>0.5176</v>
      </c>
      <c r="X192" s="3" t="n">
        <v>0.4938</v>
      </c>
      <c r="Y192" s="3" t="n">
        <v>0.6217</v>
      </c>
      <c r="Z192" s="14" t="n">
        <f aca="false">Assumptions!$B$3*R192+Assumptions!$B$4*S192+IF(AA192=1,Assumptions!$B$11,Assumptions!$B$5)*X192+IF(AA192=1,Assumptions!$B$12,Assumptions!$B$6)*T192+Assumptions!$B$7*U192+Assumptions!$B$8*V192+Assumptions!$B$9*Y192</f>
        <v>0.654815</v>
      </c>
      <c r="AA192" s="3" t="n">
        <v>0</v>
      </c>
    </row>
    <row r="193" customFormat="false" ht="15" hidden="false" customHeight="false" outlineLevel="0" collapsed="false">
      <c r="A193" s="3" t="s">
        <v>378</v>
      </c>
      <c r="B193" s="3" t="n">
        <v>580</v>
      </c>
      <c r="C193" s="11" t="str">
        <f aca="false">IF(M193&gt;=Assumptions!$B$17,"S+",IF(M193&gt;=Assumptions!$B$18,"S",IF(M193&gt;=Assumptions!$B$19,"A",IF(M193&gt;=Assumptions!$B$20,"B",IF(M193&gt;=Assumptions!$B$21,"C",IF(M193&gt;=Assumptions!$B$22,"D","F"))))))</f>
        <v>B</v>
      </c>
      <c r="D193" s="3" t="s">
        <v>183</v>
      </c>
      <c r="E193" s="3" t="n">
        <v>13</v>
      </c>
      <c r="F193" s="12" t="n">
        <v>0.9936</v>
      </c>
      <c r="G193" s="12" t="n">
        <v>0.64</v>
      </c>
      <c r="H193" s="12" t="n">
        <v>0.3571</v>
      </c>
      <c r="I193" s="12" t="n">
        <v>0.6683</v>
      </c>
      <c r="J193" s="12" t="n">
        <v>0.3514</v>
      </c>
      <c r="K193" s="12" t="n">
        <v>0.6004</v>
      </c>
      <c r="L193" s="3" t="n">
        <v>5</v>
      </c>
      <c r="M193" s="12" t="n">
        <f aca="false">Z193-W193</f>
        <v>0.137156</v>
      </c>
      <c r="N193" s="12" t="n">
        <f aca="false">IFERROR((Z193-J193)/L193,"")</f>
        <v>0.0497912</v>
      </c>
      <c r="O193" s="3" t="n">
        <v>7</v>
      </c>
      <c r="P193" s="13" t="b">
        <f aca="false">FALSE()</f>
        <v>0</v>
      </c>
      <c r="Q193" s="3" t="s">
        <v>166</v>
      </c>
      <c r="R193" s="12" t="n">
        <v>0.7274</v>
      </c>
      <c r="S193" s="12" t="n">
        <v>0.7563</v>
      </c>
      <c r="T193" s="3" t="n">
        <v>0.0318</v>
      </c>
      <c r="U193" s="12" t="n">
        <v>0.3077</v>
      </c>
      <c r="V193" s="12" t="n">
        <v>0.3757</v>
      </c>
      <c r="W193" s="12" t="n">
        <v>0.4632</v>
      </c>
      <c r="X193" s="3" t="n">
        <v>0.6547</v>
      </c>
      <c r="Y193" s="3" t="n">
        <v>0.6729</v>
      </c>
      <c r="Z193" s="14" t="n">
        <f aca="false">Assumptions!$B$3*R193+Assumptions!$B$4*S193+IF(AA193=1,Assumptions!$B$11,Assumptions!$B$5)*X193+IF(AA193=1,Assumptions!$B$12,Assumptions!$B$6)*T193+Assumptions!$B$7*U193+Assumptions!$B$8*V193+Assumptions!$B$9*Y193</f>
        <v>0.600356</v>
      </c>
      <c r="AA193" s="3" t="n">
        <v>1</v>
      </c>
    </row>
    <row r="194" customFormat="false" ht="15" hidden="false" customHeight="false" outlineLevel="0" collapsed="false">
      <c r="A194" s="3" t="s">
        <v>379</v>
      </c>
      <c r="B194" s="3" t="n">
        <v>600</v>
      </c>
      <c r="C194" s="11" t="str">
        <f aca="false">IF(M194&gt;=Assumptions!$B$17,"S+",IF(M194&gt;=Assumptions!$B$18,"S",IF(M194&gt;=Assumptions!$B$19,"A",IF(M194&gt;=Assumptions!$B$20,"B",IF(M194&gt;=Assumptions!$B$21,"C",IF(M194&gt;=Assumptions!$B$22,"D","F"))))))</f>
        <v>B</v>
      </c>
      <c r="D194" s="3" t="s">
        <v>197</v>
      </c>
      <c r="E194" s="3" t="n">
        <v>6</v>
      </c>
      <c r="F194" s="12" t="n">
        <v>0.9861</v>
      </c>
      <c r="G194" s="12" t="n">
        <v>0.6</v>
      </c>
      <c r="H194" s="12" t="n">
        <v>0.75</v>
      </c>
      <c r="I194" s="12" t="n">
        <v>0.7767</v>
      </c>
      <c r="J194" s="12" t="n">
        <v>0.4225</v>
      </c>
      <c r="K194" s="12" t="n">
        <v>0.6349</v>
      </c>
      <c r="L194" s="3" t="n">
        <v>4</v>
      </c>
      <c r="M194" s="12" t="n">
        <f aca="false">Z194-W194</f>
        <v>0.137089</v>
      </c>
      <c r="N194" s="12" t="n">
        <f aca="false">IFERROR((Z194-J194)/L194,"")</f>
        <v>0.05309725</v>
      </c>
      <c r="O194" s="3" t="n">
        <v>14</v>
      </c>
      <c r="P194" s="13" t="b">
        <f aca="false">FALSE()</f>
        <v>0</v>
      </c>
      <c r="Q194" s="3" t="s">
        <v>166</v>
      </c>
      <c r="R194" s="12" t="n">
        <v>0.8938</v>
      </c>
      <c r="S194" s="12" t="n">
        <v>0.4608</v>
      </c>
      <c r="T194" s="3" t="n">
        <v>0.6595</v>
      </c>
      <c r="U194" s="12" t="n">
        <v>0.5</v>
      </c>
      <c r="V194" s="12" t="n">
        <v>0.5137</v>
      </c>
      <c r="W194" s="12" t="n">
        <v>0.4978</v>
      </c>
      <c r="X194" s="3" t="n">
        <v>0.4424</v>
      </c>
      <c r="Y194" s="3" t="n">
        <v>0.7695</v>
      </c>
      <c r="Z194" s="14" t="n">
        <f aca="false">Assumptions!$B$3*R194+Assumptions!$B$4*S194+IF(AA194=1,Assumptions!$B$11,Assumptions!$B$5)*X194+IF(AA194=1,Assumptions!$B$12,Assumptions!$B$6)*T194+Assumptions!$B$7*U194+Assumptions!$B$8*V194+Assumptions!$B$9*Y194</f>
        <v>0.634889</v>
      </c>
      <c r="AA194" s="3" t="n">
        <v>0</v>
      </c>
    </row>
    <row r="195" customFormat="false" ht="15" hidden="false" customHeight="false" outlineLevel="0" collapsed="false">
      <c r="A195" s="3" t="s">
        <v>380</v>
      </c>
      <c r="B195" s="3" t="n">
        <v>625</v>
      </c>
      <c r="C195" s="11" t="str">
        <f aca="false">IF(M195&gt;=Assumptions!$B$17,"S+",IF(M195&gt;=Assumptions!$B$18,"S",IF(M195&gt;=Assumptions!$B$19,"A",IF(M195&gt;=Assumptions!$B$20,"B",IF(M195&gt;=Assumptions!$B$21,"C",IF(M195&gt;=Assumptions!$B$22,"D","F"))))))</f>
        <v>B</v>
      </c>
      <c r="D195" s="3" t="s">
        <v>253</v>
      </c>
      <c r="E195" s="3" t="n">
        <v>12</v>
      </c>
      <c r="F195" s="12" t="n">
        <v>0.8238</v>
      </c>
      <c r="G195" s="12" t="n">
        <v>0.6</v>
      </c>
      <c r="H195" s="12" t="n">
        <v>0.75</v>
      </c>
      <c r="I195" s="12" t="n">
        <v>0.7016</v>
      </c>
      <c r="J195" s="12" t="n">
        <v>0.4605</v>
      </c>
      <c r="K195" s="12" t="n">
        <v>0.663</v>
      </c>
      <c r="L195" s="3" t="n">
        <v>4</v>
      </c>
      <c r="M195" s="12" t="n">
        <f aca="false">Z195-W195</f>
        <v>0.137071</v>
      </c>
      <c r="N195" s="12" t="n">
        <f aca="false">IFERROR((Z195-J195)/L195,"")</f>
        <v>0.05061775</v>
      </c>
      <c r="O195" s="3" t="n">
        <v>8</v>
      </c>
      <c r="P195" s="13" t="b">
        <f aca="false">FALSE()</f>
        <v>0</v>
      </c>
      <c r="Q195" s="3" t="s">
        <v>166</v>
      </c>
      <c r="R195" s="12" t="n">
        <v>0.8234</v>
      </c>
      <c r="S195" s="12" t="n">
        <v>0.7247</v>
      </c>
      <c r="T195" s="3" t="n">
        <v>0.1771</v>
      </c>
      <c r="U195" s="12" t="n">
        <v>0.5096</v>
      </c>
      <c r="V195" s="12" t="n">
        <v>0.4644</v>
      </c>
      <c r="W195" s="12" t="n">
        <v>0.5259</v>
      </c>
      <c r="X195" s="3" t="n">
        <v>0.9166</v>
      </c>
      <c r="Y195" s="3" t="n">
        <v>0.7023</v>
      </c>
      <c r="Z195" s="14" t="n">
        <f aca="false">Assumptions!$B$3*R195+Assumptions!$B$4*S195+IF(AA195=1,Assumptions!$B$11,Assumptions!$B$5)*X195+IF(AA195=1,Assumptions!$B$12,Assumptions!$B$6)*T195+Assumptions!$B$7*U195+Assumptions!$B$8*V195+Assumptions!$B$9*Y195</f>
        <v>0.662971</v>
      </c>
      <c r="AA195" s="3" t="n">
        <v>0</v>
      </c>
    </row>
    <row r="196" customFormat="false" ht="15" hidden="false" customHeight="false" outlineLevel="0" collapsed="false">
      <c r="A196" s="3" t="s">
        <v>381</v>
      </c>
      <c r="B196" s="3" t="n">
        <v>550</v>
      </c>
      <c r="C196" s="11" t="str">
        <f aca="false">IF(M196&gt;=Assumptions!$B$17,"S+",IF(M196&gt;=Assumptions!$B$18,"S",IF(M196&gt;=Assumptions!$B$19,"A",IF(M196&gt;=Assumptions!$B$20,"B",IF(M196&gt;=Assumptions!$B$21,"C",IF(M196&gt;=Assumptions!$B$22,"D","F"))))))</f>
        <v>B</v>
      </c>
      <c r="D196" s="3" t="s">
        <v>197</v>
      </c>
      <c r="E196" s="3" t="n">
        <v>1</v>
      </c>
      <c r="F196" s="12" t="n">
        <v>0.6654</v>
      </c>
      <c r="G196" s="12" t="n">
        <v>0.8</v>
      </c>
      <c r="H196" s="12" t="n">
        <v>0.75</v>
      </c>
      <c r="I196" s="12" t="n">
        <v>0.7389</v>
      </c>
      <c r="J196" s="12" t="n">
        <v>0.4524</v>
      </c>
      <c r="K196" s="12" t="n">
        <v>0.6346</v>
      </c>
      <c r="L196" s="3" t="n">
        <v>4.45</v>
      </c>
      <c r="M196" s="12" t="n">
        <f aca="false">Z196-W196</f>
        <v>0.136446</v>
      </c>
      <c r="N196" s="12" t="n">
        <f aca="false">IFERROR((Z196-J196)/L196,"")</f>
        <v>0.0409541573033708</v>
      </c>
      <c r="O196" s="3" t="n">
        <v>19</v>
      </c>
      <c r="P196" s="13" t="b">
        <f aca="false">FALSE()</f>
        <v>0</v>
      </c>
      <c r="Q196" s="3" t="s">
        <v>166</v>
      </c>
      <c r="R196" s="12" t="n">
        <v>0.7527</v>
      </c>
      <c r="S196" s="12" t="n">
        <v>0.7217</v>
      </c>
      <c r="T196" s="3" t="n">
        <v>0.5001</v>
      </c>
      <c r="U196" s="12" t="n">
        <v>0.3927</v>
      </c>
      <c r="V196" s="12" t="n">
        <v>0.4905</v>
      </c>
      <c r="W196" s="12" t="n">
        <v>0.4982</v>
      </c>
      <c r="X196" s="3" t="n">
        <v>0.7192</v>
      </c>
      <c r="Y196" s="3" t="n">
        <v>0.6238</v>
      </c>
      <c r="Z196" s="14" t="n">
        <f aca="false">Assumptions!$B$3*R196+Assumptions!$B$4*S196+IF(AA196=1,Assumptions!$B$11,Assumptions!$B$5)*X196+IF(AA196=1,Assumptions!$B$12,Assumptions!$B$6)*T196+Assumptions!$B$7*U196+Assumptions!$B$8*V196+Assumptions!$B$9*Y196</f>
        <v>0.634646</v>
      </c>
      <c r="AA196" s="3" t="n">
        <v>0</v>
      </c>
    </row>
    <row r="197" customFormat="false" ht="15" hidden="false" customHeight="false" outlineLevel="0" collapsed="false">
      <c r="A197" s="3" t="s">
        <v>382</v>
      </c>
      <c r="B197" s="3" t="n">
        <v>525</v>
      </c>
      <c r="C197" s="11" t="str">
        <f aca="false">IF(M197&gt;=Assumptions!$B$17,"S+",IF(M197&gt;=Assumptions!$B$18,"S",IF(M197&gt;=Assumptions!$B$19,"A",IF(M197&gt;=Assumptions!$B$20,"B",IF(M197&gt;=Assumptions!$B$21,"C",IF(M197&gt;=Assumptions!$B$22,"D","F"))))))</f>
        <v>B</v>
      </c>
      <c r="D197" s="3" t="s">
        <v>203</v>
      </c>
      <c r="E197" s="3" t="n">
        <v>7</v>
      </c>
      <c r="F197" s="12" t="n">
        <v>0.4805</v>
      </c>
      <c r="G197" s="12" t="n">
        <v>1</v>
      </c>
      <c r="H197" s="12" t="n">
        <v>0.75</v>
      </c>
      <c r="I197" s="12" t="n">
        <v>0.7941</v>
      </c>
      <c r="J197" s="12" t="n">
        <v>0.458</v>
      </c>
      <c r="K197" s="12" t="n">
        <v>0.5941</v>
      </c>
      <c r="L197" s="3" t="n">
        <v>4.46</v>
      </c>
      <c r="M197" s="12" t="n">
        <f aca="false">Z197-W197</f>
        <v>0.135274</v>
      </c>
      <c r="N197" s="12" t="n">
        <f aca="false">IFERROR((Z197-J197)/L197,"")</f>
        <v>0.030509865470852</v>
      </c>
      <c r="O197" s="3" t="n">
        <v>13</v>
      </c>
      <c r="P197" s="13" t="b">
        <f aca="false">FALSE()</f>
        <v>0</v>
      </c>
      <c r="Q197" s="3" t="s">
        <v>166</v>
      </c>
      <c r="R197" s="12" t="n">
        <v>0.7132</v>
      </c>
      <c r="S197" s="12" t="n">
        <v>0.5442</v>
      </c>
      <c r="T197" s="3" t="n">
        <v>0.2076</v>
      </c>
      <c r="U197" s="12" t="n">
        <v>0.5444</v>
      </c>
      <c r="V197" s="12" t="n">
        <v>0.4736</v>
      </c>
      <c r="W197" s="12" t="n">
        <v>0.4588</v>
      </c>
      <c r="X197" s="3" t="n">
        <v>0.7244</v>
      </c>
      <c r="Y197" s="3" t="n">
        <v>0.7966</v>
      </c>
      <c r="Z197" s="14" t="n">
        <f aca="false">Assumptions!$B$3*R197+Assumptions!$B$4*S197+IF(AA197=1,Assumptions!$B$11,Assumptions!$B$5)*X197+IF(AA197=1,Assumptions!$B$12,Assumptions!$B$6)*T197+Assumptions!$B$7*U197+Assumptions!$B$8*V197+Assumptions!$B$9*Y197</f>
        <v>0.594074</v>
      </c>
      <c r="AA197" s="3" t="n">
        <v>0</v>
      </c>
    </row>
    <row r="198" customFormat="false" ht="15" hidden="false" customHeight="false" outlineLevel="0" collapsed="false">
      <c r="A198" s="3" t="s">
        <v>383</v>
      </c>
      <c r="B198" s="3" t="n">
        <v>600</v>
      </c>
      <c r="C198" s="11" t="str">
        <f aca="false">IF(M198&gt;=Assumptions!$B$17,"S+",IF(M198&gt;=Assumptions!$B$18,"S",IF(M198&gt;=Assumptions!$B$19,"A",IF(M198&gt;=Assumptions!$B$20,"B",IF(M198&gt;=Assumptions!$B$21,"C",IF(M198&gt;=Assumptions!$B$22,"D","F"))))))</f>
        <v>B</v>
      </c>
      <c r="D198" s="3" t="s">
        <v>253</v>
      </c>
      <c r="E198" s="3" t="n">
        <v>7</v>
      </c>
      <c r="F198" s="12" t="n">
        <v>0.9976</v>
      </c>
      <c r="G198" s="12" t="n">
        <v>0.4</v>
      </c>
      <c r="H198" s="12" t="n">
        <v>0.75</v>
      </c>
      <c r="I198" s="12" t="n">
        <v>0.6612</v>
      </c>
      <c r="J198" s="12" t="n">
        <v>0.5363</v>
      </c>
      <c r="K198" s="12" t="n">
        <v>0.6648</v>
      </c>
      <c r="L198" s="3" t="n">
        <v>4</v>
      </c>
      <c r="M198" s="12" t="n">
        <f aca="false">Z198-W198</f>
        <v>0.135289</v>
      </c>
      <c r="N198" s="12" t="n">
        <f aca="false">IFERROR((Z198-J198)/L198,"")</f>
        <v>0.03212225</v>
      </c>
      <c r="O198" s="3" t="n">
        <v>13</v>
      </c>
      <c r="P198" s="13" t="b">
        <f aca="false">FALSE()</f>
        <v>0</v>
      </c>
      <c r="Q198" s="3" t="s">
        <v>166</v>
      </c>
      <c r="R198" s="12" t="n">
        <v>0.8812</v>
      </c>
      <c r="S198" s="12" t="n">
        <v>0.4394</v>
      </c>
      <c r="T198" s="3" t="n">
        <v>0.8368</v>
      </c>
      <c r="U198" s="12" t="n">
        <v>0.426</v>
      </c>
      <c r="V198" s="12" t="n">
        <v>0.4757</v>
      </c>
      <c r="W198" s="12" t="n">
        <v>0.5295</v>
      </c>
      <c r="X198" s="3" t="n">
        <v>0.6769</v>
      </c>
      <c r="Y198" s="3" t="n">
        <v>0.6612</v>
      </c>
      <c r="Z198" s="14" t="n">
        <f aca="false">Assumptions!$B$3*R198+Assumptions!$B$4*S198+IF(AA198=1,Assumptions!$B$11,Assumptions!$B$5)*X198+IF(AA198=1,Assumptions!$B$12,Assumptions!$B$6)*T198+Assumptions!$B$7*U198+Assumptions!$B$8*V198+Assumptions!$B$9*Y198</f>
        <v>0.664789</v>
      </c>
      <c r="AA198" s="3" t="n">
        <v>0</v>
      </c>
    </row>
    <row r="199" customFormat="false" ht="15" hidden="false" customHeight="false" outlineLevel="0" collapsed="false">
      <c r="A199" s="3" t="s">
        <v>384</v>
      </c>
      <c r="B199" s="3" t="n">
        <v>600</v>
      </c>
      <c r="C199" s="11" t="str">
        <f aca="false">IF(M199&gt;=Assumptions!$B$17,"S+",IF(M199&gt;=Assumptions!$B$18,"S",IF(M199&gt;=Assumptions!$B$19,"A",IF(M199&gt;=Assumptions!$B$20,"B",IF(M199&gt;=Assumptions!$B$21,"C",IF(M199&gt;=Assumptions!$B$22,"D","F"))))))</f>
        <v>B</v>
      </c>
      <c r="D199" s="3" t="s">
        <v>197</v>
      </c>
      <c r="E199" s="3" t="n">
        <v>13</v>
      </c>
      <c r="F199" s="12" t="n">
        <v>0.892</v>
      </c>
      <c r="G199" s="12" t="n">
        <v>0.4</v>
      </c>
      <c r="H199" s="12" t="n">
        <v>0.75</v>
      </c>
      <c r="I199" s="12" t="n">
        <v>0.657</v>
      </c>
      <c r="J199" s="12" t="n">
        <v>0.3684</v>
      </c>
      <c r="K199" s="12" t="n">
        <v>0.6187</v>
      </c>
      <c r="L199" s="3" t="n">
        <v>4</v>
      </c>
      <c r="M199" s="12" t="n">
        <f aca="false">Z199-W199</f>
        <v>0.135031</v>
      </c>
      <c r="N199" s="12" t="n">
        <f aca="false">IFERROR((Z199-J199)/L199,"")</f>
        <v>0.06258275</v>
      </c>
      <c r="O199" s="3" t="n">
        <v>7</v>
      </c>
      <c r="P199" s="13" t="b">
        <f aca="false">FALSE()</f>
        <v>0</v>
      </c>
      <c r="Q199" s="3" t="s">
        <v>166</v>
      </c>
      <c r="R199" s="12" t="n">
        <v>0.8734</v>
      </c>
      <c r="S199" s="12" t="n">
        <v>0.4619</v>
      </c>
      <c r="T199" s="3" t="n">
        <v>0.4643</v>
      </c>
      <c r="U199" s="12" t="n">
        <v>0.5385</v>
      </c>
      <c r="V199" s="12" t="n">
        <v>0.4846</v>
      </c>
      <c r="W199" s="12" t="n">
        <v>0.4837</v>
      </c>
      <c r="X199" s="3" t="n">
        <v>0.586</v>
      </c>
      <c r="Y199" s="3" t="n">
        <v>0.6573</v>
      </c>
      <c r="Z199" s="14" t="n">
        <f aca="false">Assumptions!$B$3*R199+Assumptions!$B$4*S199+IF(AA199=1,Assumptions!$B$11,Assumptions!$B$5)*X199+IF(AA199=1,Assumptions!$B$12,Assumptions!$B$6)*T199+Assumptions!$B$7*U199+Assumptions!$B$8*V199+Assumptions!$B$9*Y199</f>
        <v>0.618731</v>
      </c>
      <c r="AA199" s="3" t="n">
        <v>0</v>
      </c>
    </row>
    <row r="200" customFormat="false" ht="15" hidden="false" customHeight="false" outlineLevel="0" collapsed="false">
      <c r="A200" s="3" t="s">
        <v>385</v>
      </c>
      <c r="B200" s="3" t="n">
        <v>580</v>
      </c>
      <c r="C200" s="11" t="str">
        <f aca="false">IF(M200&gt;=Assumptions!$B$17,"S+",IF(M200&gt;=Assumptions!$B$18,"S",IF(M200&gt;=Assumptions!$B$19,"A",IF(M200&gt;=Assumptions!$B$20,"B",IF(M200&gt;=Assumptions!$B$21,"C",IF(M200&gt;=Assumptions!$B$22,"D","F"))))))</f>
        <v>B</v>
      </c>
      <c r="D200" s="3" t="s">
        <v>203</v>
      </c>
      <c r="E200" s="3" t="n">
        <v>9</v>
      </c>
      <c r="F200" s="12" t="n">
        <v>0.9125</v>
      </c>
      <c r="G200" s="12" t="n">
        <v>0.8</v>
      </c>
      <c r="H200" s="12" t="n">
        <v>0.75</v>
      </c>
      <c r="I200" s="12" t="n">
        <v>0.8238</v>
      </c>
      <c r="J200" s="12" t="n">
        <v>0.4241</v>
      </c>
      <c r="K200" s="12" t="n">
        <v>0.5963</v>
      </c>
      <c r="L200" s="3" t="n">
        <v>4</v>
      </c>
      <c r="M200" s="12" t="n">
        <f aca="false">Z200-W200</f>
        <v>0.134542</v>
      </c>
      <c r="N200" s="12" t="n">
        <f aca="false">IFERROR((Z200-J200)/L200,"")</f>
        <v>0.0430355</v>
      </c>
      <c r="O200" s="3" t="n">
        <v>11</v>
      </c>
      <c r="P200" s="13" t="b">
        <f aca="false">FALSE()</f>
        <v>0</v>
      </c>
      <c r="Q200" s="3" t="s">
        <v>166</v>
      </c>
      <c r="R200" s="12" t="n">
        <v>0.8191</v>
      </c>
      <c r="S200" s="12" t="n">
        <v>0.5522</v>
      </c>
      <c r="T200" s="3" t="n">
        <v>0.3491</v>
      </c>
      <c r="U200" s="12" t="n">
        <v>0.4615</v>
      </c>
      <c r="V200" s="12" t="n">
        <v>0.5064</v>
      </c>
      <c r="W200" s="12" t="n">
        <v>0.4617</v>
      </c>
      <c r="X200" s="3" t="n">
        <v>0.464</v>
      </c>
      <c r="Y200" s="3" t="n">
        <v>0.8246</v>
      </c>
      <c r="Z200" s="14" t="n">
        <f aca="false">Assumptions!$B$3*R200+Assumptions!$B$4*S200+IF(AA200=1,Assumptions!$B$11,Assumptions!$B$5)*X200+IF(AA200=1,Assumptions!$B$12,Assumptions!$B$6)*T200+Assumptions!$B$7*U200+Assumptions!$B$8*V200+Assumptions!$B$9*Y200</f>
        <v>0.596242</v>
      </c>
      <c r="AA200" s="3" t="n">
        <v>0</v>
      </c>
    </row>
    <row r="201" customFormat="false" ht="15" hidden="false" customHeight="false" outlineLevel="0" collapsed="false">
      <c r="A201" s="3" t="s">
        <v>386</v>
      </c>
      <c r="B201" s="3" t="n">
        <v>600</v>
      </c>
      <c r="C201" s="11" t="str">
        <f aca="false">IF(M201&gt;=Assumptions!$B$17,"S+",IF(M201&gt;=Assumptions!$B$18,"S",IF(M201&gt;=Assumptions!$B$19,"A",IF(M201&gt;=Assumptions!$B$20,"B",IF(M201&gt;=Assumptions!$B$21,"C",IF(M201&gt;=Assumptions!$B$22,"D","F"))))))</f>
        <v>B</v>
      </c>
      <c r="D201" s="3" t="s">
        <v>228</v>
      </c>
      <c r="E201" s="3" t="n">
        <v>13</v>
      </c>
      <c r="F201" s="12" t="n">
        <v>0.7912</v>
      </c>
      <c r="G201" s="12" t="n">
        <v>0.4</v>
      </c>
      <c r="H201" s="12" t="n">
        <v>0.75</v>
      </c>
      <c r="I201" s="12" t="n">
        <v>0.5952</v>
      </c>
      <c r="J201" s="12" t="n">
        <v>0.4085</v>
      </c>
      <c r="K201" s="12" t="n">
        <v>0.5969</v>
      </c>
      <c r="L201" s="3" t="n">
        <v>4</v>
      </c>
      <c r="M201" s="12" t="n">
        <f aca="false">Z201-W201</f>
        <v>0.13445</v>
      </c>
      <c r="N201" s="12" t="n">
        <f aca="false">IFERROR((Z201-J201)/L201,"")</f>
        <v>0.0470875</v>
      </c>
      <c r="O201" s="3" t="n">
        <v>7</v>
      </c>
      <c r="P201" s="13" t="b">
        <f aca="false">FALSE()</f>
        <v>0</v>
      </c>
      <c r="Q201" s="3" t="s">
        <v>166</v>
      </c>
      <c r="R201" s="12" t="n">
        <v>0.8314</v>
      </c>
      <c r="S201" s="12" t="n">
        <v>0.6972</v>
      </c>
      <c r="T201" s="3" t="n">
        <v>0.1429</v>
      </c>
      <c r="U201" s="12" t="n">
        <v>0.3846</v>
      </c>
      <c r="V201" s="12" t="n">
        <v>0.543</v>
      </c>
      <c r="W201" s="12" t="n">
        <v>0.4624</v>
      </c>
      <c r="X201" s="3" t="n">
        <v>0.6323</v>
      </c>
      <c r="Y201" s="3" t="n">
        <v>0.596</v>
      </c>
      <c r="Z201" s="14" t="n">
        <f aca="false">Assumptions!$B$3*R201+Assumptions!$B$4*S201+IF(AA201=1,Assumptions!$B$11,Assumptions!$B$5)*X201+IF(AA201=1,Assumptions!$B$12,Assumptions!$B$6)*T201+Assumptions!$B$7*U201+Assumptions!$B$8*V201+Assumptions!$B$9*Y201</f>
        <v>0.59685</v>
      </c>
      <c r="AA201" s="3" t="n">
        <v>0</v>
      </c>
    </row>
    <row r="202" customFormat="false" ht="15" hidden="false" customHeight="false" outlineLevel="0" collapsed="false">
      <c r="A202" s="3" t="s">
        <v>387</v>
      </c>
      <c r="B202" s="3" t="n">
        <v>570</v>
      </c>
      <c r="C202" s="11" t="str">
        <f aca="false">IF(M202&gt;=Assumptions!$B$17,"S+",IF(M202&gt;=Assumptions!$B$18,"S",IF(M202&gt;=Assumptions!$B$19,"A",IF(M202&gt;=Assumptions!$B$20,"B",IF(M202&gt;=Assumptions!$B$21,"C",IF(M202&gt;=Assumptions!$B$22,"D","F"))))))</f>
        <v>B</v>
      </c>
      <c r="D202" s="3" t="s">
        <v>197</v>
      </c>
      <c r="E202" s="3" t="n">
        <v>1</v>
      </c>
      <c r="F202" s="12" t="n">
        <v>0.9706</v>
      </c>
      <c r="G202" s="12" t="n">
        <v>0.8</v>
      </c>
      <c r="H202" s="12" t="n">
        <v>0.75</v>
      </c>
      <c r="I202" s="12" t="n">
        <v>0.8548</v>
      </c>
      <c r="J202" s="12" t="n">
        <v>0.4869</v>
      </c>
      <c r="K202" s="12" t="n">
        <v>0.6431</v>
      </c>
      <c r="L202" s="3" t="n">
        <v>3.42</v>
      </c>
      <c r="M202" s="12" t="n">
        <f aca="false">Z202-W202</f>
        <v>0.134128</v>
      </c>
      <c r="N202" s="12" t="n">
        <f aca="false">IFERROR((Z202-J202)/L202,"")</f>
        <v>0.045680701754386</v>
      </c>
      <c r="O202" s="3" t="n">
        <v>19</v>
      </c>
      <c r="P202" s="13" t="b">
        <f aca="false">FALSE()</f>
        <v>0</v>
      </c>
      <c r="Q202" s="3" t="s">
        <v>166</v>
      </c>
      <c r="R202" s="12" t="n">
        <v>0.7862</v>
      </c>
      <c r="S202" s="12" t="n">
        <v>0.6087</v>
      </c>
      <c r="T202" s="3" t="n">
        <v>0.8168</v>
      </c>
      <c r="U202" s="12" t="n">
        <v>0.4089</v>
      </c>
      <c r="V202" s="12" t="n">
        <v>0.5897</v>
      </c>
      <c r="W202" s="12" t="n">
        <v>0.509</v>
      </c>
      <c r="X202" s="3" t="n">
        <v>0.4403</v>
      </c>
      <c r="Y202" s="3" t="n">
        <v>0.7319</v>
      </c>
      <c r="Z202" s="14" t="n">
        <f aca="false">Assumptions!$B$3*R202+Assumptions!$B$4*S202+IF(AA202=1,Assumptions!$B$11,Assumptions!$B$5)*X202+IF(AA202=1,Assumptions!$B$12,Assumptions!$B$6)*T202+Assumptions!$B$7*U202+Assumptions!$B$8*V202+Assumptions!$B$9*Y202</f>
        <v>0.643128</v>
      </c>
      <c r="AA202" s="3" t="n">
        <v>0</v>
      </c>
    </row>
    <row r="203" customFormat="false" ht="15" hidden="false" customHeight="false" outlineLevel="0" collapsed="false">
      <c r="A203" s="3" t="s">
        <v>388</v>
      </c>
      <c r="B203" s="3" t="n">
        <v>510</v>
      </c>
      <c r="C203" s="11" t="str">
        <f aca="false">IF(M203&gt;=Assumptions!$B$17,"S+",IF(M203&gt;=Assumptions!$B$18,"S",IF(M203&gt;=Assumptions!$B$19,"A",IF(M203&gt;=Assumptions!$B$20,"B",IF(M203&gt;=Assumptions!$B$21,"C",IF(M203&gt;=Assumptions!$B$22,"D","F"))))))</f>
        <v>B</v>
      </c>
      <c r="D203" s="3" t="s">
        <v>186</v>
      </c>
      <c r="E203" s="3" t="n">
        <v>3</v>
      </c>
      <c r="F203" s="12" t="n">
        <v>0.7301</v>
      </c>
      <c r="G203" s="12" t="n">
        <v>0.85</v>
      </c>
      <c r="H203" s="12" t="n">
        <v>0.75</v>
      </c>
      <c r="I203" s="12" t="n">
        <v>0.8084</v>
      </c>
      <c r="J203" s="12" t="n">
        <v>0.3993</v>
      </c>
      <c r="K203" s="12" t="n">
        <v>0.574</v>
      </c>
      <c r="L203" s="3" t="n">
        <v>4.88</v>
      </c>
      <c r="M203" s="12" t="n">
        <f aca="false">Z203-W203</f>
        <v>0.133894</v>
      </c>
      <c r="N203" s="12" t="n">
        <f aca="false">IFERROR((Z203-J203)/L203,"")</f>
        <v>0.0357979508196721</v>
      </c>
      <c r="O203" s="3" t="n">
        <v>17</v>
      </c>
      <c r="P203" s="13" t="b">
        <f aca="false">FALSE()</f>
        <v>0</v>
      </c>
      <c r="Q203" s="3" t="s">
        <v>201</v>
      </c>
      <c r="R203" s="12" t="n">
        <v>0.7944</v>
      </c>
      <c r="S203" s="12" t="n">
        <v>0.6515</v>
      </c>
      <c r="T203" s="3" t="n">
        <v>0.0679</v>
      </c>
      <c r="U203" s="12" t="n">
        <v>0.3348</v>
      </c>
      <c r="V203" s="12" t="n">
        <v>0.4991</v>
      </c>
      <c r="W203" s="12" t="n">
        <v>0.4401</v>
      </c>
      <c r="X203" s="3" t="n">
        <v>0.4207</v>
      </c>
      <c r="Y203" s="3" t="n">
        <v>0.7766</v>
      </c>
      <c r="Z203" s="14" t="n">
        <f aca="false">Assumptions!$B$3*R203+Assumptions!$B$4*S203+IF(AA203=1,Assumptions!$B$11,Assumptions!$B$5)*X203+IF(AA203=1,Assumptions!$B$12,Assumptions!$B$6)*T203+Assumptions!$B$7*U203+Assumptions!$B$8*V203+Assumptions!$B$9*Y203</f>
        <v>0.573994</v>
      </c>
      <c r="AA203" s="3" t="n">
        <v>1</v>
      </c>
    </row>
    <row r="204" customFormat="false" ht="15" hidden="false" customHeight="false" outlineLevel="0" collapsed="false">
      <c r="A204" s="3" t="s">
        <v>389</v>
      </c>
      <c r="B204" s="3" t="n">
        <v>419</v>
      </c>
      <c r="C204" s="11" t="str">
        <f aca="false">IF(M204&gt;=Assumptions!$B$17,"S+",IF(M204&gt;=Assumptions!$B$18,"S",IF(M204&gt;=Assumptions!$B$19,"A",IF(M204&gt;=Assumptions!$B$20,"B",IF(M204&gt;=Assumptions!$B$21,"C",IF(M204&gt;=Assumptions!$B$22,"D","F"))))))</f>
        <v>B</v>
      </c>
      <c r="D204" s="3" t="s">
        <v>171</v>
      </c>
      <c r="E204" s="3" t="n">
        <v>1</v>
      </c>
      <c r="F204" s="12" t="n">
        <v>0.8322</v>
      </c>
      <c r="G204" s="12" t="n">
        <v>0.6</v>
      </c>
      <c r="H204" s="12" t="n">
        <v>0.75</v>
      </c>
      <c r="I204" s="12" t="n">
        <v>0.6718</v>
      </c>
      <c r="J204" s="12" t="n">
        <v>0.347</v>
      </c>
      <c r="K204" s="12" t="n">
        <v>0.546</v>
      </c>
      <c r="L204" s="3" t="n">
        <v>3.82</v>
      </c>
      <c r="M204" s="12" t="n">
        <f aca="false">Z204-W204</f>
        <v>0.133671</v>
      </c>
      <c r="N204" s="12" t="n">
        <f aca="false">IFERROR((Z204-J204)/L204,"")</f>
        <v>0.0520866492146597</v>
      </c>
      <c r="O204" s="3" t="n">
        <v>19</v>
      </c>
      <c r="P204" s="13" t="b">
        <f aca="false">FALSE()</f>
        <v>0</v>
      </c>
      <c r="Q204" s="3" t="s">
        <v>166</v>
      </c>
      <c r="R204" s="12" t="n">
        <v>0.6177</v>
      </c>
      <c r="S204" s="12" t="n">
        <v>0.6838</v>
      </c>
      <c r="T204" s="3" t="n">
        <v>0.137</v>
      </c>
      <c r="U204" s="12" t="n">
        <v>0.5628</v>
      </c>
      <c r="V204" s="12" t="n">
        <v>0.4707</v>
      </c>
      <c r="W204" s="12" t="n">
        <v>0.4123</v>
      </c>
      <c r="X204" s="3" t="n">
        <v>0.4488</v>
      </c>
      <c r="Y204" s="3" t="n">
        <v>0.6155</v>
      </c>
      <c r="Z204" s="14" t="n">
        <f aca="false">Assumptions!$B$3*R204+Assumptions!$B$4*S204+IF(AA204=1,Assumptions!$B$11,Assumptions!$B$5)*X204+IF(AA204=1,Assumptions!$B$12,Assumptions!$B$6)*T204+Assumptions!$B$7*U204+Assumptions!$B$8*V204+Assumptions!$B$9*Y204</f>
        <v>0.545971</v>
      </c>
      <c r="AA204" s="3" t="n">
        <v>1</v>
      </c>
    </row>
    <row r="205" customFormat="false" ht="15" hidden="false" customHeight="false" outlineLevel="0" collapsed="false">
      <c r="A205" s="3" t="s">
        <v>390</v>
      </c>
      <c r="B205" s="3" t="n">
        <v>530</v>
      </c>
      <c r="C205" s="11" t="str">
        <f aca="false">IF(M205&gt;=Assumptions!$B$17,"S+",IF(M205&gt;=Assumptions!$B$18,"S",IF(M205&gt;=Assumptions!$B$19,"A",IF(M205&gt;=Assumptions!$B$20,"B",IF(M205&gt;=Assumptions!$B$21,"C",IF(M205&gt;=Assumptions!$B$22,"D","F"))))))</f>
        <v>B</v>
      </c>
      <c r="D205" s="3" t="s">
        <v>169</v>
      </c>
      <c r="E205" s="3" t="n">
        <v>7</v>
      </c>
      <c r="F205" s="12" t="n">
        <v>0.7706</v>
      </c>
      <c r="G205" s="12" t="n">
        <v>0.6</v>
      </c>
      <c r="H205" s="12" t="n">
        <v>0.5476</v>
      </c>
      <c r="I205" s="12" t="n">
        <v>0.6236</v>
      </c>
      <c r="J205" s="12" t="n">
        <v>0.3968</v>
      </c>
      <c r="K205" s="12" t="n">
        <v>0.6467</v>
      </c>
      <c r="L205" s="3" t="n">
        <v>4</v>
      </c>
      <c r="M205" s="12" t="n">
        <f aca="false">Z205-W205</f>
        <v>0.133528</v>
      </c>
      <c r="N205" s="12" t="n">
        <f aca="false">IFERROR((Z205-J205)/L205,"")</f>
        <v>0.062482</v>
      </c>
      <c r="O205" s="3" t="n">
        <v>13</v>
      </c>
      <c r="P205" s="13" t="b">
        <f aca="false">FALSE()</f>
        <v>0</v>
      </c>
      <c r="Q205" s="3" t="s">
        <v>166</v>
      </c>
      <c r="R205" s="12" t="n">
        <v>0.7739</v>
      </c>
      <c r="S205" s="12" t="n">
        <v>0.6359</v>
      </c>
      <c r="T205" s="3" t="n">
        <v>0.2191</v>
      </c>
      <c r="U205" s="12" t="n">
        <v>0.6095</v>
      </c>
      <c r="V205" s="12" t="n">
        <v>0.4981</v>
      </c>
      <c r="W205" s="12" t="n">
        <v>0.5132</v>
      </c>
      <c r="X205" s="3" t="n">
        <v>0.9101</v>
      </c>
      <c r="Y205" s="3" t="n">
        <v>0.6248</v>
      </c>
      <c r="Z205" s="14" t="n">
        <f aca="false">Assumptions!$B$3*R205+Assumptions!$B$4*S205+IF(AA205=1,Assumptions!$B$11,Assumptions!$B$5)*X205+IF(AA205=1,Assumptions!$B$12,Assumptions!$B$6)*T205+Assumptions!$B$7*U205+Assumptions!$B$8*V205+Assumptions!$B$9*Y205</f>
        <v>0.646728</v>
      </c>
      <c r="AA205" s="3" t="n">
        <v>0</v>
      </c>
    </row>
    <row r="206" customFormat="false" ht="15" hidden="false" customHeight="false" outlineLevel="0" collapsed="false">
      <c r="A206" s="3" t="s">
        <v>391</v>
      </c>
      <c r="B206" s="3" t="n">
        <v>600</v>
      </c>
      <c r="C206" s="11" t="str">
        <f aca="false">IF(M206&gt;=Assumptions!$B$17,"S+",IF(M206&gt;=Assumptions!$B$18,"S",IF(M206&gt;=Assumptions!$B$19,"A",IF(M206&gt;=Assumptions!$B$20,"B",IF(M206&gt;=Assumptions!$B$21,"C",IF(M206&gt;=Assumptions!$B$22,"D","F"))))))</f>
        <v>B</v>
      </c>
      <c r="D206" s="3" t="s">
        <v>247</v>
      </c>
      <c r="E206" s="3" t="n">
        <v>6</v>
      </c>
      <c r="F206" s="12" t="n">
        <v>0.8635</v>
      </c>
      <c r="G206" s="12" t="n">
        <v>0.6</v>
      </c>
      <c r="H206" s="12" t="n">
        <v>0.75</v>
      </c>
      <c r="I206" s="12" t="n">
        <v>0.7143</v>
      </c>
      <c r="J206" s="12" t="n">
        <v>0.3739</v>
      </c>
      <c r="K206" s="12" t="n">
        <v>0.5865</v>
      </c>
      <c r="L206" s="3" t="n">
        <v>5</v>
      </c>
      <c r="M206" s="12" t="n">
        <f aca="false">Z206-W206</f>
        <v>0.13352</v>
      </c>
      <c r="N206" s="12" t="n">
        <f aca="false">IFERROR((Z206-J206)/L206,"")</f>
        <v>0.042524</v>
      </c>
      <c r="O206" s="3" t="n">
        <v>14</v>
      </c>
      <c r="P206" s="13" t="b">
        <f aca="false">FALSE()</f>
        <v>0</v>
      </c>
      <c r="Q206" s="3" t="s">
        <v>166</v>
      </c>
      <c r="R206" s="12" t="n">
        <v>0.8815</v>
      </c>
      <c r="S206" s="12" t="n">
        <v>0.6932</v>
      </c>
      <c r="T206" s="3" t="n">
        <v>0.0494</v>
      </c>
      <c r="U206" s="12" t="n">
        <v>0.2308</v>
      </c>
      <c r="V206" s="12" t="n">
        <v>0.5198</v>
      </c>
      <c r="W206" s="12" t="n">
        <v>0.453</v>
      </c>
      <c r="X206" s="3" t="n">
        <v>0.5974</v>
      </c>
      <c r="Y206" s="3" t="n">
        <v>0.7158</v>
      </c>
      <c r="Z206" s="14" t="n">
        <f aca="false">Assumptions!$B$3*R206+Assumptions!$B$4*S206+IF(AA206=1,Assumptions!$B$11,Assumptions!$B$5)*X206+IF(AA206=1,Assumptions!$B$12,Assumptions!$B$6)*T206+Assumptions!$B$7*U206+Assumptions!$B$8*V206+Assumptions!$B$9*Y206</f>
        <v>0.58652</v>
      </c>
      <c r="AA206" s="3" t="n">
        <v>0</v>
      </c>
    </row>
    <row r="207" customFormat="false" ht="15" hidden="false" customHeight="false" outlineLevel="0" collapsed="false">
      <c r="A207" s="3" t="s">
        <v>392</v>
      </c>
      <c r="B207" s="3" t="n">
        <v>670</v>
      </c>
      <c r="C207" s="11" t="str">
        <f aca="false">IF(M207&gt;=Assumptions!$B$17,"S+",IF(M207&gt;=Assumptions!$B$18,"S",IF(M207&gt;=Assumptions!$B$19,"A",IF(M207&gt;=Assumptions!$B$20,"B",IF(M207&gt;=Assumptions!$B$21,"C",IF(M207&gt;=Assumptions!$B$22,"D","F"))))))</f>
        <v>B</v>
      </c>
      <c r="D207" s="3" t="s">
        <v>218</v>
      </c>
      <c r="E207" s="3" t="n">
        <v>13</v>
      </c>
      <c r="F207" s="12" t="n">
        <v>0.9485</v>
      </c>
      <c r="G207" s="12" t="n">
        <v>0.4</v>
      </c>
      <c r="H207" s="12" t="n">
        <v>0.75</v>
      </c>
      <c r="I207" s="12" t="n">
        <v>0.6455</v>
      </c>
      <c r="J207" s="12" t="n">
        <v>0.4006</v>
      </c>
      <c r="K207" s="12" t="n">
        <v>0.6424</v>
      </c>
      <c r="L207" s="3" t="n">
        <v>4</v>
      </c>
      <c r="M207" s="12" t="n">
        <f aca="false">Z207-W207</f>
        <v>0.133367</v>
      </c>
      <c r="N207" s="12" t="n">
        <f aca="false">IFERROR((Z207-J207)/L207,"")</f>
        <v>0.06044175</v>
      </c>
      <c r="O207" s="3" t="n">
        <v>7</v>
      </c>
      <c r="P207" s="13" t="b">
        <f aca="false">FALSE()</f>
        <v>0</v>
      </c>
      <c r="Q207" s="3" t="s">
        <v>166</v>
      </c>
      <c r="R207" s="12" t="n">
        <v>0.8843</v>
      </c>
      <c r="S207" s="12" t="n">
        <v>0.7655</v>
      </c>
      <c r="T207" s="3" t="n">
        <v>0.3215</v>
      </c>
      <c r="U207" s="12" t="n">
        <v>0.3846</v>
      </c>
      <c r="V207" s="12" t="n">
        <v>0.4638</v>
      </c>
      <c r="W207" s="12" t="n">
        <v>0.509</v>
      </c>
      <c r="X207" s="3" t="n">
        <v>0.6561</v>
      </c>
      <c r="Y207" s="3" t="n">
        <v>0.6459</v>
      </c>
      <c r="Z207" s="14" t="n">
        <f aca="false">Assumptions!$B$3*R207+Assumptions!$B$4*S207+IF(AA207=1,Assumptions!$B$11,Assumptions!$B$5)*X207+IF(AA207=1,Assumptions!$B$12,Assumptions!$B$6)*T207+Assumptions!$B$7*U207+Assumptions!$B$8*V207+Assumptions!$B$9*Y207</f>
        <v>0.642367</v>
      </c>
      <c r="AA207" s="3" t="n">
        <v>0</v>
      </c>
    </row>
    <row r="208" customFormat="false" ht="15" hidden="false" customHeight="false" outlineLevel="0" collapsed="false">
      <c r="A208" s="3" t="s">
        <v>393</v>
      </c>
      <c r="B208" s="3" t="n">
        <v>600</v>
      </c>
      <c r="C208" s="11" t="str">
        <f aca="false">IF(M208&gt;=Assumptions!$B$17,"S+",IF(M208&gt;=Assumptions!$B$18,"S",IF(M208&gt;=Assumptions!$B$19,"A",IF(M208&gt;=Assumptions!$B$20,"B",IF(M208&gt;=Assumptions!$B$21,"C",IF(M208&gt;=Assumptions!$B$22,"D","F"))))))</f>
        <v>B</v>
      </c>
      <c r="D208" s="3" t="s">
        <v>218</v>
      </c>
      <c r="E208" s="3" t="n">
        <v>7</v>
      </c>
      <c r="F208" s="12" t="n">
        <v>0.9633</v>
      </c>
      <c r="G208" s="12" t="n">
        <v>1</v>
      </c>
      <c r="H208" s="12" t="n">
        <v>0.75</v>
      </c>
      <c r="I208" s="12" t="n">
        <v>0.9383</v>
      </c>
      <c r="J208" s="12" t="n">
        <v>0.3969</v>
      </c>
      <c r="K208" s="12" t="n">
        <v>0.6435</v>
      </c>
      <c r="L208" s="3" t="n">
        <v>4</v>
      </c>
      <c r="M208" s="12" t="n">
        <f aca="false">Z208-W208</f>
        <v>0.132813</v>
      </c>
      <c r="N208" s="12" t="n">
        <f aca="false">IFERROR((Z208-J208)/L208,"")</f>
        <v>0.06165325</v>
      </c>
      <c r="O208" s="3" t="n">
        <v>13</v>
      </c>
      <c r="P208" s="13" t="b">
        <f aca="false">FALSE()</f>
        <v>0</v>
      </c>
      <c r="Q208" s="3" t="s">
        <v>166</v>
      </c>
      <c r="R208" s="12" t="n">
        <v>0.8818</v>
      </c>
      <c r="S208" s="12" t="n">
        <v>0.5907</v>
      </c>
      <c r="T208" s="3" t="n">
        <v>0.2255</v>
      </c>
      <c r="U208" s="12" t="n">
        <v>0.574</v>
      </c>
      <c r="V208" s="12" t="n">
        <v>0.5058</v>
      </c>
      <c r="W208" s="12" t="n">
        <v>0.5107</v>
      </c>
      <c r="X208" s="3" t="n">
        <v>0.5727</v>
      </c>
      <c r="Y208" s="3" t="n">
        <v>0.9391</v>
      </c>
      <c r="Z208" s="14" t="n">
        <f aca="false">Assumptions!$B$3*R208+Assumptions!$B$4*S208+IF(AA208=1,Assumptions!$B$11,Assumptions!$B$5)*X208+IF(AA208=1,Assumptions!$B$12,Assumptions!$B$6)*T208+Assumptions!$B$7*U208+Assumptions!$B$8*V208+Assumptions!$B$9*Y208</f>
        <v>0.643513</v>
      </c>
      <c r="AA208" s="3" t="n">
        <v>0</v>
      </c>
    </row>
    <row r="209" customFormat="false" ht="15" hidden="false" customHeight="false" outlineLevel="0" collapsed="false">
      <c r="A209" s="3" t="s">
        <v>394</v>
      </c>
      <c r="B209" s="3" t="n">
        <v>555</v>
      </c>
      <c r="C209" s="11" t="str">
        <f aca="false">IF(M209&gt;=Assumptions!$B$17,"S+",IF(M209&gt;=Assumptions!$B$18,"S",IF(M209&gt;=Assumptions!$B$19,"A",IF(M209&gt;=Assumptions!$B$20,"B",IF(M209&gt;=Assumptions!$B$21,"C",IF(M209&gt;=Assumptions!$B$22,"D","F"))))))</f>
        <v>B</v>
      </c>
      <c r="D209" s="3" t="s">
        <v>253</v>
      </c>
      <c r="E209" s="3" t="n">
        <v>7</v>
      </c>
      <c r="F209" s="12" t="n">
        <v>0.6183</v>
      </c>
      <c r="G209" s="12" t="n">
        <v>1</v>
      </c>
      <c r="H209" s="12" t="n">
        <v>0.75</v>
      </c>
      <c r="I209" s="12" t="n">
        <v>0.8279</v>
      </c>
      <c r="J209" s="12" t="n">
        <v>0.4197</v>
      </c>
      <c r="K209" s="12" t="n">
        <v>0.6496</v>
      </c>
      <c r="L209" s="3" t="n">
        <v>5</v>
      </c>
      <c r="M209" s="12" t="n">
        <f aca="false">Z209-W209</f>
        <v>0.132514</v>
      </c>
      <c r="N209" s="12" t="n">
        <f aca="false">IFERROR((Z209-J209)/L209,"")</f>
        <v>0.0459828</v>
      </c>
      <c r="O209" s="3" t="n">
        <v>13</v>
      </c>
      <c r="P209" s="13" t="b">
        <f aca="false">FALSE()</f>
        <v>0</v>
      </c>
      <c r="Q209" s="3" t="s">
        <v>166</v>
      </c>
      <c r="R209" s="12" t="n">
        <v>0.6889</v>
      </c>
      <c r="S209" s="12" t="n">
        <v>0.6742</v>
      </c>
      <c r="T209" s="3" t="n">
        <v>0.3576</v>
      </c>
      <c r="U209" s="12" t="n">
        <v>0.5385</v>
      </c>
      <c r="V209" s="12" t="n">
        <v>0.5298</v>
      </c>
      <c r="W209" s="12" t="n">
        <v>0.5171</v>
      </c>
      <c r="X209" s="3" t="n">
        <v>0.827</v>
      </c>
      <c r="Y209" s="3" t="n">
        <v>0.8201</v>
      </c>
      <c r="Z209" s="14" t="n">
        <f aca="false">Assumptions!$B$3*R209+Assumptions!$B$4*S209+IF(AA209=1,Assumptions!$B$11,Assumptions!$B$5)*X209+IF(AA209=1,Assumptions!$B$12,Assumptions!$B$6)*T209+Assumptions!$B$7*U209+Assumptions!$B$8*V209+Assumptions!$B$9*Y209</f>
        <v>0.649614</v>
      </c>
      <c r="AA209" s="3" t="n">
        <v>0</v>
      </c>
    </row>
    <row r="210" customFormat="false" ht="15" hidden="false" customHeight="false" outlineLevel="0" collapsed="false">
      <c r="A210" s="3" t="s">
        <v>395</v>
      </c>
      <c r="B210" s="3" t="n">
        <v>580</v>
      </c>
      <c r="C210" s="11" t="str">
        <f aca="false">IF(M210&gt;=Assumptions!$B$17,"S+",IF(M210&gt;=Assumptions!$B$18,"S",IF(M210&gt;=Assumptions!$B$19,"A",IF(M210&gt;=Assumptions!$B$20,"B",IF(M210&gt;=Assumptions!$B$21,"C",IF(M210&gt;=Assumptions!$B$22,"D","F"))))))</f>
        <v>B</v>
      </c>
      <c r="D210" s="3" t="s">
        <v>197</v>
      </c>
      <c r="E210" s="3" t="n">
        <v>9</v>
      </c>
      <c r="F210" s="12" t="n">
        <v>0.6984</v>
      </c>
      <c r="G210" s="12" t="n">
        <v>0.8</v>
      </c>
      <c r="H210" s="12" t="n">
        <v>0.75</v>
      </c>
      <c r="I210" s="12" t="n">
        <v>0.7514</v>
      </c>
      <c r="J210" s="12" t="n">
        <v>0.3835</v>
      </c>
      <c r="K210" s="12" t="n">
        <v>0.6177</v>
      </c>
      <c r="L210" s="3" t="n">
        <v>5</v>
      </c>
      <c r="M210" s="12" t="n">
        <f aca="false">Z210-W210</f>
        <v>0.131619</v>
      </c>
      <c r="N210" s="12" t="n">
        <f aca="false">IFERROR((Z210-J210)/L210,"")</f>
        <v>0.0468438</v>
      </c>
      <c r="O210" s="3" t="n">
        <v>11</v>
      </c>
      <c r="P210" s="13" t="b">
        <f aca="false">FALSE()</f>
        <v>0</v>
      </c>
      <c r="Q210" s="3" t="s">
        <v>166</v>
      </c>
      <c r="R210" s="12" t="n">
        <v>0.8943</v>
      </c>
      <c r="S210" s="12" t="n">
        <v>0.4698</v>
      </c>
      <c r="T210" s="3" t="n">
        <v>0.3902</v>
      </c>
      <c r="U210" s="12" t="n">
        <v>0.4196</v>
      </c>
      <c r="V210" s="12" t="n">
        <v>0.3829</v>
      </c>
      <c r="W210" s="12" t="n">
        <v>0.4861</v>
      </c>
      <c r="X210" s="3" t="n">
        <v>0.6783</v>
      </c>
      <c r="Y210" s="3" t="n">
        <v>0.753</v>
      </c>
      <c r="Z210" s="14" t="n">
        <f aca="false">Assumptions!$B$3*R210+Assumptions!$B$4*S210+IF(AA210=1,Assumptions!$B$11,Assumptions!$B$5)*X210+IF(AA210=1,Assumptions!$B$12,Assumptions!$B$6)*T210+Assumptions!$B$7*U210+Assumptions!$B$8*V210+Assumptions!$B$9*Y210</f>
        <v>0.617719</v>
      </c>
      <c r="AA210" s="3" t="n">
        <v>0</v>
      </c>
    </row>
    <row r="211" customFormat="false" ht="15" hidden="false" customHeight="false" outlineLevel="0" collapsed="false">
      <c r="A211" s="3" t="s">
        <v>396</v>
      </c>
      <c r="B211" s="3" t="n">
        <v>525</v>
      </c>
      <c r="C211" s="11" t="str">
        <f aca="false">IF(M211&gt;=Assumptions!$B$17,"S+",IF(M211&gt;=Assumptions!$B$18,"S",IF(M211&gt;=Assumptions!$B$19,"A",IF(M211&gt;=Assumptions!$B$20,"B",IF(M211&gt;=Assumptions!$B$21,"C",IF(M211&gt;=Assumptions!$B$22,"D","F"))))))</f>
        <v>B</v>
      </c>
      <c r="D211" s="3" t="s">
        <v>186</v>
      </c>
      <c r="E211" s="3" t="n">
        <v>1</v>
      </c>
      <c r="F211" s="12" t="n">
        <v>0.7304</v>
      </c>
      <c r="G211" s="12" t="n">
        <v>0.6</v>
      </c>
      <c r="H211" s="12" t="n">
        <v>0.75</v>
      </c>
      <c r="I211" s="12" t="n">
        <v>0.6535</v>
      </c>
      <c r="J211" s="12" t="n">
        <v>0.3534</v>
      </c>
      <c r="K211" s="12" t="n">
        <v>0.5882</v>
      </c>
      <c r="L211" s="3" t="n">
        <v>3.55</v>
      </c>
      <c r="M211" s="12" t="n">
        <f aca="false">Z211-W211</f>
        <v>0.131613</v>
      </c>
      <c r="N211" s="12" t="n">
        <f aca="false">IFERROR((Z211-J211)/L211,"")</f>
        <v>0.0661445070422535</v>
      </c>
      <c r="O211" s="3" t="n">
        <v>19</v>
      </c>
      <c r="P211" s="13" t="b">
        <f aca="false">FALSE()</f>
        <v>0</v>
      </c>
      <c r="Q211" s="3" t="s">
        <v>166</v>
      </c>
      <c r="R211" s="12" t="n">
        <v>0.8229</v>
      </c>
      <c r="S211" s="12" t="n">
        <v>0.5276</v>
      </c>
      <c r="T211" s="3" t="n">
        <v>0.2936</v>
      </c>
      <c r="U211" s="12" t="n">
        <v>0.4737</v>
      </c>
      <c r="V211" s="12" t="n">
        <v>0.3883</v>
      </c>
      <c r="W211" s="12" t="n">
        <v>0.4566</v>
      </c>
      <c r="X211" s="3" t="n">
        <v>0.5623</v>
      </c>
      <c r="Y211" s="3" t="n">
        <v>0.5834</v>
      </c>
      <c r="Z211" s="14" t="n">
        <f aca="false">Assumptions!$B$3*R211+Assumptions!$B$4*S211+IF(AA211=1,Assumptions!$B$11,Assumptions!$B$5)*X211+IF(AA211=1,Assumptions!$B$12,Assumptions!$B$6)*T211+Assumptions!$B$7*U211+Assumptions!$B$8*V211+Assumptions!$B$9*Y211</f>
        <v>0.588213</v>
      </c>
      <c r="AA211" s="3" t="n">
        <v>1</v>
      </c>
    </row>
    <row r="212" customFormat="false" ht="15" hidden="false" customHeight="false" outlineLevel="0" collapsed="false">
      <c r="A212" s="3" t="s">
        <v>397</v>
      </c>
      <c r="B212" s="3" t="n">
        <v>570</v>
      </c>
      <c r="C212" s="11" t="str">
        <f aca="false">IF(M212&gt;=Assumptions!$B$17,"S+",IF(M212&gt;=Assumptions!$B$18,"S",IF(M212&gt;=Assumptions!$B$19,"A",IF(M212&gt;=Assumptions!$B$20,"B",IF(M212&gt;=Assumptions!$B$21,"C",IF(M212&gt;=Assumptions!$B$22,"D","F"))))))</f>
        <v>B</v>
      </c>
      <c r="D212" s="3" t="s">
        <v>175</v>
      </c>
      <c r="E212" s="3" t="n">
        <v>1</v>
      </c>
      <c r="F212" s="12" t="n">
        <v>0.8221</v>
      </c>
      <c r="G212" s="12" t="n">
        <v>0.6</v>
      </c>
      <c r="H212" s="12" t="n">
        <v>0.75</v>
      </c>
      <c r="I212" s="12" t="n">
        <v>0.6633</v>
      </c>
      <c r="J212" s="12" t="n">
        <v>0.425</v>
      </c>
      <c r="K212" s="12" t="n">
        <v>0.5786</v>
      </c>
      <c r="L212" s="3" t="n">
        <v>3.47</v>
      </c>
      <c r="M212" s="12" t="n">
        <f aca="false">Z212-W212</f>
        <v>0.131446</v>
      </c>
      <c r="N212" s="12" t="n">
        <f aca="false">IFERROR((Z212-J212)/L212,"")</f>
        <v>0.0442783861671469</v>
      </c>
      <c r="O212" s="3" t="n">
        <v>19</v>
      </c>
      <c r="P212" s="13" t="b">
        <f aca="false">FALSE()</f>
        <v>0</v>
      </c>
      <c r="Q212" s="3" t="s">
        <v>166</v>
      </c>
      <c r="R212" s="12" t="n">
        <v>0.827</v>
      </c>
      <c r="S212" s="12" t="n">
        <v>0.6053</v>
      </c>
      <c r="T212" s="3" t="n">
        <v>0.5575</v>
      </c>
      <c r="U212" s="12" t="n">
        <v>0.4656</v>
      </c>
      <c r="V212" s="12" t="n">
        <v>0.5013</v>
      </c>
      <c r="W212" s="12" t="n">
        <v>0.4472</v>
      </c>
      <c r="X212" s="3" t="n">
        <v>0.2783</v>
      </c>
      <c r="Y212" s="3" t="n">
        <v>0.597</v>
      </c>
      <c r="Z212" s="14" t="n">
        <f aca="false">Assumptions!$B$3*R212+Assumptions!$B$4*S212+IF(AA212=1,Assumptions!$B$11,Assumptions!$B$5)*X212+IF(AA212=1,Assumptions!$B$12,Assumptions!$B$6)*T212+Assumptions!$B$7*U212+Assumptions!$B$8*V212+Assumptions!$B$9*Y212</f>
        <v>0.578646</v>
      </c>
      <c r="AA212" s="3" t="n">
        <v>0</v>
      </c>
    </row>
    <row r="213" customFormat="false" ht="15" hidden="false" customHeight="false" outlineLevel="0" collapsed="false">
      <c r="A213" s="3" t="s">
        <v>398</v>
      </c>
      <c r="B213" s="3" t="n">
        <v>500</v>
      </c>
      <c r="C213" s="11" t="str">
        <f aca="false">IF(M213&gt;=Assumptions!$B$17,"S+",IF(M213&gt;=Assumptions!$B$18,"S",IF(M213&gt;=Assumptions!$B$19,"A",IF(M213&gt;=Assumptions!$B$20,"B",IF(M213&gt;=Assumptions!$B$21,"C",IF(M213&gt;=Assumptions!$B$22,"D","F"))))))</f>
        <v>B</v>
      </c>
      <c r="D213" s="3" t="s">
        <v>175</v>
      </c>
      <c r="E213" s="3" t="n">
        <v>7</v>
      </c>
      <c r="F213" s="12" t="n">
        <v>0.7431</v>
      </c>
      <c r="G213" s="12" t="n">
        <v>0.45</v>
      </c>
      <c r="H213" s="12" t="n">
        <v>0.75</v>
      </c>
      <c r="I213" s="12" t="n">
        <v>0.554</v>
      </c>
      <c r="J213" s="12" t="n">
        <v>0.3352</v>
      </c>
      <c r="K213" s="12" t="n">
        <v>0.575</v>
      </c>
      <c r="L213" s="3" t="n">
        <v>5</v>
      </c>
      <c r="M213" s="12" t="n">
        <f aca="false">Z213-W213</f>
        <v>0.131465</v>
      </c>
      <c r="N213" s="12" t="n">
        <f aca="false">IFERROR((Z213-J213)/L213,"")</f>
        <v>0.047953</v>
      </c>
      <c r="O213" s="3" t="n">
        <v>13</v>
      </c>
      <c r="P213" s="13" t="b">
        <f aca="false">FALSE()</f>
        <v>0</v>
      </c>
      <c r="Q213" s="3" t="s">
        <v>166</v>
      </c>
      <c r="R213" s="12" t="n">
        <v>0.7057</v>
      </c>
      <c r="S213" s="12" t="n">
        <v>0.6221</v>
      </c>
      <c r="T213" s="3" t="n">
        <v>0.1597</v>
      </c>
      <c r="U213" s="12" t="n">
        <v>0.3491</v>
      </c>
      <c r="V213" s="12" t="n">
        <v>0.5826</v>
      </c>
      <c r="W213" s="12" t="n">
        <v>0.4435</v>
      </c>
      <c r="X213" s="3" t="n">
        <v>0.7913</v>
      </c>
      <c r="Y213" s="3" t="n">
        <v>0.534</v>
      </c>
      <c r="Z213" s="14" t="n">
        <f aca="false">Assumptions!$B$3*R213+Assumptions!$B$4*S213+IF(AA213=1,Assumptions!$B$11,Assumptions!$B$5)*X213+IF(AA213=1,Assumptions!$B$12,Assumptions!$B$6)*T213+Assumptions!$B$7*U213+Assumptions!$B$8*V213+Assumptions!$B$9*Y213</f>
        <v>0.574965</v>
      </c>
      <c r="AA213" s="3" t="n">
        <v>0</v>
      </c>
    </row>
    <row r="214" customFormat="false" ht="15" hidden="false" customHeight="false" outlineLevel="0" collapsed="false">
      <c r="A214" s="3" t="s">
        <v>399</v>
      </c>
      <c r="B214" s="3" t="n">
        <v>495</v>
      </c>
      <c r="C214" s="11" t="str">
        <f aca="false">IF(M214&gt;=Assumptions!$B$17,"S+",IF(M214&gt;=Assumptions!$B$18,"S",IF(M214&gt;=Assumptions!$B$19,"A",IF(M214&gt;=Assumptions!$B$20,"B",IF(M214&gt;=Assumptions!$B$21,"C",IF(M214&gt;=Assumptions!$B$22,"D","F"))))))</f>
        <v>B</v>
      </c>
      <c r="D214" s="3" t="s">
        <v>190</v>
      </c>
      <c r="E214" s="3" t="n">
        <v>6</v>
      </c>
      <c r="F214" s="12" t="n">
        <v>0.7664</v>
      </c>
      <c r="G214" s="12" t="n">
        <v>1</v>
      </c>
      <c r="H214" s="12" t="n">
        <v>0.75</v>
      </c>
      <c r="I214" s="12" t="n">
        <v>0.8612</v>
      </c>
      <c r="J214" s="12" t="n">
        <v>0.3517</v>
      </c>
      <c r="K214" s="12" t="n">
        <v>0.6084</v>
      </c>
      <c r="L214" s="3" t="n">
        <v>4</v>
      </c>
      <c r="M214" s="12" t="n">
        <f aca="false">Z214-W214</f>
        <v>0.131098</v>
      </c>
      <c r="N214" s="12" t="n">
        <f aca="false">IFERROR((Z214-J214)/L214,"")</f>
        <v>0.0641745</v>
      </c>
      <c r="O214" s="3" t="n">
        <v>14</v>
      </c>
      <c r="P214" s="13" t="b">
        <f aca="false">FALSE()</f>
        <v>0</v>
      </c>
      <c r="Q214" s="3" t="s">
        <v>166</v>
      </c>
      <c r="R214" s="12" t="n">
        <v>0.8588</v>
      </c>
      <c r="S214" s="12" t="n">
        <v>0.3368</v>
      </c>
      <c r="T214" s="3" t="n">
        <v>0.2428</v>
      </c>
      <c r="U214" s="12" t="n">
        <v>0.6648</v>
      </c>
      <c r="V214" s="12" t="n">
        <v>0.3678</v>
      </c>
      <c r="W214" s="12" t="n">
        <v>0.4773</v>
      </c>
      <c r="X214" s="3" t="n">
        <v>0.7011</v>
      </c>
      <c r="Y214" s="3" t="n">
        <v>0.8634</v>
      </c>
      <c r="Z214" s="14" t="n">
        <f aca="false">Assumptions!$B$3*R214+Assumptions!$B$4*S214+IF(AA214=1,Assumptions!$B$11,Assumptions!$B$5)*X214+IF(AA214=1,Assumptions!$B$12,Assumptions!$B$6)*T214+Assumptions!$B$7*U214+Assumptions!$B$8*V214+Assumptions!$B$9*Y214</f>
        <v>0.608398</v>
      </c>
      <c r="AA214" s="3" t="n">
        <v>0</v>
      </c>
    </row>
    <row r="215" customFormat="false" ht="15" hidden="false" customHeight="false" outlineLevel="0" collapsed="false">
      <c r="A215" s="3" t="s">
        <v>400</v>
      </c>
      <c r="B215" s="3" t="n">
        <v>565</v>
      </c>
      <c r="C215" s="11" t="str">
        <f aca="false">IF(M215&gt;=Assumptions!$B$17,"S+",IF(M215&gt;=Assumptions!$B$18,"S",IF(M215&gt;=Assumptions!$B$19,"A",IF(M215&gt;=Assumptions!$B$20,"B",IF(M215&gt;=Assumptions!$B$21,"C",IF(M215&gt;=Assumptions!$B$22,"D","F"))))))</f>
        <v>B</v>
      </c>
      <c r="D215" s="3" t="s">
        <v>197</v>
      </c>
      <c r="E215" s="3" t="n">
        <v>1</v>
      </c>
      <c r="F215" s="12" t="n">
        <v>0.9308</v>
      </c>
      <c r="G215" s="12" t="n">
        <v>0.8</v>
      </c>
      <c r="H215" s="12" t="n">
        <v>0.75</v>
      </c>
      <c r="I215" s="12" t="n">
        <v>0.8397</v>
      </c>
      <c r="J215" s="12" t="n">
        <v>0.46</v>
      </c>
      <c r="K215" s="12" t="n">
        <v>0.641</v>
      </c>
      <c r="L215" s="3" t="n">
        <v>3.58</v>
      </c>
      <c r="M215" s="12" t="n">
        <f aca="false">Z215-W215</f>
        <v>0.130875</v>
      </c>
      <c r="N215" s="12" t="n">
        <f aca="false">IFERROR((Z215-J215)/L215,"")</f>
        <v>0.0505516759776536</v>
      </c>
      <c r="O215" s="3" t="n">
        <v>19</v>
      </c>
      <c r="P215" s="13" t="b">
        <f aca="false">FALSE()</f>
        <v>0</v>
      </c>
      <c r="Q215" s="3" t="s">
        <v>166</v>
      </c>
      <c r="R215" s="12" t="n">
        <v>0.7662</v>
      </c>
      <c r="S215" s="12" t="n">
        <v>0.7136</v>
      </c>
      <c r="T215" s="3" t="n">
        <v>0.4961</v>
      </c>
      <c r="U215" s="12" t="n">
        <v>0.3927</v>
      </c>
      <c r="V215" s="12" t="n">
        <v>0.5011</v>
      </c>
      <c r="W215" s="12" t="n">
        <v>0.5101</v>
      </c>
      <c r="X215" s="3" t="n">
        <v>0.635</v>
      </c>
      <c r="Y215" s="3" t="n">
        <v>0.792</v>
      </c>
      <c r="Z215" s="14" t="n">
        <f aca="false">Assumptions!$B$3*R215+Assumptions!$B$4*S215+IF(AA215=1,Assumptions!$B$11,Assumptions!$B$5)*X215+IF(AA215=1,Assumptions!$B$12,Assumptions!$B$6)*T215+Assumptions!$B$7*U215+Assumptions!$B$8*V215+Assumptions!$B$9*Y215</f>
        <v>0.640975</v>
      </c>
      <c r="AA215" s="3" t="n">
        <v>0</v>
      </c>
    </row>
    <row r="216" customFormat="false" ht="15" hidden="false" customHeight="false" outlineLevel="0" collapsed="false">
      <c r="A216" s="3" t="s">
        <v>401</v>
      </c>
      <c r="B216" s="3" t="n">
        <v>471</v>
      </c>
      <c r="C216" s="11" t="str">
        <f aca="false">IF(M216&gt;=Assumptions!$B$17,"S+",IF(M216&gt;=Assumptions!$B$18,"S",IF(M216&gt;=Assumptions!$B$19,"A",IF(M216&gt;=Assumptions!$B$20,"B",IF(M216&gt;=Assumptions!$B$21,"C",IF(M216&gt;=Assumptions!$B$22,"D","F"))))))</f>
        <v>B</v>
      </c>
      <c r="D216" s="3" t="s">
        <v>206</v>
      </c>
      <c r="E216" s="3" t="n">
        <v>1</v>
      </c>
      <c r="F216" s="12" t="n">
        <v>0.9353</v>
      </c>
      <c r="G216" s="12" t="n">
        <v>0.76</v>
      </c>
      <c r="H216" s="12" t="n">
        <v>0.4752</v>
      </c>
      <c r="I216" s="12" t="n">
        <v>0.7379</v>
      </c>
      <c r="J216" s="12" t="n">
        <v>0.3626</v>
      </c>
      <c r="K216" s="12" t="n">
        <v>0.5763</v>
      </c>
      <c r="L216" s="3" t="n">
        <v>5.47</v>
      </c>
      <c r="M216" s="12" t="n">
        <f aca="false">Z216-W216</f>
        <v>0.130075</v>
      </c>
      <c r="N216" s="12" t="n">
        <f aca="false">IFERROR((Z216-J216)/L216,"")</f>
        <v>0.0390630712979891</v>
      </c>
      <c r="O216" s="3" t="n">
        <v>19</v>
      </c>
      <c r="P216" s="13" t="b">
        <f aca="false">FALSE()</f>
        <v>0</v>
      </c>
      <c r="Q216" s="3" t="s">
        <v>166</v>
      </c>
      <c r="R216" s="12" t="n">
        <v>0.7066</v>
      </c>
      <c r="S216" s="12" t="n">
        <v>0.7898</v>
      </c>
      <c r="T216" s="3" t="n">
        <v>0.1353</v>
      </c>
      <c r="U216" s="12" t="n">
        <v>0.3522</v>
      </c>
      <c r="V216" s="12" t="n">
        <v>0.5013</v>
      </c>
      <c r="W216" s="12" t="n">
        <v>0.4462</v>
      </c>
      <c r="X216" s="3" t="n">
        <v>0.4581</v>
      </c>
      <c r="Y216" s="3" t="n">
        <v>0.6837</v>
      </c>
      <c r="Z216" s="14" t="n">
        <f aca="false">Assumptions!$B$3*R216+Assumptions!$B$4*S216+IF(AA216=1,Assumptions!$B$11,Assumptions!$B$5)*X216+IF(AA216=1,Assumptions!$B$12,Assumptions!$B$6)*T216+Assumptions!$B$7*U216+Assumptions!$B$8*V216+Assumptions!$B$9*Y216</f>
        <v>0.576275</v>
      </c>
      <c r="AA216" s="3" t="n">
        <v>1</v>
      </c>
    </row>
    <row r="217" customFormat="false" ht="15" hidden="false" customHeight="false" outlineLevel="0" collapsed="false">
      <c r="A217" s="3" t="s">
        <v>402</v>
      </c>
      <c r="B217" s="3" t="n">
        <v>479</v>
      </c>
      <c r="C217" s="11" t="str">
        <f aca="false">IF(M217&gt;=Assumptions!$B$17,"S+",IF(M217&gt;=Assumptions!$B$18,"S",IF(M217&gt;=Assumptions!$B$19,"A",IF(M217&gt;=Assumptions!$B$20,"B",IF(M217&gt;=Assumptions!$B$21,"C",IF(M217&gt;=Assumptions!$B$22,"D","F"))))))</f>
        <v>B</v>
      </c>
      <c r="D217" s="3" t="s">
        <v>190</v>
      </c>
      <c r="E217" s="3" t="n">
        <v>7</v>
      </c>
      <c r="F217" s="12" t="n">
        <v>0.7206</v>
      </c>
      <c r="G217" s="12" t="n">
        <v>0.6</v>
      </c>
      <c r="H217" s="12" t="n">
        <v>0.75</v>
      </c>
      <c r="I217" s="12" t="n">
        <v>0.6758</v>
      </c>
      <c r="J217" s="12" t="n">
        <v>0.411</v>
      </c>
      <c r="K217" s="12" t="n">
        <v>0.6101</v>
      </c>
      <c r="L217" s="3" t="n">
        <v>4</v>
      </c>
      <c r="M217" s="12" t="n">
        <f aca="false">Z217-W217</f>
        <v>0.129598</v>
      </c>
      <c r="N217" s="12" t="n">
        <f aca="false">IFERROR((Z217-J217)/L217,"")</f>
        <v>0.0497745</v>
      </c>
      <c r="O217" s="3" t="n">
        <v>13</v>
      </c>
      <c r="P217" s="13" t="b">
        <f aca="false">FALSE()</f>
        <v>0</v>
      </c>
      <c r="Q217" s="3" t="s">
        <v>166</v>
      </c>
      <c r="R217" s="12" t="n">
        <v>0.7012</v>
      </c>
      <c r="S217" s="12" t="n">
        <v>0.5313</v>
      </c>
      <c r="T217" s="3" t="n">
        <v>0.3281</v>
      </c>
      <c r="U217" s="12" t="n">
        <v>0.5681</v>
      </c>
      <c r="V217" s="12" t="n">
        <v>0.4969</v>
      </c>
      <c r="W217" s="12" t="n">
        <v>0.4805</v>
      </c>
      <c r="X217" s="3" t="n">
        <v>0.8155</v>
      </c>
      <c r="Y217" s="3" t="n">
        <v>0.6677</v>
      </c>
      <c r="Z217" s="14" t="n">
        <f aca="false">Assumptions!$B$3*R217+Assumptions!$B$4*S217+IF(AA217=1,Assumptions!$B$11,Assumptions!$B$5)*X217+IF(AA217=1,Assumptions!$B$12,Assumptions!$B$6)*T217+Assumptions!$B$7*U217+Assumptions!$B$8*V217+Assumptions!$B$9*Y217</f>
        <v>0.610098</v>
      </c>
      <c r="AA217" s="3" t="n">
        <v>0</v>
      </c>
    </row>
    <row r="218" customFormat="false" ht="15" hidden="false" customHeight="false" outlineLevel="0" collapsed="false">
      <c r="A218" s="3" t="s">
        <v>403</v>
      </c>
      <c r="B218" s="3" t="n">
        <v>509</v>
      </c>
      <c r="C218" s="11" t="str">
        <f aca="false">IF(M218&gt;=Assumptions!$B$17,"S+",IF(M218&gt;=Assumptions!$B$18,"S",IF(M218&gt;=Assumptions!$B$19,"A",IF(M218&gt;=Assumptions!$B$20,"B",IF(M218&gt;=Assumptions!$B$21,"C",IF(M218&gt;=Assumptions!$B$22,"D","F"))))))</f>
        <v>B</v>
      </c>
      <c r="D218" s="3" t="s">
        <v>203</v>
      </c>
      <c r="E218" s="3" t="n">
        <v>7</v>
      </c>
      <c r="F218" s="12" t="n">
        <v>0.772</v>
      </c>
      <c r="G218" s="12" t="n">
        <v>1</v>
      </c>
      <c r="H218" s="12" t="n">
        <v>0.75</v>
      </c>
      <c r="I218" s="12" t="n">
        <v>0.8816</v>
      </c>
      <c r="J218" s="12" t="n">
        <v>0.4543</v>
      </c>
      <c r="K218" s="12" t="n">
        <v>0.5837</v>
      </c>
      <c r="L218" s="3" t="n">
        <v>4.85</v>
      </c>
      <c r="M218" s="12" t="n">
        <f aca="false">Z218-W218</f>
        <v>0.129448</v>
      </c>
      <c r="N218" s="12" t="n">
        <f aca="false">IFERROR((Z218-J218)/L218,"")</f>
        <v>0.0266903092783505</v>
      </c>
      <c r="O218" s="3" t="n">
        <v>13</v>
      </c>
      <c r="P218" s="13" t="b">
        <f aca="false">FALSE()</f>
        <v>0</v>
      </c>
      <c r="Q218" s="3" t="s">
        <v>166</v>
      </c>
      <c r="R218" s="12" t="n">
        <v>0.8212</v>
      </c>
      <c r="S218" s="12" t="n">
        <v>0.3527</v>
      </c>
      <c r="T218" s="3" t="n">
        <v>0.7009</v>
      </c>
      <c r="U218" s="12" t="n">
        <v>0.4793</v>
      </c>
      <c r="V218" s="12" t="n">
        <v>0.4897</v>
      </c>
      <c r="W218" s="12" t="n">
        <v>0.4543</v>
      </c>
      <c r="X218" s="3" t="n">
        <v>0.2776</v>
      </c>
      <c r="Y218" s="3" t="n">
        <v>0.8701</v>
      </c>
      <c r="Z218" s="14" t="n">
        <f aca="false">Assumptions!$B$3*R218+Assumptions!$B$4*S218+IF(AA218=1,Assumptions!$B$11,Assumptions!$B$5)*X218+IF(AA218=1,Assumptions!$B$12,Assumptions!$B$6)*T218+Assumptions!$B$7*U218+Assumptions!$B$8*V218+Assumptions!$B$9*Y218</f>
        <v>0.583748</v>
      </c>
      <c r="AA218" s="3" t="n">
        <v>0</v>
      </c>
    </row>
    <row r="219" customFormat="false" ht="15" hidden="false" customHeight="false" outlineLevel="0" collapsed="false">
      <c r="A219" s="3" t="s">
        <v>404</v>
      </c>
      <c r="B219" s="3" t="n">
        <v>505</v>
      </c>
      <c r="C219" s="11" t="str">
        <f aca="false">IF(M219&gt;=Assumptions!$B$17,"S+",IF(M219&gt;=Assumptions!$B$18,"S",IF(M219&gt;=Assumptions!$B$19,"A",IF(M219&gt;=Assumptions!$B$20,"B",IF(M219&gt;=Assumptions!$B$21,"C",IF(M219&gt;=Assumptions!$B$22,"D","F"))))))</f>
        <v>B</v>
      </c>
      <c r="D219" s="3" t="s">
        <v>218</v>
      </c>
      <c r="E219" s="3" t="n">
        <v>6</v>
      </c>
      <c r="F219" s="12" t="n">
        <v>0.6445</v>
      </c>
      <c r="G219" s="12" t="n">
        <v>0.8</v>
      </c>
      <c r="H219" s="12" t="n">
        <v>0.75</v>
      </c>
      <c r="I219" s="12" t="n">
        <v>0.7402</v>
      </c>
      <c r="J219" s="12" t="n">
        <v>0.3282</v>
      </c>
      <c r="K219" s="12" t="n">
        <v>0.6386</v>
      </c>
      <c r="L219" s="3" t="n">
        <v>6</v>
      </c>
      <c r="M219" s="12" t="n">
        <f aca="false">Z219-W219</f>
        <v>0.129444</v>
      </c>
      <c r="N219" s="12" t="n">
        <f aca="false">IFERROR((Z219-J219)/L219,"")</f>
        <v>0.0517406666666667</v>
      </c>
      <c r="O219" s="3" t="n">
        <v>14</v>
      </c>
      <c r="P219" s="13" t="b">
        <f aca="false">FALSE()</f>
        <v>0</v>
      </c>
      <c r="Q219" s="3" t="s">
        <v>166</v>
      </c>
      <c r="R219" s="12" t="n">
        <v>0.8533</v>
      </c>
      <c r="S219" s="12" t="n">
        <v>0.5331</v>
      </c>
      <c r="T219" s="3" t="n">
        <v>0.2214</v>
      </c>
      <c r="U219" s="12" t="n">
        <v>0.4121</v>
      </c>
      <c r="V219" s="12" t="n">
        <v>0.4895</v>
      </c>
      <c r="W219" s="12" t="n">
        <v>0.5092</v>
      </c>
      <c r="X219" s="3" t="n">
        <v>0.8803</v>
      </c>
      <c r="Y219" s="3" t="n">
        <v>0.7435</v>
      </c>
      <c r="Z219" s="14" t="n">
        <f aca="false">Assumptions!$B$3*R219+Assumptions!$B$4*S219+IF(AA219=1,Assumptions!$B$11,Assumptions!$B$5)*X219+IF(AA219=1,Assumptions!$B$12,Assumptions!$B$6)*T219+Assumptions!$B$7*U219+Assumptions!$B$8*V219+Assumptions!$B$9*Y219</f>
        <v>0.638644</v>
      </c>
      <c r="AA219" s="3" t="n">
        <v>0</v>
      </c>
    </row>
    <row r="220" customFormat="false" ht="15" hidden="false" customHeight="false" outlineLevel="0" collapsed="false">
      <c r="A220" s="3" t="s">
        <v>405</v>
      </c>
      <c r="B220" s="3" t="n">
        <v>490</v>
      </c>
      <c r="C220" s="11" t="str">
        <f aca="false">IF(M220&gt;=Assumptions!$B$17,"S+",IF(M220&gt;=Assumptions!$B$18,"S",IF(M220&gt;=Assumptions!$B$19,"A",IF(M220&gt;=Assumptions!$B$20,"B",IF(M220&gt;=Assumptions!$B$21,"C",IF(M220&gt;=Assumptions!$B$22,"D","F"))))))</f>
        <v>B</v>
      </c>
      <c r="D220" s="3" t="s">
        <v>206</v>
      </c>
      <c r="E220" s="3" t="n">
        <v>7</v>
      </c>
      <c r="F220" s="12" t="n">
        <v>0.786</v>
      </c>
      <c r="G220" s="12" t="n">
        <v>0.24</v>
      </c>
      <c r="H220" s="12" t="n">
        <v>0.4901</v>
      </c>
      <c r="I220" s="12" t="n">
        <v>0.4554</v>
      </c>
      <c r="J220" s="12" t="n">
        <v>0.3406</v>
      </c>
      <c r="K220" s="12" t="n">
        <v>0.546</v>
      </c>
      <c r="L220" s="3" t="n">
        <v>4</v>
      </c>
      <c r="M220" s="12" t="n">
        <f aca="false">Z220-W220</f>
        <v>0.129351</v>
      </c>
      <c r="N220" s="12" t="n">
        <f aca="false">IFERROR((Z220-J220)/L220,"")</f>
        <v>0.05133775</v>
      </c>
      <c r="O220" s="3" t="n">
        <v>13</v>
      </c>
      <c r="P220" s="13" t="b">
        <f aca="false">FALSE()</f>
        <v>0</v>
      </c>
      <c r="Q220" s="3" t="s">
        <v>166</v>
      </c>
      <c r="R220" s="12" t="n">
        <v>0.7902</v>
      </c>
      <c r="S220" s="12" t="n">
        <v>0.6086</v>
      </c>
      <c r="T220" s="3" t="n">
        <v>0.1254</v>
      </c>
      <c r="U220" s="12" t="n">
        <v>0.1953</v>
      </c>
      <c r="V220" s="12" t="n">
        <v>0.5001</v>
      </c>
      <c r="W220" s="12" t="n">
        <v>0.4166</v>
      </c>
      <c r="X220" s="3" t="n">
        <v>0.5143</v>
      </c>
      <c r="Y220" s="3" t="n">
        <v>0.4622</v>
      </c>
      <c r="Z220" s="14" t="n">
        <f aca="false">Assumptions!$B$3*R220+Assumptions!$B$4*S220+IF(AA220=1,Assumptions!$B$11,Assumptions!$B$5)*X220+IF(AA220=1,Assumptions!$B$12,Assumptions!$B$6)*T220+Assumptions!$B$7*U220+Assumptions!$B$8*V220+Assumptions!$B$9*Y220</f>
        <v>0.545951</v>
      </c>
      <c r="AA220" s="3" t="n">
        <v>1</v>
      </c>
    </row>
    <row r="221" customFormat="false" ht="15" hidden="false" customHeight="false" outlineLevel="0" collapsed="false">
      <c r="A221" s="3" t="s">
        <v>406</v>
      </c>
      <c r="B221" s="3" t="n">
        <v>510</v>
      </c>
      <c r="C221" s="11" t="str">
        <f aca="false">IF(M221&gt;=Assumptions!$B$17,"S+",IF(M221&gt;=Assumptions!$B$18,"S",IF(M221&gt;=Assumptions!$B$19,"A",IF(M221&gt;=Assumptions!$B$20,"B",IF(M221&gt;=Assumptions!$B$21,"C",IF(M221&gt;=Assumptions!$B$22,"D","F"))))))</f>
        <v>B</v>
      </c>
      <c r="D221" s="3" t="s">
        <v>197</v>
      </c>
      <c r="E221" s="3" t="n">
        <v>6</v>
      </c>
      <c r="F221" s="12" t="n">
        <v>0.9003</v>
      </c>
      <c r="G221" s="12" t="n">
        <v>0.2</v>
      </c>
      <c r="H221" s="12" t="n">
        <v>0.75</v>
      </c>
      <c r="I221" s="12" t="n">
        <v>0.5761</v>
      </c>
      <c r="J221" s="12" t="n">
        <v>0.4474</v>
      </c>
      <c r="K221" s="12" t="n">
        <v>0.6183</v>
      </c>
      <c r="L221" s="3" t="n">
        <v>5</v>
      </c>
      <c r="M221" s="12" t="n">
        <f aca="false">Z221-W221</f>
        <v>0.129252</v>
      </c>
      <c r="N221" s="12" t="n">
        <f aca="false">IFERROR((Z221-J221)/L221,"")</f>
        <v>0.0341704</v>
      </c>
      <c r="O221" s="3" t="n">
        <v>14</v>
      </c>
      <c r="P221" s="13" t="b">
        <f aca="false">FALSE()</f>
        <v>0</v>
      </c>
      <c r="Q221" s="3" t="s">
        <v>166</v>
      </c>
      <c r="R221" s="12" t="n">
        <v>0.7274</v>
      </c>
      <c r="S221" s="12" t="n">
        <v>0.478</v>
      </c>
      <c r="T221" s="3" t="n">
        <v>0.7389</v>
      </c>
      <c r="U221" s="12" t="n">
        <v>0.4725</v>
      </c>
      <c r="V221" s="12" t="n">
        <v>0.4812</v>
      </c>
      <c r="W221" s="12" t="n">
        <v>0.489</v>
      </c>
      <c r="X221" s="3" t="n">
        <v>0.6923</v>
      </c>
      <c r="Y221" s="3" t="n">
        <v>0.5781</v>
      </c>
      <c r="Z221" s="14" t="n">
        <f aca="false">Assumptions!$B$3*R221+Assumptions!$B$4*S221+IF(AA221=1,Assumptions!$B$11,Assumptions!$B$5)*X221+IF(AA221=1,Assumptions!$B$12,Assumptions!$B$6)*T221+Assumptions!$B$7*U221+Assumptions!$B$8*V221+Assumptions!$B$9*Y221</f>
        <v>0.618252</v>
      </c>
      <c r="AA221" s="3" t="n">
        <v>0</v>
      </c>
    </row>
    <row r="222" customFormat="false" ht="15" hidden="false" customHeight="false" outlineLevel="0" collapsed="false">
      <c r="A222" s="3" t="s">
        <v>407</v>
      </c>
      <c r="B222" s="3" t="n">
        <v>480</v>
      </c>
      <c r="C222" s="11" t="str">
        <f aca="false">IF(M222&gt;=Assumptions!$B$17,"S+",IF(M222&gt;=Assumptions!$B$18,"S",IF(M222&gt;=Assumptions!$B$19,"A",IF(M222&gt;=Assumptions!$B$20,"B",IF(M222&gt;=Assumptions!$B$21,"C",IF(M222&gt;=Assumptions!$B$22,"D","F"))))))</f>
        <v>B</v>
      </c>
      <c r="D222" s="3" t="s">
        <v>203</v>
      </c>
      <c r="E222" s="3" t="n">
        <v>6</v>
      </c>
      <c r="F222" s="12" t="n">
        <v>0.2915</v>
      </c>
      <c r="G222" s="12" t="n">
        <v>1</v>
      </c>
      <c r="H222" s="12" t="n">
        <v>0.75</v>
      </c>
      <c r="I222" s="12" t="n">
        <v>0.7374</v>
      </c>
      <c r="J222" s="12" t="n">
        <v>0.4038</v>
      </c>
      <c r="K222" s="12" t="n">
        <v>0.585</v>
      </c>
      <c r="L222" s="3" t="n">
        <v>6</v>
      </c>
      <c r="M222" s="12" t="n">
        <f aca="false">Z222-W222</f>
        <v>0.128509</v>
      </c>
      <c r="N222" s="12" t="n">
        <f aca="false">IFERROR((Z222-J222)/L222,"")</f>
        <v>0.0302015</v>
      </c>
      <c r="O222" s="3" t="n">
        <v>14</v>
      </c>
      <c r="P222" s="13" t="b">
        <f aca="false">FALSE()</f>
        <v>0</v>
      </c>
      <c r="Q222" s="3" t="s">
        <v>166</v>
      </c>
      <c r="R222" s="12" t="n">
        <v>0.6765</v>
      </c>
      <c r="S222" s="12" t="n">
        <v>0.7423</v>
      </c>
      <c r="T222" s="3" t="n">
        <v>0.0269</v>
      </c>
      <c r="U222" s="12" t="n">
        <v>0.4945</v>
      </c>
      <c r="V222" s="12" t="n">
        <v>0.6018</v>
      </c>
      <c r="W222" s="12" t="n">
        <v>0.4565</v>
      </c>
      <c r="X222" s="3" t="n">
        <v>0.6558</v>
      </c>
      <c r="Y222" s="3" t="n">
        <v>0.7397</v>
      </c>
      <c r="Z222" s="14" t="n">
        <f aca="false">Assumptions!$B$3*R222+Assumptions!$B$4*S222+IF(AA222=1,Assumptions!$B$11,Assumptions!$B$5)*X222+IF(AA222=1,Assumptions!$B$12,Assumptions!$B$6)*T222+Assumptions!$B$7*U222+Assumptions!$B$8*V222+Assumptions!$B$9*Y222</f>
        <v>0.585009</v>
      </c>
      <c r="AA222" s="3" t="n">
        <v>0</v>
      </c>
    </row>
    <row r="223" customFormat="false" ht="15" hidden="false" customHeight="false" outlineLevel="0" collapsed="false">
      <c r="A223" s="3" t="s">
        <v>408</v>
      </c>
      <c r="B223" s="3" t="n">
        <v>395</v>
      </c>
      <c r="C223" s="11" t="str">
        <f aca="false">IF(M223&gt;=Assumptions!$B$17,"S+",IF(M223&gt;=Assumptions!$B$18,"S",IF(M223&gt;=Assumptions!$B$19,"A",IF(M223&gt;=Assumptions!$B$20,"B",IF(M223&gt;=Assumptions!$B$21,"C",IF(M223&gt;=Assumptions!$B$22,"D","F"))))))</f>
        <v>B</v>
      </c>
      <c r="D223" s="3" t="s">
        <v>188</v>
      </c>
      <c r="E223" s="3" t="n">
        <v>1</v>
      </c>
      <c r="F223" s="12" t="n">
        <v>0.6304</v>
      </c>
      <c r="G223" s="12" t="n">
        <v>0.6</v>
      </c>
      <c r="H223" s="12" t="n">
        <v>0.75</v>
      </c>
      <c r="I223" s="12" t="n">
        <v>0.6346</v>
      </c>
      <c r="J223" s="12" t="n">
        <v>0.3053</v>
      </c>
      <c r="K223" s="12" t="n">
        <v>0.5127</v>
      </c>
      <c r="L223" s="3" t="n">
        <v>3.66</v>
      </c>
      <c r="M223" s="12" t="n">
        <f aca="false">Z223-W223</f>
        <v>0.127869</v>
      </c>
      <c r="N223" s="12" t="n">
        <f aca="false">IFERROR((Z223-J223)/L223,"")</f>
        <v>0.0566581967213115</v>
      </c>
      <c r="O223" s="3" t="n">
        <v>19</v>
      </c>
      <c r="P223" s="13" t="b">
        <f aca="false">FALSE()</f>
        <v>0</v>
      </c>
      <c r="Q223" s="3" t="s">
        <v>166</v>
      </c>
      <c r="R223" s="12" t="n">
        <v>0.7109</v>
      </c>
      <c r="S223" s="12" t="n">
        <v>0.3549</v>
      </c>
      <c r="T223" s="3" t="n">
        <v>0.3754</v>
      </c>
      <c r="U223" s="12" t="n">
        <v>0.5101</v>
      </c>
      <c r="V223" s="12" t="n">
        <v>0.4738</v>
      </c>
      <c r="W223" s="12" t="n">
        <v>0.3848</v>
      </c>
      <c r="X223" s="3" t="n">
        <v>0.4284</v>
      </c>
      <c r="Y223" s="3" t="n">
        <v>0.5788</v>
      </c>
      <c r="Z223" s="14" t="n">
        <f aca="false">Assumptions!$B$3*R223+Assumptions!$B$4*S223+IF(AA223=1,Assumptions!$B$11,Assumptions!$B$5)*X223+IF(AA223=1,Assumptions!$B$12,Assumptions!$B$6)*T223+Assumptions!$B$7*U223+Assumptions!$B$8*V223+Assumptions!$B$9*Y223</f>
        <v>0.512669</v>
      </c>
      <c r="AA223" s="3" t="n">
        <v>0</v>
      </c>
    </row>
    <row r="224" customFormat="false" ht="15" hidden="false" customHeight="false" outlineLevel="0" collapsed="false">
      <c r="A224" s="3" t="s">
        <v>409</v>
      </c>
      <c r="B224" s="3" t="n">
        <v>624</v>
      </c>
      <c r="C224" s="11" t="str">
        <f aca="false">IF(M224&gt;=Assumptions!$B$17,"S+",IF(M224&gt;=Assumptions!$B$18,"S",IF(M224&gt;=Assumptions!$B$19,"A",IF(M224&gt;=Assumptions!$B$20,"B",IF(M224&gt;=Assumptions!$B$21,"C",IF(M224&gt;=Assumptions!$B$22,"D","F"))))))</f>
        <v>B</v>
      </c>
      <c r="D224" s="3" t="s">
        <v>190</v>
      </c>
      <c r="E224" s="3" t="n">
        <v>7</v>
      </c>
      <c r="F224" s="12" t="n">
        <v>0.5382</v>
      </c>
      <c r="G224" s="12" t="n">
        <v>1</v>
      </c>
      <c r="H224" s="12" t="n">
        <v>0.75</v>
      </c>
      <c r="I224" s="12" t="n">
        <v>0.7745</v>
      </c>
      <c r="J224" s="12" t="n">
        <v>0.3948</v>
      </c>
      <c r="K224" s="12" t="n">
        <v>0.597</v>
      </c>
      <c r="L224" s="3" t="n">
        <v>4</v>
      </c>
      <c r="M224" s="12" t="n">
        <f aca="false">Z224-W224</f>
        <v>0.127843</v>
      </c>
      <c r="N224" s="12" t="n">
        <f aca="false">IFERROR((Z224-J224)/L224,"")</f>
        <v>0.05053575</v>
      </c>
      <c r="O224" s="3" t="n">
        <v>13</v>
      </c>
      <c r="P224" s="13" t="b">
        <f aca="false">FALSE()</f>
        <v>0</v>
      </c>
      <c r="Q224" s="3" t="s">
        <v>166</v>
      </c>
      <c r="R224" s="12" t="n">
        <v>0.8819</v>
      </c>
      <c r="S224" s="12" t="n">
        <v>0.4797</v>
      </c>
      <c r="T224" s="3" t="n">
        <v>0.1382</v>
      </c>
      <c r="U224" s="12" t="n">
        <v>0.5326</v>
      </c>
      <c r="V224" s="12" t="n">
        <v>0.2978</v>
      </c>
      <c r="W224" s="12" t="n">
        <v>0.4691</v>
      </c>
      <c r="X224" s="3" t="n">
        <v>0.7462</v>
      </c>
      <c r="Y224" s="3" t="n">
        <v>0.737</v>
      </c>
      <c r="Z224" s="14" t="n">
        <f aca="false">Assumptions!$B$3*R224+Assumptions!$B$4*S224+IF(AA224=1,Assumptions!$B$11,Assumptions!$B$5)*X224+IF(AA224=1,Assumptions!$B$12,Assumptions!$B$6)*T224+Assumptions!$B$7*U224+Assumptions!$B$8*V224+Assumptions!$B$9*Y224</f>
        <v>0.596943</v>
      </c>
      <c r="AA224" s="3" t="n">
        <v>0</v>
      </c>
    </row>
    <row r="225" customFormat="false" ht="15" hidden="false" customHeight="false" outlineLevel="0" collapsed="false">
      <c r="A225" s="3" t="s">
        <v>410</v>
      </c>
      <c r="B225" s="3" t="n">
        <v>490</v>
      </c>
      <c r="C225" s="11" t="str">
        <f aca="false">IF(M225&gt;=Assumptions!$B$17,"S+",IF(M225&gt;=Assumptions!$B$18,"S",IF(M225&gt;=Assumptions!$B$19,"A",IF(M225&gt;=Assumptions!$B$20,"B",IF(M225&gt;=Assumptions!$B$21,"C",IF(M225&gt;=Assumptions!$B$22,"D","F"))))))</f>
        <v>B</v>
      </c>
      <c r="D225" s="3" t="s">
        <v>175</v>
      </c>
      <c r="E225" s="3" t="n">
        <v>7</v>
      </c>
      <c r="F225" s="12" t="n">
        <v>0.7275</v>
      </c>
      <c r="G225" s="12" t="n">
        <v>0.45</v>
      </c>
      <c r="H225" s="12" t="n">
        <v>0.75</v>
      </c>
      <c r="I225" s="12" t="n">
        <v>0.5516</v>
      </c>
      <c r="J225" s="12" t="n">
        <v>0.3944</v>
      </c>
      <c r="K225" s="12" t="n">
        <v>0.5383</v>
      </c>
      <c r="L225" s="3" t="n">
        <v>4</v>
      </c>
      <c r="M225" s="12" t="n">
        <f aca="false">Z225-W225</f>
        <v>0.127513</v>
      </c>
      <c r="N225" s="12" t="n">
        <f aca="false">IFERROR((Z225-J225)/L225,"")</f>
        <v>0.03597825</v>
      </c>
      <c r="O225" s="3" t="n">
        <v>13</v>
      </c>
      <c r="P225" s="13" t="b">
        <f aca="false">FALSE()</f>
        <v>0</v>
      </c>
      <c r="Q225" s="3" t="s">
        <v>166</v>
      </c>
      <c r="R225" s="12" t="n">
        <v>0.7881</v>
      </c>
      <c r="S225" s="12" t="n">
        <v>0.6119</v>
      </c>
      <c r="T225" s="3" t="n">
        <v>0.1126</v>
      </c>
      <c r="U225" s="12" t="n">
        <v>0.3964</v>
      </c>
      <c r="V225" s="12" t="n">
        <v>0.5298</v>
      </c>
      <c r="W225" s="12" t="n">
        <v>0.4108</v>
      </c>
      <c r="X225" s="3" t="n">
        <v>0.4752</v>
      </c>
      <c r="Y225" s="3" t="n">
        <v>0.5416</v>
      </c>
      <c r="Z225" s="14" t="n">
        <f aca="false">Assumptions!$B$3*R225+Assumptions!$B$4*S225+IF(AA225=1,Assumptions!$B$11,Assumptions!$B$5)*X225+IF(AA225=1,Assumptions!$B$12,Assumptions!$B$6)*T225+Assumptions!$B$7*U225+Assumptions!$B$8*V225+Assumptions!$B$9*Y225</f>
        <v>0.538313</v>
      </c>
      <c r="AA225" s="3" t="n">
        <v>0</v>
      </c>
    </row>
    <row r="226" customFormat="false" ht="15" hidden="false" customHeight="false" outlineLevel="0" collapsed="false">
      <c r="A226" s="3" t="s">
        <v>411</v>
      </c>
      <c r="B226" s="3" t="n">
        <v>543</v>
      </c>
      <c r="C226" s="11" t="str">
        <f aca="false">IF(M226&gt;=Assumptions!$B$17,"S+",IF(M226&gt;=Assumptions!$B$18,"S",IF(M226&gt;=Assumptions!$B$19,"A",IF(M226&gt;=Assumptions!$B$20,"B",IF(M226&gt;=Assumptions!$B$21,"C",IF(M226&gt;=Assumptions!$B$22,"D","F"))))))</f>
        <v>B</v>
      </c>
      <c r="D226" s="3" t="s">
        <v>190</v>
      </c>
      <c r="E226" s="3" t="n">
        <v>7</v>
      </c>
      <c r="F226" s="12" t="n">
        <v>0.7211</v>
      </c>
      <c r="G226" s="12" t="n">
        <v>1</v>
      </c>
      <c r="H226" s="12" t="n">
        <v>0.75</v>
      </c>
      <c r="I226" s="12" t="n">
        <v>0.844</v>
      </c>
      <c r="J226" s="12" t="n">
        <v>0.4074</v>
      </c>
      <c r="K226" s="12" t="n">
        <v>0.6043</v>
      </c>
      <c r="L226" s="3" t="n">
        <v>5</v>
      </c>
      <c r="M226" s="12" t="n">
        <f aca="false">Z226-W226</f>
        <v>0.127443</v>
      </c>
      <c r="N226" s="12" t="n">
        <f aca="false">IFERROR((Z226-J226)/L226,"")</f>
        <v>0.0393886</v>
      </c>
      <c r="O226" s="3" t="n">
        <v>13</v>
      </c>
      <c r="P226" s="13" t="b">
        <f aca="false">FALSE()</f>
        <v>0</v>
      </c>
      <c r="Q226" s="3" t="s">
        <v>166</v>
      </c>
      <c r="R226" s="12" t="n">
        <v>0.7867</v>
      </c>
      <c r="S226" s="12" t="n">
        <v>0.5951</v>
      </c>
      <c r="T226" s="3" t="n">
        <v>0.2388</v>
      </c>
      <c r="U226" s="12" t="n">
        <v>0.4556</v>
      </c>
      <c r="V226" s="12" t="n">
        <v>0.5336</v>
      </c>
      <c r="W226" s="12" t="n">
        <v>0.4769</v>
      </c>
      <c r="X226" s="3" t="n">
        <v>0.5814</v>
      </c>
      <c r="Y226" s="3" t="n">
        <v>0.846</v>
      </c>
      <c r="Z226" s="14" t="n">
        <f aca="false">Assumptions!$B$3*R226+Assumptions!$B$4*S226+IF(AA226=1,Assumptions!$B$11,Assumptions!$B$5)*X226+IF(AA226=1,Assumptions!$B$12,Assumptions!$B$6)*T226+Assumptions!$B$7*U226+Assumptions!$B$8*V226+Assumptions!$B$9*Y226</f>
        <v>0.604343</v>
      </c>
      <c r="AA226" s="3" t="n">
        <v>0</v>
      </c>
    </row>
    <row r="227" customFormat="false" ht="15" hidden="false" customHeight="false" outlineLevel="0" collapsed="false">
      <c r="A227" s="3" t="s">
        <v>412</v>
      </c>
      <c r="B227" s="3" t="n">
        <v>428</v>
      </c>
      <c r="C227" s="11" t="str">
        <f aca="false">IF(M227&gt;=Assumptions!$B$17,"S+",IF(M227&gt;=Assumptions!$B$18,"S",IF(M227&gt;=Assumptions!$B$19,"A",IF(M227&gt;=Assumptions!$B$20,"B",IF(M227&gt;=Assumptions!$B$21,"C",IF(M227&gt;=Assumptions!$B$22,"D","F"))))))</f>
        <v>B</v>
      </c>
      <c r="D227" s="3" t="s">
        <v>197</v>
      </c>
      <c r="E227" s="3" t="n">
        <v>1</v>
      </c>
      <c r="F227" s="12" t="n">
        <v>0.8591</v>
      </c>
      <c r="G227" s="12" t="n">
        <v>0.6</v>
      </c>
      <c r="H227" s="12" t="n">
        <v>0.75</v>
      </c>
      <c r="I227" s="12" t="n">
        <v>0.7284</v>
      </c>
      <c r="J227" s="12" t="n">
        <v>0.4128</v>
      </c>
      <c r="K227" s="12" t="n">
        <v>0.6149</v>
      </c>
      <c r="L227" s="3" t="n">
        <v>5.76</v>
      </c>
      <c r="M227" s="12" t="n">
        <f aca="false">Z227-W227</f>
        <v>0.126837</v>
      </c>
      <c r="N227" s="12" t="n">
        <f aca="false">IFERROR((Z227-J227)/L227,"")</f>
        <v>0.0350932291666667</v>
      </c>
      <c r="O227" s="3" t="n">
        <v>19</v>
      </c>
      <c r="P227" s="13" t="b">
        <f aca="false">FALSE()</f>
        <v>0</v>
      </c>
      <c r="Q227" s="3" t="s">
        <v>166</v>
      </c>
      <c r="R227" s="12" t="n">
        <v>0.692</v>
      </c>
      <c r="S227" s="12" t="n">
        <v>0.5789</v>
      </c>
      <c r="T227" s="3" t="n">
        <v>0.5262</v>
      </c>
      <c r="U227" s="12" t="n">
        <v>0.5142</v>
      </c>
      <c r="V227" s="12" t="n">
        <v>0.561</v>
      </c>
      <c r="W227" s="12" t="n">
        <v>0.4881</v>
      </c>
      <c r="X227" s="3" t="n">
        <v>0.6558</v>
      </c>
      <c r="Y227" s="3" t="n">
        <v>0.6698</v>
      </c>
      <c r="Z227" s="14" t="n">
        <f aca="false">Assumptions!$B$3*R227+Assumptions!$B$4*S227+IF(AA227=1,Assumptions!$B$11,Assumptions!$B$5)*X227+IF(AA227=1,Assumptions!$B$12,Assumptions!$B$6)*T227+Assumptions!$B$7*U227+Assumptions!$B$8*V227+Assumptions!$B$9*Y227</f>
        <v>0.614937</v>
      </c>
      <c r="AA227" s="3" t="n">
        <v>0</v>
      </c>
    </row>
    <row r="228" customFormat="false" ht="15" hidden="false" customHeight="false" outlineLevel="0" collapsed="false">
      <c r="A228" s="3" t="s">
        <v>413</v>
      </c>
      <c r="B228" s="3" t="n">
        <v>510</v>
      </c>
      <c r="C228" s="11" t="str">
        <f aca="false">IF(M228&gt;=Assumptions!$B$17,"S+",IF(M228&gt;=Assumptions!$B$18,"S",IF(M228&gt;=Assumptions!$B$19,"A",IF(M228&gt;=Assumptions!$B$20,"B",IF(M228&gt;=Assumptions!$B$21,"C",IF(M228&gt;=Assumptions!$B$22,"D","F"))))))</f>
        <v>B</v>
      </c>
      <c r="D228" s="3" t="s">
        <v>190</v>
      </c>
      <c r="E228" s="3" t="n">
        <v>4</v>
      </c>
      <c r="F228" s="12" t="n">
        <v>0.9185</v>
      </c>
      <c r="G228" s="12" t="n">
        <v>0.6</v>
      </c>
      <c r="H228" s="12" t="n">
        <v>0.75</v>
      </c>
      <c r="I228" s="12" t="n">
        <v>0.751</v>
      </c>
      <c r="J228" s="12" t="n">
        <v>0.4013</v>
      </c>
      <c r="K228" s="12" t="n">
        <v>0.6179</v>
      </c>
      <c r="L228" s="3" t="n">
        <v>4.94</v>
      </c>
      <c r="M228" s="12" t="n">
        <f aca="false">Z228-W228</f>
        <v>0.126508</v>
      </c>
      <c r="N228" s="12" t="n">
        <f aca="false">IFERROR((Z228-J228)/L228,"")</f>
        <v>0.0438477732793522</v>
      </c>
      <c r="O228" s="3" t="n">
        <v>16</v>
      </c>
      <c r="P228" s="13" t="b">
        <f aca="false">FALSE()</f>
        <v>0</v>
      </c>
      <c r="Q228" s="3" t="s">
        <v>166</v>
      </c>
      <c r="R228" s="12" t="n">
        <v>0.8468</v>
      </c>
      <c r="S228" s="12" t="n">
        <v>0.4038</v>
      </c>
      <c r="T228" s="3" t="n">
        <v>0.4495</v>
      </c>
      <c r="U228" s="12" t="n">
        <v>0.5337</v>
      </c>
      <c r="V228" s="12" t="n">
        <v>0.4616</v>
      </c>
      <c r="W228" s="12" t="n">
        <v>0.4914</v>
      </c>
      <c r="X228" s="3" t="n">
        <v>0.6504</v>
      </c>
      <c r="Y228" s="3" t="n">
        <v>0.7502</v>
      </c>
      <c r="Z228" s="14" t="n">
        <f aca="false">Assumptions!$B$3*R228+Assumptions!$B$4*S228+IF(AA228=1,Assumptions!$B$11,Assumptions!$B$5)*X228+IF(AA228=1,Assumptions!$B$12,Assumptions!$B$6)*T228+Assumptions!$B$7*U228+Assumptions!$B$8*V228+Assumptions!$B$9*Y228</f>
        <v>0.617908</v>
      </c>
      <c r="AA228" s="3" t="n">
        <v>0</v>
      </c>
    </row>
    <row r="229" customFormat="false" ht="15" hidden="false" customHeight="false" outlineLevel="0" collapsed="false">
      <c r="A229" s="3" t="s">
        <v>414</v>
      </c>
      <c r="B229" s="3" t="n">
        <v>500</v>
      </c>
      <c r="C229" s="11" t="str">
        <f aca="false">IF(M229&gt;=Assumptions!$B$17,"S+",IF(M229&gt;=Assumptions!$B$18,"S",IF(M229&gt;=Assumptions!$B$19,"A",IF(M229&gt;=Assumptions!$B$20,"B",IF(M229&gt;=Assumptions!$B$21,"C",IF(M229&gt;=Assumptions!$B$22,"D","F"))))))</f>
        <v>B</v>
      </c>
      <c r="D229" s="3" t="s">
        <v>169</v>
      </c>
      <c r="E229" s="3" t="n">
        <v>7</v>
      </c>
      <c r="F229" s="12" t="n">
        <v>0.8054</v>
      </c>
      <c r="G229" s="12" t="n">
        <v>0.85</v>
      </c>
      <c r="H229" s="12" t="n">
        <v>0.4494</v>
      </c>
      <c r="I229" s="12" t="n">
        <v>0.761</v>
      </c>
      <c r="J229" s="12" t="n">
        <v>0.3617</v>
      </c>
      <c r="K229" s="12" t="n">
        <v>0.5693</v>
      </c>
      <c r="L229" s="3" t="n">
        <v>4</v>
      </c>
      <c r="M229" s="12" t="n">
        <f aca="false">Z229-W229</f>
        <v>0.12595</v>
      </c>
      <c r="N229" s="12" t="n">
        <f aca="false">IFERROR((Z229-J229)/L229,"")</f>
        <v>0.0519125</v>
      </c>
      <c r="O229" s="3" t="n">
        <v>13</v>
      </c>
      <c r="P229" s="13" t="b">
        <f aca="false">FALSE()</f>
        <v>0</v>
      </c>
      <c r="Q229" s="3" t="s">
        <v>166</v>
      </c>
      <c r="R229" s="12" t="n">
        <v>0.6846</v>
      </c>
      <c r="S229" s="12" t="n">
        <v>0.6544</v>
      </c>
      <c r="T229" s="3" t="n">
        <v>0.1948</v>
      </c>
      <c r="U229" s="12" t="n">
        <v>0.3491</v>
      </c>
      <c r="V229" s="12" t="n">
        <v>0.4958</v>
      </c>
      <c r="W229" s="12" t="n">
        <v>0.4434</v>
      </c>
      <c r="X229" s="3" t="n">
        <v>0.4951</v>
      </c>
      <c r="Y229" s="3" t="n">
        <v>0.7713</v>
      </c>
      <c r="Z229" s="14" t="n">
        <f aca="false">Assumptions!$B$3*R229+Assumptions!$B$4*S229+IF(AA229=1,Assumptions!$B$11,Assumptions!$B$5)*X229+IF(AA229=1,Assumptions!$B$12,Assumptions!$B$6)*T229+Assumptions!$B$7*U229+Assumptions!$B$8*V229+Assumptions!$B$9*Y229</f>
        <v>0.56935</v>
      </c>
      <c r="AA229" s="3" t="n">
        <v>1</v>
      </c>
    </row>
    <row r="230" customFormat="false" ht="15" hidden="false" customHeight="false" outlineLevel="0" collapsed="false">
      <c r="A230" s="3" t="s">
        <v>415</v>
      </c>
      <c r="B230" s="3" t="n">
        <v>525</v>
      </c>
      <c r="C230" s="11" t="str">
        <f aca="false">IF(M230&gt;=Assumptions!$B$17,"S+",IF(M230&gt;=Assumptions!$B$18,"S",IF(M230&gt;=Assumptions!$B$19,"A",IF(M230&gt;=Assumptions!$B$20,"B",IF(M230&gt;=Assumptions!$B$21,"C",IF(M230&gt;=Assumptions!$B$22,"D","F"))))))</f>
        <v>B</v>
      </c>
      <c r="D230" s="3" t="s">
        <v>218</v>
      </c>
      <c r="E230" s="3" t="n">
        <v>7</v>
      </c>
      <c r="F230" s="12" t="n">
        <v>0.7792</v>
      </c>
      <c r="G230" s="12" t="n">
        <v>0.6</v>
      </c>
      <c r="H230" s="12" t="n">
        <v>0.75</v>
      </c>
      <c r="I230" s="12" t="n">
        <v>0.6873</v>
      </c>
      <c r="J230" s="12" t="n">
        <v>0.4459</v>
      </c>
      <c r="K230" s="12" t="n">
        <v>0.6363</v>
      </c>
      <c r="L230" s="3" t="n">
        <v>4</v>
      </c>
      <c r="M230" s="12" t="n">
        <f aca="false">Z230-W230</f>
        <v>0.125603</v>
      </c>
      <c r="N230" s="12" t="n">
        <f aca="false">IFERROR((Z230-J230)/L230,"")</f>
        <v>0.04760075</v>
      </c>
      <c r="O230" s="3" t="n">
        <v>13</v>
      </c>
      <c r="P230" s="13" t="b">
        <f aca="false">FALSE()</f>
        <v>0</v>
      </c>
      <c r="Q230" s="3" t="s">
        <v>166</v>
      </c>
      <c r="R230" s="12" t="n">
        <v>0.8751</v>
      </c>
      <c r="S230" s="12" t="n">
        <v>0.5238</v>
      </c>
      <c r="T230" s="3" t="n">
        <v>0.1725</v>
      </c>
      <c r="U230" s="12" t="n">
        <v>0.574</v>
      </c>
      <c r="V230" s="12" t="n">
        <v>0.4239</v>
      </c>
      <c r="W230" s="12" t="n">
        <v>0.5107</v>
      </c>
      <c r="X230" s="3" t="n">
        <v>0.8533</v>
      </c>
      <c r="Y230" s="3" t="n">
        <v>0.6895</v>
      </c>
      <c r="Z230" s="14" t="n">
        <f aca="false">Assumptions!$B$3*R230+Assumptions!$B$4*S230+IF(AA230=1,Assumptions!$B$11,Assumptions!$B$5)*X230+IF(AA230=1,Assumptions!$B$12,Assumptions!$B$6)*T230+Assumptions!$B$7*U230+Assumptions!$B$8*V230+Assumptions!$B$9*Y230</f>
        <v>0.636303</v>
      </c>
      <c r="AA230" s="3" t="n">
        <v>0</v>
      </c>
    </row>
    <row r="231" customFormat="false" ht="15" hidden="false" customHeight="false" outlineLevel="0" collapsed="false">
      <c r="A231" s="3" t="s">
        <v>416</v>
      </c>
      <c r="B231" s="3" t="n">
        <v>515</v>
      </c>
      <c r="C231" s="11" t="str">
        <f aca="false">IF(M231&gt;=Assumptions!$B$17,"S+",IF(M231&gt;=Assumptions!$B$18,"S",IF(M231&gt;=Assumptions!$B$19,"A",IF(M231&gt;=Assumptions!$B$20,"B",IF(M231&gt;=Assumptions!$B$21,"C",IF(M231&gt;=Assumptions!$B$22,"D","F"))))))</f>
        <v>B</v>
      </c>
      <c r="D231" s="3" t="s">
        <v>186</v>
      </c>
      <c r="E231" s="3" t="n">
        <v>3</v>
      </c>
      <c r="F231" s="12" t="n">
        <v>0.4733</v>
      </c>
      <c r="G231" s="12" t="n">
        <v>0.85</v>
      </c>
      <c r="H231" s="12" t="n">
        <v>0.75</v>
      </c>
      <c r="I231" s="12" t="n">
        <v>0.7622</v>
      </c>
      <c r="J231" s="12" t="n">
        <v>0.385</v>
      </c>
      <c r="K231" s="12" t="n">
        <v>0.574</v>
      </c>
      <c r="L231" s="3" t="n">
        <v>3.94</v>
      </c>
      <c r="M231" s="12" t="n">
        <f aca="false">Z231-W231</f>
        <v>0.125486</v>
      </c>
      <c r="N231" s="12" t="n">
        <f aca="false">IFERROR((Z231-J231)/L231,"")</f>
        <v>0.0479659898477157</v>
      </c>
      <c r="O231" s="3" t="n">
        <v>17</v>
      </c>
      <c r="P231" s="13" t="b">
        <f aca="false">FALSE()</f>
        <v>0</v>
      </c>
      <c r="Q231" s="3" t="s">
        <v>201</v>
      </c>
      <c r="R231" s="12" t="n">
        <v>0.8461</v>
      </c>
      <c r="S231" s="12" t="n">
        <v>0.6391</v>
      </c>
      <c r="T231" s="3" t="n">
        <v>0.0401</v>
      </c>
      <c r="U231" s="12" t="n">
        <v>0.3213</v>
      </c>
      <c r="V231" s="12" t="n">
        <v>0.3849</v>
      </c>
      <c r="W231" s="12" t="n">
        <v>0.4485</v>
      </c>
      <c r="X231" s="3" t="n">
        <v>0.4523</v>
      </c>
      <c r="Y231" s="3" t="n">
        <v>0.7351</v>
      </c>
      <c r="Z231" s="14" t="n">
        <f aca="false">Assumptions!$B$3*R231+Assumptions!$B$4*S231+IF(AA231=1,Assumptions!$B$11,Assumptions!$B$5)*X231+IF(AA231=1,Assumptions!$B$12,Assumptions!$B$6)*T231+Assumptions!$B$7*U231+Assumptions!$B$8*V231+Assumptions!$B$9*Y231</f>
        <v>0.573986</v>
      </c>
      <c r="AA231" s="3" t="n">
        <v>1</v>
      </c>
    </row>
    <row r="232" customFormat="false" ht="15" hidden="false" customHeight="false" outlineLevel="0" collapsed="false">
      <c r="A232" s="3" t="s">
        <v>417</v>
      </c>
      <c r="B232" s="3" t="n">
        <v>590</v>
      </c>
      <c r="C232" s="11" t="str">
        <f aca="false">IF(M232&gt;=Assumptions!$B$17,"S+",IF(M232&gt;=Assumptions!$B$18,"S",IF(M232&gt;=Assumptions!$B$19,"A",IF(M232&gt;=Assumptions!$B$20,"B",IF(M232&gt;=Assumptions!$B$21,"C",IF(M232&gt;=Assumptions!$B$22,"D","F"))))))</f>
        <v>B</v>
      </c>
      <c r="D232" s="3" t="s">
        <v>190</v>
      </c>
      <c r="E232" s="3" t="n">
        <v>1</v>
      </c>
      <c r="F232" s="12" t="n">
        <v>0.9156</v>
      </c>
      <c r="G232" s="12" t="n">
        <v>1</v>
      </c>
      <c r="H232" s="12" t="n">
        <v>0.75</v>
      </c>
      <c r="I232" s="12" t="n">
        <v>0.9179</v>
      </c>
      <c r="J232" s="12" t="n">
        <v>0.4214</v>
      </c>
      <c r="K232" s="12" t="n">
        <v>0.6255</v>
      </c>
      <c r="L232" s="3" t="n">
        <v>3.63</v>
      </c>
      <c r="M232" s="12" t="n">
        <f aca="false">Z232-W232</f>
        <v>0.125155</v>
      </c>
      <c r="N232" s="12" t="n">
        <f aca="false">IFERROR((Z232-J232)/L232,"")</f>
        <v>0.0562134986225896</v>
      </c>
      <c r="O232" s="3" t="n">
        <v>19</v>
      </c>
      <c r="P232" s="13" t="b">
        <f aca="false">FALSE()</f>
        <v>0</v>
      </c>
      <c r="Q232" s="3" t="s">
        <v>166</v>
      </c>
      <c r="R232" s="12" t="n">
        <v>0.8162</v>
      </c>
      <c r="S232" s="12" t="n">
        <v>0.5321</v>
      </c>
      <c r="T232" s="3" t="n">
        <v>0.6381</v>
      </c>
      <c r="U232" s="12" t="n">
        <v>0.4656</v>
      </c>
      <c r="V232" s="12" t="n">
        <v>0.4842</v>
      </c>
      <c r="W232" s="12" t="n">
        <v>0.5003</v>
      </c>
      <c r="X232" s="3" t="n">
        <v>0.4674</v>
      </c>
      <c r="Y232" s="3" t="n">
        <v>0.8225</v>
      </c>
      <c r="Z232" s="14" t="n">
        <f aca="false">Assumptions!$B$3*R232+Assumptions!$B$4*S232+IF(AA232=1,Assumptions!$B$11,Assumptions!$B$5)*X232+IF(AA232=1,Assumptions!$B$12,Assumptions!$B$6)*T232+Assumptions!$B$7*U232+Assumptions!$B$8*V232+Assumptions!$B$9*Y232</f>
        <v>0.625455</v>
      </c>
      <c r="AA232" s="3" t="n">
        <v>0</v>
      </c>
    </row>
    <row r="233" customFormat="false" ht="15" hidden="false" customHeight="false" outlineLevel="0" collapsed="false">
      <c r="A233" s="3" t="s">
        <v>418</v>
      </c>
      <c r="B233" s="3" t="n">
        <v>615</v>
      </c>
      <c r="C233" s="11" t="str">
        <f aca="false">IF(M233&gt;=Assumptions!$B$17,"S+",IF(M233&gt;=Assumptions!$B$18,"S",IF(M233&gt;=Assumptions!$B$19,"A",IF(M233&gt;=Assumptions!$B$20,"B",IF(M233&gt;=Assumptions!$B$21,"C",IF(M233&gt;=Assumptions!$B$22,"D","F"))))))</f>
        <v>B</v>
      </c>
      <c r="D233" s="3" t="s">
        <v>253</v>
      </c>
      <c r="E233" s="3" t="n">
        <v>11</v>
      </c>
      <c r="F233" s="12" t="n">
        <v>0.7978</v>
      </c>
      <c r="G233" s="12" t="n">
        <v>0.6</v>
      </c>
      <c r="H233" s="12" t="n">
        <v>0.75</v>
      </c>
      <c r="I233" s="12" t="n">
        <v>0.6933</v>
      </c>
      <c r="J233" s="12" t="n">
        <v>0.511</v>
      </c>
      <c r="K233" s="12" t="n">
        <v>0.6573</v>
      </c>
      <c r="L233" s="3" t="n">
        <v>6</v>
      </c>
      <c r="M233" s="12" t="n">
        <f aca="false">Z233-W233</f>
        <v>0.125111</v>
      </c>
      <c r="N233" s="12" t="n">
        <f aca="false">IFERROR((Z233-J233)/L233,"")</f>
        <v>0.0243851666666667</v>
      </c>
      <c r="O233" s="3" t="n">
        <v>9</v>
      </c>
      <c r="P233" s="13" t="b">
        <f aca="false">FALSE()</f>
        <v>0</v>
      </c>
      <c r="Q233" s="3" t="s">
        <v>166</v>
      </c>
      <c r="R233" s="12" t="n">
        <v>0.8844</v>
      </c>
      <c r="S233" s="12" t="n">
        <v>0.7614</v>
      </c>
      <c r="T233" s="3" t="n">
        <v>0.1296</v>
      </c>
      <c r="U233" s="12" t="n">
        <v>0.4615</v>
      </c>
      <c r="V233" s="12" t="n">
        <v>0.5115</v>
      </c>
      <c r="W233" s="12" t="n">
        <v>0.5322</v>
      </c>
      <c r="X233" s="3" t="n">
        <v>0.786</v>
      </c>
      <c r="Y233" s="3" t="n">
        <v>0.6943</v>
      </c>
      <c r="Z233" s="14" t="n">
        <f aca="false">Assumptions!$B$3*R233+Assumptions!$B$4*S233+IF(AA233=1,Assumptions!$B$11,Assumptions!$B$5)*X233+IF(AA233=1,Assumptions!$B$12,Assumptions!$B$6)*T233+Assumptions!$B$7*U233+Assumptions!$B$8*V233+Assumptions!$B$9*Y233</f>
        <v>0.657311</v>
      </c>
      <c r="AA233" s="3" t="n">
        <v>0</v>
      </c>
    </row>
    <row r="234" customFormat="false" ht="15" hidden="false" customHeight="false" outlineLevel="0" collapsed="false">
      <c r="A234" s="3" t="s">
        <v>419</v>
      </c>
      <c r="B234" s="3" t="n">
        <v>535</v>
      </c>
      <c r="C234" s="11" t="str">
        <f aca="false">IF(M234&gt;=Assumptions!$B$17,"S+",IF(M234&gt;=Assumptions!$B$18,"S",IF(M234&gt;=Assumptions!$B$19,"A",IF(M234&gt;=Assumptions!$B$20,"B",IF(M234&gt;=Assumptions!$B$21,"C",IF(M234&gt;=Assumptions!$B$22,"D","F"))))))</f>
        <v>B</v>
      </c>
      <c r="D234" s="3" t="s">
        <v>218</v>
      </c>
      <c r="E234" s="3" t="n">
        <v>4</v>
      </c>
      <c r="F234" s="12" t="n">
        <v>0.8207</v>
      </c>
      <c r="G234" s="12" t="n">
        <v>0.6</v>
      </c>
      <c r="H234" s="12" t="n">
        <v>0.75</v>
      </c>
      <c r="I234" s="12" t="n">
        <v>0.7006</v>
      </c>
      <c r="J234" s="12" t="n">
        <v>0.4808</v>
      </c>
      <c r="K234" s="12" t="n">
        <v>0.6389</v>
      </c>
      <c r="L234" s="3" t="n">
        <v>3.88</v>
      </c>
      <c r="M234" s="12" t="n">
        <f aca="false">Z234-W234</f>
        <v>0.124989</v>
      </c>
      <c r="N234" s="12" t="n">
        <f aca="false">IFERROR((Z234-J234)/L234,"")</f>
        <v>0.040744587628866</v>
      </c>
      <c r="O234" s="3" t="n">
        <v>16</v>
      </c>
      <c r="P234" s="13" t="b">
        <f aca="false">FALSE()</f>
        <v>0</v>
      </c>
      <c r="Q234" s="3" t="s">
        <v>166</v>
      </c>
      <c r="R234" s="12" t="n">
        <v>0.8703</v>
      </c>
      <c r="S234" s="12" t="n">
        <v>0.6907</v>
      </c>
      <c r="T234" s="3" t="n">
        <v>0.3523</v>
      </c>
      <c r="U234" s="12" t="n">
        <v>0.5144</v>
      </c>
      <c r="V234" s="12" t="n">
        <v>0.524</v>
      </c>
      <c r="W234" s="12" t="n">
        <v>0.5139</v>
      </c>
      <c r="X234" s="3" t="n">
        <v>0.563</v>
      </c>
      <c r="Y234" s="3" t="n">
        <v>0.6757</v>
      </c>
      <c r="Z234" s="14" t="n">
        <f aca="false">Assumptions!$B$3*R234+Assumptions!$B$4*S234+IF(AA234=1,Assumptions!$B$11,Assumptions!$B$5)*X234+IF(AA234=1,Assumptions!$B$12,Assumptions!$B$6)*T234+Assumptions!$B$7*U234+Assumptions!$B$8*V234+Assumptions!$B$9*Y234</f>
        <v>0.638889</v>
      </c>
      <c r="AA234" s="3" t="n">
        <v>0</v>
      </c>
    </row>
    <row r="235" customFormat="false" ht="15" hidden="false" customHeight="false" outlineLevel="0" collapsed="false">
      <c r="A235" s="3" t="s">
        <v>420</v>
      </c>
      <c r="B235" s="3" t="n">
        <v>515</v>
      </c>
      <c r="C235" s="11" t="str">
        <f aca="false">IF(M235&gt;=Assumptions!$B$17,"S+",IF(M235&gt;=Assumptions!$B$18,"S",IF(M235&gt;=Assumptions!$B$19,"A",IF(M235&gt;=Assumptions!$B$20,"B",IF(M235&gt;=Assumptions!$B$21,"C",IF(M235&gt;=Assumptions!$B$22,"D","F"))))))</f>
        <v>B</v>
      </c>
      <c r="D235" s="3" t="s">
        <v>197</v>
      </c>
      <c r="E235" s="3" t="n">
        <v>6</v>
      </c>
      <c r="F235" s="12" t="n">
        <v>0.8511</v>
      </c>
      <c r="G235" s="12" t="n">
        <v>0.6</v>
      </c>
      <c r="H235" s="12" t="n">
        <v>0.75</v>
      </c>
      <c r="I235" s="12" t="n">
        <v>0.7254</v>
      </c>
      <c r="J235" s="12" t="n">
        <v>0.3347</v>
      </c>
      <c r="K235" s="12" t="n">
        <v>0.6136</v>
      </c>
      <c r="L235" s="3" t="n">
        <v>5</v>
      </c>
      <c r="M235" s="12" t="n">
        <f aca="false">Z235-W235</f>
        <v>0.124566</v>
      </c>
      <c r="N235" s="12" t="n">
        <f aca="false">IFERROR((Z235-J235)/L235,"")</f>
        <v>0.0557732</v>
      </c>
      <c r="O235" s="3" t="n">
        <v>14</v>
      </c>
      <c r="P235" s="13" t="b">
        <f aca="false">FALSE()</f>
        <v>0</v>
      </c>
      <c r="Q235" s="3" t="s">
        <v>166</v>
      </c>
      <c r="R235" s="12" t="n">
        <v>0.8151</v>
      </c>
      <c r="S235" s="12" t="n">
        <v>0.4319</v>
      </c>
      <c r="T235" s="3" t="n">
        <v>0.4427</v>
      </c>
      <c r="U235" s="12" t="n">
        <v>0.4945</v>
      </c>
      <c r="V235" s="12" t="n">
        <v>0.4737</v>
      </c>
      <c r="W235" s="12" t="n">
        <v>0.489</v>
      </c>
      <c r="X235" s="3" t="n">
        <v>0.6839</v>
      </c>
      <c r="Y235" s="3" t="n">
        <v>0.7275</v>
      </c>
      <c r="Z235" s="14" t="n">
        <f aca="false">Assumptions!$B$3*R235+Assumptions!$B$4*S235+IF(AA235=1,Assumptions!$B$11,Assumptions!$B$5)*X235+IF(AA235=1,Assumptions!$B$12,Assumptions!$B$6)*T235+Assumptions!$B$7*U235+Assumptions!$B$8*V235+Assumptions!$B$9*Y235</f>
        <v>0.613566</v>
      </c>
      <c r="AA235" s="3" t="n">
        <v>0</v>
      </c>
    </row>
    <row r="236" customFormat="false" ht="15" hidden="false" customHeight="false" outlineLevel="0" collapsed="false">
      <c r="A236" s="3" t="s">
        <v>421</v>
      </c>
      <c r="B236" s="3" t="n">
        <v>440</v>
      </c>
      <c r="C236" s="11" t="str">
        <f aca="false">IF(M236&gt;=Assumptions!$B$17,"S+",IF(M236&gt;=Assumptions!$B$18,"S",IF(M236&gt;=Assumptions!$B$19,"A",IF(M236&gt;=Assumptions!$B$20,"B",IF(M236&gt;=Assumptions!$B$21,"C",IF(M236&gt;=Assumptions!$B$22,"D","F"))))))</f>
        <v>B</v>
      </c>
      <c r="D236" s="3" t="s">
        <v>190</v>
      </c>
      <c r="E236" s="3" t="n">
        <v>1</v>
      </c>
      <c r="F236" s="12" t="n">
        <v>0.7615</v>
      </c>
      <c r="G236" s="12" t="n">
        <v>1</v>
      </c>
      <c r="H236" s="12" t="n">
        <v>0.75</v>
      </c>
      <c r="I236" s="12" t="n">
        <v>0.8594</v>
      </c>
      <c r="J236" s="12" t="n">
        <v>0.3874</v>
      </c>
      <c r="K236" s="12" t="n">
        <v>0.5901</v>
      </c>
      <c r="L236" s="3" t="n">
        <v>6.47</v>
      </c>
      <c r="M236" s="12" t="n">
        <f aca="false">Z236-W236</f>
        <v>0.123928</v>
      </c>
      <c r="N236" s="12" t="n">
        <f aca="false">IFERROR((Z236-J236)/L236,"")</f>
        <v>0.0313335394126739</v>
      </c>
      <c r="O236" s="3" t="n">
        <v>19</v>
      </c>
      <c r="P236" s="13" t="b">
        <f aca="false">FALSE()</f>
        <v>0</v>
      </c>
      <c r="Q236" s="3" t="s">
        <v>166</v>
      </c>
      <c r="R236" s="12" t="n">
        <v>0.8455</v>
      </c>
      <c r="S236" s="12" t="n">
        <v>0.5507</v>
      </c>
      <c r="T236" s="3" t="n">
        <v>0.4582</v>
      </c>
      <c r="U236" s="12" t="n">
        <v>0.4494</v>
      </c>
      <c r="V236" s="12" t="n">
        <v>0.5337</v>
      </c>
      <c r="W236" s="12" t="n">
        <v>0.4662</v>
      </c>
      <c r="X236" s="3" t="n">
        <v>0.3447</v>
      </c>
      <c r="Y236" s="3" t="n">
        <v>0.7391</v>
      </c>
      <c r="Z236" s="14" t="n">
        <f aca="false">Assumptions!$B$3*R236+Assumptions!$B$4*S236+IF(AA236=1,Assumptions!$B$11,Assumptions!$B$5)*X236+IF(AA236=1,Assumptions!$B$12,Assumptions!$B$6)*T236+Assumptions!$B$7*U236+Assumptions!$B$8*V236+Assumptions!$B$9*Y236</f>
        <v>0.590128</v>
      </c>
      <c r="AA236" s="3" t="n">
        <v>0</v>
      </c>
    </row>
    <row r="237" customFormat="false" ht="15" hidden="false" customHeight="false" outlineLevel="0" collapsed="false">
      <c r="A237" s="3" t="s">
        <v>422</v>
      </c>
      <c r="B237" s="3" t="n">
        <v>565</v>
      </c>
      <c r="C237" s="11" t="str">
        <f aca="false">IF(M237&gt;=Assumptions!$B$17,"S+",IF(M237&gt;=Assumptions!$B$18,"S",IF(M237&gt;=Assumptions!$B$19,"A",IF(M237&gt;=Assumptions!$B$20,"B",IF(M237&gt;=Assumptions!$B$21,"C",IF(M237&gt;=Assumptions!$B$22,"D","F"))))))</f>
        <v>B</v>
      </c>
      <c r="D237" s="3" t="s">
        <v>190</v>
      </c>
      <c r="E237" s="3" t="n">
        <v>7</v>
      </c>
      <c r="F237" s="12" t="n">
        <v>0.9676</v>
      </c>
      <c r="G237" s="12" t="n">
        <v>1</v>
      </c>
      <c r="H237" s="12" t="n">
        <v>0.75</v>
      </c>
      <c r="I237" s="12" t="n">
        <v>0.9377</v>
      </c>
      <c r="J237" s="12" t="n">
        <v>0.3538</v>
      </c>
      <c r="K237" s="12" t="n">
        <v>0.6006</v>
      </c>
      <c r="L237" s="3" t="n">
        <v>7</v>
      </c>
      <c r="M237" s="12" t="n">
        <f aca="false">Z237-W237</f>
        <v>0.123718</v>
      </c>
      <c r="N237" s="12" t="n">
        <f aca="false">IFERROR((Z237-J237)/L237,"")</f>
        <v>0.0352597142857143</v>
      </c>
      <c r="O237" s="3" t="n">
        <v>13</v>
      </c>
      <c r="P237" s="13" t="b">
        <f aca="false">FALSE()</f>
        <v>0</v>
      </c>
      <c r="Q237" s="3" t="s">
        <v>166</v>
      </c>
      <c r="R237" s="12" t="n">
        <v>0.8889</v>
      </c>
      <c r="S237" s="12" t="n">
        <v>0.3679</v>
      </c>
      <c r="T237" s="3" t="n">
        <v>0.4885</v>
      </c>
      <c r="U237" s="12" t="n">
        <v>0.5326</v>
      </c>
      <c r="V237" s="12" t="n">
        <v>0.5317</v>
      </c>
      <c r="W237" s="12" t="n">
        <v>0.4769</v>
      </c>
      <c r="X237" s="3" t="n">
        <v>0.3132</v>
      </c>
      <c r="Y237" s="3" t="n">
        <v>0.9384</v>
      </c>
      <c r="Z237" s="14" t="n">
        <f aca="false">Assumptions!$B$3*R237+Assumptions!$B$4*S237+IF(AA237=1,Assumptions!$B$11,Assumptions!$B$5)*X237+IF(AA237=1,Assumptions!$B$12,Assumptions!$B$6)*T237+Assumptions!$B$7*U237+Assumptions!$B$8*V237+Assumptions!$B$9*Y237</f>
        <v>0.600618</v>
      </c>
      <c r="AA237" s="3" t="n">
        <v>0</v>
      </c>
    </row>
    <row r="238" customFormat="false" ht="15" hidden="false" customHeight="false" outlineLevel="0" collapsed="false">
      <c r="A238" s="3" t="s">
        <v>423</v>
      </c>
      <c r="B238" s="3" t="n">
        <v>520</v>
      </c>
      <c r="C238" s="11" t="str">
        <f aca="false">IF(M238&gt;=Assumptions!$B$17,"S+",IF(M238&gt;=Assumptions!$B$18,"S",IF(M238&gt;=Assumptions!$B$19,"A",IF(M238&gt;=Assumptions!$B$20,"B",IF(M238&gt;=Assumptions!$B$21,"C",IF(M238&gt;=Assumptions!$B$22,"D","F"))))))</f>
        <v>B</v>
      </c>
      <c r="D238" s="3" t="s">
        <v>197</v>
      </c>
      <c r="E238" s="3" t="n">
        <v>4</v>
      </c>
      <c r="F238" s="12" t="n">
        <v>0.8449</v>
      </c>
      <c r="G238" s="12" t="n">
        <v>0.6</v>
      </c>
      <c r="H238" s="12" t="n">
        <v>0.75</v>
      </c>
      <c r="I238" s="12" t="n">
        <v>0.7231</v>
      </c>
      <c r="J238" s="12" t="n">
        <v>0.4814</v>
      </c>
      <c r="K238" s="12" t="n">
        <v>0.6243</v>
      </c>
      <c r="L238" s="3" t="n">
        <v>3.94</v>
      </c>
      <c r="M238" s="12" t="n">
        <f aca="false">Z238-W238</f>
        <v>0.123586</v>
      </c>
      <c r="N238" s="12" t="n">
        <f aca="false">IFERROR((Z238-J238)/L238,"")</f>
        <v>0.0362654822335025</v>
      </c>
      <c r="O238" s="3" t="n">
        <v>16</v>
      </c>
      <c r="P238" s="13" t="b">
        <f aca="false">FALSE()</f>
        <v>0</v>
      </c>
      <c r="Q238" s="3" t="s">
        <v>166</v>
      </c>
      <c r="R238" s="12" t="n">
        <v>0.7947</v>
      </c>
      <c r="S238" s="12" t="n">
        <v>0.4885</v>
      </c>
      <c r="T238" s="3" t="n">
        <v>0.3849</v>
      </c>
      <c r="U238" s="12" t="n">
        <v>0.7837</v>
      </c>
      <c r="V238" s="12" t="n">
        <v>0.3783</v>
      </c>
      <c r="W238" s="12" t="n">
        <v>0.5007</v>
      </c>
      <c r="X238" s="3" t="n">
        <v>0.6708</v>
      </c>
      <c r="Y238" s="3" t="n">
        <v>0.7089</v>
      </c>
      <c r="Z238" s="14" t="n">
        <f aca="false">Assumptions!$B$3*R238+Assumptions!$B$4*S238+IF(AA238=1,Assumptions!$B$11,Assumptions!$B$5)*X238+IF(AA238=1,Assumptions!$B$12,Assumptions!$B$6)*T238+Assumptions!$B$7*U238+Assumptions!$B$8*V238+Assumptions!$B$9*Y238</f>
        <v>0.624286</v>
      </c>
      <c r="AA238" s="3" t="n">
        <v>0</v>
      </c>
    </row>
    <row r="239" customFormat="false" ht="15" hidden="false" customHeight="false" outlineLevel="0" collapsed="false">
      <c r="A239" s="3" t="s">
        <v>424</v>
      </c>
      <c r="B239" s="3" t="n">
        <v>497</v>
      </c>
      <c r="C239" s="11" t="str">
        <f aca="false">IF(M239&gt;=Assumptions!$B$17,"S+",IF(M239&gt;=Assumptions!$B$18,"S",IF(M239&gt;=Assumptions!$B$19,"A",IF(M239&gt;=Assumptions!$B$20,"B",IF(M239&gt;=Assumptions!$B$21,"C",IF(M239&gt;=Assumptions!$B$22,"D","F"))))))</f>
        <v>B</v>
      </c>
      <c r="D239" s="3" t="s">
        <v>190</v>
      </c>
      <c r="E239" s="3" t="n">
        <v>4</v>
      </c>
      <c r="F239" s="12" t="n">
        <v>0.8799</v>
      </c>
      <c r="G239" s="12" t="n">
        <v>0.6</v>
      </c>
      <c r="H239" s="12" t="n">
        <v>0.75</v>
      </c>
      <c r="I239" s="12" t="n">
        <v>0.7363</v>
      </c>
      <c r="J239" s="12" t="n">
        <v>0.4173</v>
      </c>
      <c r="K239" s="12" t="n">
        <v>0.6107</v>
      </c>
      <c r="L239" s="3" t="n">
        <v>3.91</v>
      </c>
      <c r="M239" s="12" t="n">
        <f aca="false">Z239-W239</f>
        <v>0.12329</v>
      </c>
      <c r="N239" s="12" t="n">
        <f aca="false">IFERROR((Z239-J239)/L239,"")</f>
        <v>0.049460358056266</v>
      </c>
      <c r="O239" s="3" t="n">
        <v>16</v>
      </c>
      <c r="P239" s="13" t="b">
        <f aca="false">FALSE()</f>
        <v>0</v>
      </c>
      <c r="Q239" s="3" t="s">
        <v>166</v>
      </c>
      <c r="R239" s="12" t="n">
        <v>0.6982</v>
      </c>
      <c r="S239" s="12" t="n">
        <v>0.5581</v>
      </c>
      <c r="T239" s="3" t="n">
        <v>0.5911</v>
      </c>
      <c r="U239" s="12" t="n">
        <v>0.4615</v>
      </c>
      <c r="V239" s="12" t="n">
        <v>0.5075</v>
      </c>
      <c r="W239" s="12" t="n">
        <v>0.4874</v>
      </c>
      <c r="X239" s="3" t="n">
        <v>0.6341</v>
      </c>
      <c r="Y239" s="3" t="n">
        <v>0.7108</v>
      </c>
      <c r="Z239" s="14" t="n">
        <f aca="false">Assumptions!$B$3*R239+Assumptions!$B$4*S239+IF(AA239=1,Assumptions!$B$11,Assumptions!$B$5)*X239+IF(AA239=1,Assumptions!$B$12,Assumptions!$B$6)*T239+Assumptions!$B$7*U239+Assumptions!$B$8*V239+Assumptions!$B$9*Y239</f>
        <v>0.61069</v>
      </c>
      <c r="AA239" s="3" t="n">
        <v>0</v>
      </c>
    </row>
    <row r="240" customFormat="false" ht="15" hidden="false" customHeight="false" outlineLevel="0" collapsed="false">
      <c r="A240" s="3" t="s">
        <v>425</v>
      </c>
      <c r="B240" s="3" t="n">
        <v>475</v>
      </c>
      <c r="C240" s="11" t="str">
        <f aca="false">IF(M240&gt;=Assumptions!$B$17,"S+",IF(M240&gt;=Assumptions!$B$18,"S",IF(M240&gt;=Assumptions!$B$19,"A",IF(M240&gt;=Assumptions!$B$20,"B",IF(M240&gt;=Assumptions!$B$21,"C",IF(M240&gt;=Assumptions!$B$22,"D","F"))))))</f>
        <v>B</v>
      </c>
      <c r="D240" s="3" t="s">
        <v>175</v>
      </c>
      <c r="E240" s="3" t="n">
        <v>3</v>
      </c>
      <c r="F240" s="12" t="n">
        <v>0.8217</v>
      </c>
      <c r="G240" s="12" t="n">
        <v>0.45</v>
      </c>
      <c r="H240" s="12" t="n">
        <v>0.75</v>
      </c>
      <c r="I240" s="12" t="n">
        <v>0.5658</v>
      </c>
      <c r="J240" s="12" t="n">
        <v>0.3623</v>
      </c>
      <c r="K240" s="12" t="n">
        <v>0.5754</v>
      </c>
      <c r="L240" s="3" t="n">
        <v>5.88</v>
      </c>
      <c r="M240" s="12" t="n">
        <f aca="false">Z240-W240</f>
        <v>0.123168</v>
      </c>
      <c r="N240" s="12" t="n">
        <f aca="false">IFERROR((Z240-J240)/L240,"")</f>
        <v>0.0362360544217687</v>
      </c>
      <c r="O240" s="3" t="n">
        <v>17</v>
      </c>
      <c r="P240" s="13" t="b">
        <f aca="false">FALSE()</f>
        <v>0</v>
      </c>
      <c r="Q240" s="3" t="s">
        <v>166</v>
      </c>
      <c r="R240" s="12" t="n">
        <v>0.7528</v>
      </c>
      <c r="S240" s="12" t="n">
        <v>0.7341</v>
      </c>
      <c r="T240" s="3" t="n">
        <v>0.0629</v>
      </c>
      <c r="U240" s="12" t="n">
        <v>0.3032</v>
      </c>
      <c r="V240" s="12" t="n">
        <v>0.5041</v>
      </c>
      <c r="W240" s="12" t="n">
        <v>0.4522</v>
      </c>
      <c r="X240" s="3" t="n">
        <v>0.5242</v>
      </c>
      <c r="Y240" s="3" t="n">
        <v>0.5543</v>
      </c>
      <c r="Z240" s="14" t="n">
        <f aca="false">Assumptions!$B$3*R240+Assumptions!$B$4*S240+IF(AA240=1,Assumptions!$B$11,Assumptions!$B$5)*X240+IF(AA240=1,Assumptions!$B$12,Assumptions!$B$6)*T240+Assumptions!$B$7*U240+Assumptions!$B$8*V240+Assumptions!$B$9*Y240</f>
        <v>0.575368</v>
      </c>
      <c r="AA240" s="3" t="n">
        <v>1</v>
      </c>
    </row>
    <row r="241" customFormat="false" ht="15" hidden="false" customHeight="false" outlineLevel="0" collapsed="false">
      <c r="A241" s="3" t="s">
        <v>426</v>
      </c>
      <c r="B241" s="3" t="n">
        <v>500</v>
      </c>
      <c r="C241" s="11" t="str">
        <f aca="false">IF(M241&gt;=Assumptions!$B$17,"S+",IF(M241&gt;=Assumptions!$B$18,"S",IF(M241&gt;=Assumptions!$B$19,"A",IF(M241&gt;=Assumptions!$B$20,"B",IF(M241&gt;=Assumptions!$B$21,"C",IF(M241&gt;=Assumptions!$B$22,"D","F"))))))</f>
        <v>B</v>
      </c>
      <c r="D241" s="3" t="s">
        <v>190</v>
      </c>
      <c r="E241" s="3" t="n">
        <v>3</v>
      </c>
      <c r="F241" s="12" t="n">
        <v>0.8503</v>
      </c>
      <c r="G241" s="12" t="n">
        <v>0.8</v>
      </c>
      <c r="H241" s="12" t="n">
        <v>0.75</v>
      </c>
      <c r="I241" s="12" t="n">
        <v>0.8091</v>
      </c>
      <c r="J241" s="12" t="n">
        <v>0.4478</v>
      </c>
      <c r="K241" s="12" t="n">
        <v>0.6168</v>
      </c>
      <c r="L241" s="3" t="n">
        <v>6.88</v>
      </c>
      <c r="M241" s="12" t="n">
        <f aca="false">Z241-W241</f>
        <v>0.122807</v>
      </c>
      <c r="N241" s="12" t="n">
        <f aca="false">IFERROR((Z241-J241)/L241,"")</f>
        <v>0.0245649709302326</v>
      </c>
      <c r="O241" s="3" t="n">
        <v>17</v>
      </c>
      <c r="P241" s="13" t="b">
        <f aca="false">FALSE()</f>
        <v>0</v>
      </c>
      <c r="Q241" s="3" t="s">
        <v>166</v>
      </c>
      <c r="R241" s="12" t="n">
        <v>0.8415</v>
      </c>
      <c r="S241" s="12" t="n">
        <v>0.4232</v>
      </c>
      <c r="T241" s="3" t="n">
        <v>0.6575</v>
      </c>
      <c r="U241" s="12" t="n">
        <v>0.5385</v>
      </c>
      <c r="V241" s="12" t="n">
        <v>0.4719</v>
      </c>
      <c r="W241" s="12" t="n">
        <v>0.494</v>
      </c>
      <c r="X241" s="3" t="n">
        <v>0.4288</v>
      </c>
      <c r="Y241" s="3" t="n">
        <v>0.8127</v>
      </c>
      <c r="Z241" s="14" t="n">
        <f aca="false">Assumptions!$B$3*R241+Assumptions!$B$4*S241+IF(AA241=1,Assumptions!$B$11,Assumptions!$B$5)*X241+IF(AA241=1,Assumptions!$B$12,Assumptions!$B$6)*T241+Assumptions!$B$7*U241+Assumptions!$B$8*V241+Assumptions!$B$9*Y241</f>
        <v>0.616807</v>
      </c>
      <c r="AA241" s="3" t="n">
        <v>0</v>
      </c>
    </row>
    <row r="242" customFormat="false" ht="15" hidden="false" customHeight="false" outlineLevel="0" collapsed="false">
      <c r="A242" s="3" t="s">
        <v>427</v>
      </c>
      <c r="B242" s="3" t="n">
        <v>601</v>
      </c>
      <c r="C242" s="11" t="str">
        <f aca="false">IF(M242&gt;=Assumptions!$B$17,"S+",IF(M242&gt;=Assumptions!$B$18,"S",IF(M242&gt;=Assumptions!$B$19,"A",IF(M242&gt;=Assumptions!$B$20,"B",IF(M242&gt;=Assumptions!$B$21,"C",IF(M242&gt;=Assumptions!$B$22,"D","F"))))))</f>
        <v>B</v>
      </c>
      <c r="D242" s="3" t="s">
        <v>218</v>
      </c>
      <c r="E242" s="3" t="n">
        <v>11</v>
      </c>
      <c r="F242" s="12" t="n">
        <v>0.9754</v>
      </c>
      <c r="G242" s="12" t="n">
        <v>0.6</v>
      </c>
      <c r="H242" s="12" t="n">
        <v>0.75</v>
      </c>
      <c r="I242" s="12" t="n">
        <v>0.7501</v>
      </c>
      <c r="J242" s="12" t="n">
        <v>0.434</v>
      </c>
      <c r="K242" s="12" t="n">
        <v>0.6313</v>
      </c>
      <c r="L242" s="3" t="n">
        <v>4</v>
      </c>
      <c r="M242" s="12" t="n">
        <f aca="false">Z242-W242</f>
        <v>0.122698</v>
      </c>
      <c r="N242" s="12" t="n">
        <f aca="false">IFERROR((Z242-J242)/L242,"")</f>
        <v>0.0493245</v>
      </c>
      <c r="O242" s="3" t="n">
        <v>9</v>
      </c>
      <c r="P242" s="13" t="b">
        <f aca="false">FALSE()</f>
        <v>0</v>
      </c>
      <c r="Q242" s="3" t="s">
        <v>166</v>
      </c>
      <c r="R242" s="12" t="n">
        <v>0.9214</v>
      </c>
      <c r="S242" s="12" t="n">
        <v>0.5798</v>
      </c>
      <c r="T242" s="3" t="n">
        <v>0.1729</v>
      </c>
      <c r="U242" s="12" t="n">
        <v>0.5983</v>
      </c>
      <c r="V242" s="12" t="n">
        <v>0.4354</v>
      </c>
      <c r="W242" s="12" t="n">
        <v>0.5086</v>
      </c>
      <c r="X242" s="3" t="n">
        <v>0.6327</v>
      </c>
      <c r="Y242" s="3" t="n">
        <v>0.7506</v>
      </c>
      <c r="Z242" s="14" t="n">
        <f aca="false">Assumptions!$B$3*R242+Assumptions!$B$4*S242+IF(AA242=1,Assumptions!$B$11,Assumptions!$B$5)*X242+IF(AA242=1,Assumptions!$B$12,Assumptions!$B$6)*T242+Assumptions!$B$7*U242+Assumptions!$B$8*V242+Assumptions!$B$9*Y242</f>
        <v>0.631298</v>
      </c>
      <c r="AA242" s="3" t="n">
        <v>0</v>
      </c>
    </row>
    <row r="243" customFormat="false" ht="15" hidden="false" customHeight="false" outlineLevel="0" collapsed="false">
      <c r="A243" s="3" t="s">
        <v>428</v>
      </c>
      <c r="B243" s="3" t="n">
        <v>555</v>
      </c>
      <c r="C243" s="11" t="str">
        <f aca="false">IF(M243&gt;=Assumptions!$B$17,"S+",IF(M243&gt;=Assumptions!$B$18,"S",IF(M243&gt;=Assumptions!$B$19,"A",IF(M243&gt;=Assumptions!$B$20,"B",IF(M243&gt;=Assumptions!$B$21,"C",IF(M243&gt;=Assumptions!$B$22,"D","F"))))))</f>
        <v>B</v>
      </c>
      <c r="D243" s="3" t="s">
        <v>203</v>
      </c>
      <c r="E243" s="3" t="n">
        <v>7</v>
      </c>
      <c r="F243" s="12" t="n">
        <v>0.8168</v>
      </c>
      <c r="G243" s="12" t="n">
        <v>1</v>
      </c>
      <c r="H243" s="12" t="n">
        <v>0.75</v>
      </c>
      <c r="I243" s="12" t="n">
        <v>0.895</v>
      </c>
      <c r="J243" s="12" t="n">
        <v>0.4408</v>
      </c>
      <c r="K243" s="12" t="n">
        <v>0.5812</v>
      </c>
      <c r="L243" s="3" t="n">
        <v>4</v>
      </c>
      <c r="M243" s="12" t="n">
        <f aca="false">Z243-W243</f>
        <v>0.122403</v>
      </c>
      <c r="N243" s="12" t="n">
        <f aca="false">IFERROR((Z243-J243)/L243,"")</f>
        <v>0.03510075</v>
      </c>
      <c r="O243" s="3" t="n">
        <v>13</v>
      </c>
      <c r="P243" s="13" t="b">
        <f aca="false">FALSE()</f>
        <v>0</v>
      </c>
      <c r="Q243" s="3" t="s">
        <v>166</v>
      </c>
      <c r="R243" s="12" t="n">
        <v>0.8256</v>
      </c>
      <c r="S243" s="12" t="n">
        <v>0.5584</v>
      </c>
      <c r="T243" s="3" t="n">
        <v>0.1564</v>
      </c>
      <c r="U243" s="12" t="n">
        <v>0.3491</v>
      </c>
      <c r="V243" s="12" t="n">
        <v>0.5785</v>
      </c>
      <c r="W243" s="12" t="n">
        <v>0.4588</v>
      </c>
      <c r="X243" s="3" t="n">
        <v>0.4739</v>
      </c>
      <c r="Y243" s="3" t="n">
        <v>0.8965</v>
      </c>
      <c r="Z243" s="14" t="n">
        <f aca="false">Assumptions!$B$3*R243+Assumptions!$B$4*S243+IF(AA243=1,Assumptions!$B$11,Assumptions!$B$5)*X243+IF(AA243=1,Assumptions!$B$12,Assumptions!$B$6)*T243+Assumptions!$B$7*U243+Assumptions!$B$8*V243+Assumptions!$B$9*Y243</f>
        <v>0.581203</v>
      </c>
      <c r="AA243" s="3" t="n">
        <v>0</v>
      </c>
    </row>
    <row r="244" customFormat="false" ht="15" hidden="false" customHeight="false" outlineLevel="0" collapsed="false">
      <c r="A244" s="3" t="s">
        <v>429</v>
      </c>
      <c r="B244" s="3" t="n">
        <v>501</v>
      </c>
      <c r="C244" s="11" t="str">
        <f aca="false">IF(M244&gt;=Assumptions!$B$17,"S+",IF(M244&gt;=Assumptions!$B$18,"S",IF(M244&gt;=Assumptions!$B$19,"A",IF(M244&gt;=Assumptions!$B$20,"B",IF(M244&gt;=Assumptions!$B$21,"C",IF(M244&gt;=Assumptions!$B$22,"D","F"))))))</f>
        <v>B</v>
      </c>
      <c r="D244" s="3" t="s">
        <v>169</v>
      </c>
      <c r="E244" s="3" t="n">
        <v>3</v>
      </c>
      <c r="F244" s="12" t="n">
        <v>0.3252</v>
      </c>
      <c r="G244" s="12" t="n">
        <v>1</v>
      </c>
      <c r="H244" s="12" t="n">
        <v>0.4425</v>
      </c>
      <c r="I244" s="12" t="n">
        <v>0.7535</v>
      </c>
      <c r="J244" s="12" t="n">
        <v>0.35</v>
      </c>
      <c r="K244" s="12" t="n">
        <v>0.5553</v>
      </c>
      <c r="L244" s="3" t="n">
        <v>6.91</v>
      </c>
      <c r="M244" s="12" t="n">
        <f aca="false">Z244-W244</f>
        <v>0.122196</v>
      </c>
      <c r="N244" s="12" t="n">
        <f aca="false">IFERROR((Z244-J244)/L244,"")</f>
        <v>0.02970998552822</v>
      </c>
      <c r="O244" s="3" t="n">
        <v>17</v>
      </c>
      <c r="P244" s="13" t="b">
        <f aca="false">FALSE()</f>
        <v>0</v>
      </c>
      <c r="Q244" s="3" t="s">
        <v>166</v>
      </c>
      <c r="R244" s="12" t="n">
        <v>0.7123</v>
      </c>
      <c r="S244" s="12" t="n">
        <v>0.4722</v>
      </c>
      <c r="T244" s="3" t="n">
        <v>0.6334</v>
      </c>
      <c r="U244" s="12" t="n">
        <v>0.3891</v>
      </c>
      <c r="V244" s="12" t="n">
        <v>0.4642</v>
      </c>
      <c r="W244" s="12" t="n">
        <v>0.4331</v>
      </c>
      <c r="X244" s="3" t="n">
        <v>0.462</v>
      </c>
      <c r="Y244" s="3" t="n">
        <v>0.7308</v>
      </c>
      <c r="Z244" s="14" t="n">
        <f aca="false">Assumptions!$B$3*R244+Assumptions!$B$4*S244+IF(AA244=1,Assumptions!$B$11,Assumptions!$B$5)*X244+IF(AA244=1,Assumptions!$B$12,Assumptions!$B$6)*T244+Assumptions!$B$7*U244+Assumptions!$B$8*V244+Assumptions!$B$9*Y244</f>
        <v>0.555296</v>
      </c>
      <c r="AA244" s="3" t="n">
        <v>1</v>
      </c>
    </row>
    <row r="245" customFormat="false" ht="15" hidden="false" customHeight="false" outlineLevel="0" collapsed="false">
      <c r="A245" s="3" t="s">
        <v>430</v>
      </c>
      <c r="B245" s="3" t="n">
        <v>500</v>
      </c>
      <c r="C245" s="11" t="str">
        <f aca="false">IF(M245&gt;=Assumptions!$B$17,"S+",IF(M245&gt;=Assumptions!$B$18,"S",IF(M245&gt;=Assumptions!$B$19,"A",IF(M245&gt;=Assumptions!$B$20,"B",IF(M245&gt;=Assumptions!$B$21,"C",IF(M245&gt;=Assumptions!$B$22,"D","F"))))))</f>
        <v>B</v>
      </c>
      <c r="D245" s="3" t="s">
        <v>218</v>
      </c>
      <c r="E245" s="3" t="n">
        <v>6</v>
      </c>
      <c r="F245" s="12" t="n">
        <v>0.9638</v>
      </c>
      <c r="G245" s="12" t="n">
        <v>1</v>
      </c>
      <c r="H245" s="12" t="n">
        <v>0.75</v>
      </c>
      <c r="I245" s="12" t="n">
        <v>0.9384</v>
      </c>
      <c r="J245" s="12" t="n">
        <v>0.4084</v>
      </c>
      <c r="K245" s="12" t="n">
        <v>0.6311</v>
      </c>
      <c r="L245" s="3" t="n">
        <v>6</v>
      </c>
      <c r="M245" s="12" t="n">
        <f aca="false">Z245-W245</f>
        <v>0.121897</v>
      </c>
      <c r="N245" s="12" t="n">
        <f aca="false">IFERROR((Z245-J245)/L245,"")</f>
        <v>0.0371161666666667</v>
      </c>
      <c r="O245" s="3" t="n">
        <v>14</v>
      </c>
      <c r="P245" s="13" t="b">
        <f aca="false">FALSE()</f>
        <v>0</v>
      </c>
      <c r="Q245" s="3" t="s">
        <v>166</v>
      </c>
      <c r="R245" s="12" t="n">
        <v>0.8764</v>
      </c>
      <c r="S245" s="12" t="n">
        <v>0.5696</v>
      </c>
      <c r="T245" s="3" t="n">
        <v>0.2892</v>
      </c>
      <c r="U245" s="12" t="n">
        <v>0.5989</v>
      </c>
      <c r="V245" s="12" t="n">
        <v>0.4527</v>
      </c>
      <c r="W245" s="12" t="n">
        <v>0.5092</v>
      </c>
      <c r="X245" s="3" t="n">
        <v>0.4962</v>
      </c>
      <c r="Y245" s="3" t="n">
        <v>0.9401</v>
      </c>
      <c r="Z245" s="14" t="n">
        <f aca="false">Assumptions!$B$3*R245+Assumptions!$B$4*S245+IF(AA245=1,Assumptions!$B$11,Assumptions!$B$5)*X245+IF(AA245=1,Assumptions!$B$12,Assumptions!$B$6)*T245+Assumptions!$B$7*U245+Assumptions!$B$8*V245+Assumptions!$B$9*Y245</f>
        <v>0.631097</v>
      </c>
      <c r="AA245" s="3" t="n">
        <v>0</v>
      </c>
    </row>
    <row r="246" customFormat="false" ht="15" hidden="false" customHeight="false" outlineLevel="0" collapsed="false">
      <c r="A246" s="3" t="s">
        <v>431</v>
      </c>
      <c r="B246" s="3" t="n">
        <v>540</v>
      </c>
      <c r="C246" s="11" t="str">
        <f aca="false">IF(M246&gt;=Assumptions!$B$17,"S+",IF(M246&gt;=Assumptions!$B$18,"S",IF(M246&gt;=Assumptions!$B$19,"A",IF(M246&gt;=Assumptions!$B$20,"B",IF(M246&gt;=Assumptions!$B$21,"C",IF(M246&gt;=Assumptions!$B$22,"D","F"))))))</f>
        <v>B</v>
      </c>
      <c r="D246" s="3" t="s">
        <v>180</v>
      </c>
      <c r="E246" s="3" t="n">
        <v>8</v>
      </c>
      <c r="F246" s="12" t="n">
        <v>0.9947</v>
      </c>
      <c r="G246" s="12" t="n">
        <v>1</v>
      </c>
      <c r="H246" s="12" t="n">
        <v>0.4762</v>
      </c>
      <c r="I246" s="12" t="n">
        <v>0.8942</v>
      </c>
      <c r="J246" s="12" t="n">
        <v>0.476</v>
      </c>
      <c r="K246" s="12" t="n">
        <v>0.639</v>
      </c>
      <c r="L246" s="3" t="n">
        <v>4</v>
      </c>
      <c r="M246" s="12" t="n">
        <f aca="false">Z246-W246</f>
        <v>0.121519</v>
      </c>
      <c r="N246" s="12" t="n">
        <f aca="false">IFERROR((Z246-J246)/L246,"")</f>
        <v>0.04075475</v>
      </c>
      <c r="O246" s="3" t="n">
        <v>12</v>
      </c>
      <c r="P246" s="13" t="b">
        <f aca="false">FALSE()</f>
        <v>0</v>
      </c>
      <c r="Q246" s="3" t="s">
        <v>166</v>
      </c>
      <c r="R246" s="12" t="n">
        <v>0.8093</v>
      </c>
      <c r="S246" s="12" t="n">
        <v>0.5573</v>
      </c>
      <c r="T246" s="3" t="n">
        <v>0.1365</v>
      </c>
      <c r="U246" s="12" t="n">
        <v>0.641</v>
      </c>
      <c r="V246" s="12" t="n">
        <v>0.4626</v>
      </c>
      <c r="W246" s="12" t="n">
        <v>0.5175</v>
      </c>
      <c r="X246" s="3" t="n">
        <v>0.5755</v>
      </c>
      <c r="Y246" s="3" t="n">
        <v>0.8644</v>
      </c>
      <c r="Z246" s="14" t="n">
        <f aca="false">Assumptions!$B$3*R246+Assumptions!$B$4*S246+IF(AA246=1,Assumptions!$B$11,Assumptions!$B$5)*X246+IF(AA246=1,Assumptions!$B$12,Assumptions!$B$6)*T246+Assumptions!$B$7*U246+Assumptions!$B$8*V246+Assumptions!$B$9*Y246</f>
        <v>0.639019</v>
      </c>
      <c r="AA246" s="3" t="n">
        <v>1</v>
      </c>
    </row>
    <row r="247" customFormat="false" ht="15" hidden="false" customHeight="false" outlineLevel="0" collapsed="false">
      <c r="A247" s="3" t="s">
        <v>432</v>
      </c>
      <c r="B247" s="3" t="n">
        <v>534</v>
      </c>
      <c r="C247" s="11" t="str">
        <f aca="false">IF(M247&gt;=Assumptions!$B$17,"S+",IF(M247&gt;=Assumptions!$B$18,"S",IF(M247&gt;=Assumptions!$B$19,"A",IF(M247&gt;=Assumptions!$B$20,"B",IF(M247&gt;=Assumptions!$B$21,"C",IF(M247&gt;=Assumptions!$B$22,"D","F"))))))</f>
        <v>B</v>
      </c>
      <c r="D247" s="3" t="s">
        <v>180</v>
      </c>
      <c r="E247" s="3" t="n">
        <v>7</v>
      </c>
      <c r="F247" s="12" t="n">
        <v>0.6455</v>
      </c>
      <c r="G247" s="12" t="n">
        <v>1</v>
      </c>
      <c r="H247" s="12" t="n">
        <v>0.4683</v>
      </c>
      <c r="I247" s="12" t="n">
        <v>0.8228</v>
      </c>
      <c r="J247" s="12" t="n">
        <v>0.4666</v>
      </c>
      <c r="K247" s="12" t="n">
        <v>0.6377</v>
      </c>
      <c r="L247" s="3" t="n">
        <v>5</v>
      </c>
      <c r="M247" s="12" t="n">
        <f aca="false">Z247-W247</f>
        <v>0.121208</v>
      </c>
      <c r="N247" s="12" t="n">
        <f aca="false">IFERROR((Z247-J247)/L247,"")</f>
        <v>0.0342216</v>
      </c>
      <c r="O247" s="3" t="n">
        <v>13</v>
      </c>
      <c r="P247" s="13" t="b">
        <f aca="false">FALSE()</f>
        <v>0</v>
      </c>
      <c r="Q247" s="3" t="s">
        <v>166</v>
      </c>
      <c r="R247" s="12" t="n">
        <v>0.8393</v>
      </c>
      <c r="S247" s="12" t="n">
        <v>0.4551</v>
      </c>
      <c r="T247" s="3" t="n">
        <v>0.296</v>
      </c>
      <c r="U247" s="12" t="n">
        <v>0.4142</v>
      </c>
      <c r="V247" s="12" t="n">
        <v>0.4547</v>
      </c>
      <c r="W247" s="12" t="n">
        <v>0.5165</v>
      </c>
      <c r="X247" s="3" t="n">
        <v>0.7037</v>
      </c>
      <c r="Y247" s="3" t="n">
        <v>0.7906</v>
      </c>
      <c r="Z247" s="14" t="n">
        <f aca="false">Assumptions!$B$3*R247+Assumptions!$B$4*S247+IF(AA247=1,Assumptions!$B$11,Assumptions!$B$5)*X247+IF(AA247=1,Assumptions!$B$12,Assumptions!$B$6)*T247+Assumptions!$B$7*U247+Assumptions!$B$8*V247+Assumptions!$B$9*Y247</f>
        <v>0.637708</v>
      </c>
      <c r="AA247" s="3" t="n">
        <v>1</v>
      </c>
    </row>
    <row r="248" customFormat="false" ht="15" hidden="false" customHeight="false" outlineLevel="0" collapsed="false">
      <c r="A248" s="3" t="s">
        <v>433</v>
      </c>
      <c r="B248" s="3" t="n">
        <v>570</v>
      </c>
      <c r="C248" s="11" t="str">
        <f aca="false">IF(M248&gt;=Assumptions!$B$17,"S+",IF(M248&gt;=Assumptions!$B$18,"S",IF(M248&gt;=Assumptions!$B$19,"A",IF(M248&gt;=Assumptions!$B$20,"B",IF(M248&gt;=Assumptions!$B$21,"C",IF(M248&gt;=Assumptions!$B$22,"D","F"))))))</f>
        <v>B</v>
      </c>
      <c r="D248" s="3" t="s">
        <v>247</v>
      </c>
      <c r="E248" s="3" t="n">
        <v>1</v>
      </c>
      <c r="F248" s="12" t="n">
        <v>0.8551</v>
      </c>
      <c r="G248" s="12" t="n">
        <v>0.6</v>
      </c>
      <c r="H248" s="12" t="n">
        <v>0.75</v>
      </c>
      <c r="I248" s="12" t="n">
        <v>0.7116</v>
      </c>
      <c r="J248" s="12" t="n">
        <v>0.4511</v>
      </c>
      <c r="K248" s="12" t="n">
        <v>0.5662</v>
      </c>
      <c r="L248" s="3" t="n">
        <v>3.74</v>
      </c>
      <c r="M248" s="12" t="n">
        <f aca="false">Z248-W248</f>
        <v>0.121219</v>
      </c>
      <c r="N248" s="12" t="n">
        <f aca="false">IFERROR((Z248-J248)/L248,"")</f>
        <v>0.0307804812834225</v>
      </c>
      <c r="O248" s="3" t="n">
        <v>19</v>
      </c>
      <c r="P248" s="13" t="b">
        <f aca="false">FALSE()</f>
        <v>0</v>
      </c>
      <c r="Q248" s="3" t="s">
        <v>166</v>
      </c>
      <c r="R248" s="12" t="n">
        <v>0.7629</v>
      </c>
      <c r="S248" s="12" t="n">
        <v>0.7492</v>
      </c>
      <c r="T248" s="3" t="n">
        <v>0.0742</v>
      </c>
      <c r="U248" s="12" t="n">
        <v>0.3401</v>
      </c>
      <c r="V248" s="12" t="n">
        <v>0.4391</v>
      </c>
      <c r="W248" s="12" t="n">
        <v>0.445</v>
      </c>
      <c r="X248" s="3" t="n">
        <v>0.597</v>
      </c>
      <c r="Y248" s="3" t="n">
        <v>0.6875</v>
      </c>
      <c r="Z248" s="14" t="n">
        <f aca="false">Assumptions!$B$3*R248+Assumptions!$B$4*S248+IF(AA248=1,Assumptions!$B$11,Assumptions!$B$5)*X248+IF(AA248=1,Assumptions!$B$12,Assumptions!$B$6)*T248+Assumptions!$B$7*U248+Assumptions!$B$8*V248+Assumptions!$B$9*Y248</f>
        <v>0.566219</v>
      </c>
      <c r="AA248" s="3" t="n">
        <v>0</v>
      </c>
    </row>
    <row r="249" customFormat="false" ht="15" hidden="false" customHeight="false" outlineLevel="0" collapsed="false">
      <c r="A249" s="3" t="s">
        <v>434</v>
      </c>
      <c r="B249" s="3" t="n">
        <v>405</v>
      </c>
      <c r="C249" s="11" t="str">
        <f aca="false">IF(M249&gt;=Assumptions!$B$17,"S+",IF(M249&gt;=Assumptions!$B$18,"S",IF(M249&gt;=Assumptions!$B$19,"A",IF(M249&gt;=Assumptions!$B$20,"B",IF(M249&gt;=Assumptions!$B$21,"C",IF(M249&gt;=Assumptions!$B$22,"D","F"))))))</f>
        <v>B</v>
      </c>
      <c r="D249" s="3" t="s">
        <v>169</v>
      </c>
      <c r="E249" s="3" t="n">
        <v>1</v>
      </c>
      <c r="F249" s="12" t="n">
        <v>0.7526</v>
      </c>
      <c r="G249" s="12" t="n">
        <v>0.6</v>
      </c>
      <c r="H249" s="12" t="n">
        <v>0.4345</v>
      </c>
      <c r="I249" s="12" t="n">
        <v>0.5974</v>
      </c>
      <c r="J249" s="12" t="n">
        <v>0.3978</v>
      </c>
      <c r="K249" s="12" t="n">
        <v>0.5805</v>
      </c>
      <c r="L249" s="3" t="n">
        <v>3.68</v>
      </c>
      <c r="M249" s="12" t="n">
        <f aca="false">Z249-W249</f>
        <v>0.120838</v>
      </c>
      <c r="N249" s="12" t="n">
        <f aca="false">IFERROR((Z249-J249)/L249,"")</f>
        <v>0.0496570652173913</v>
      </c>
      <c r="O249" s="3" t="n">
        <v>19</v>
      </c>
      <c r="P249" s="13" t="b">
        <f aca="false">FALSE()</f>
        <v>0</v>
      </c>
      <c r="Q249" s="3" t="s">
        <v>166</v>
      </c>
      <c r="R249" s="12" t="n">
        <v>0.5647</v>
      </c>
      <c r="S249" s="12" t="n">
        <v>0.6012</v>
      </c>
      <c r="T249" s="3" t="n">
        <v>0.2998</v>
      </c>
      <c r="U249" s="12" t="n">
        <v>0.4899</v>
      </c>
      <c r="V249" s="12" t="n">
        <v>0.4738</v>
      </c>
      <c r="W249" s="12" t="n">
        <v>0.4597</v>
      </c>
      <c r="X249" s="3" t="n">
        <v>0.7139</v>
      </c>
      <c r="Y249" s="3" t="n">
        <v>0.591</v>
      </c>
      <c r="Z249" s="14" t="n">
        <f aca="false">Assumptions!$B$3*R249+Assumptions!$B$4*S249+IF(AA249=1,Assumptions!$B$11,Assumptions!$B$5)*X249+IF(AA249=1,Assumptions!$B$12,Assumptions!$B$6)*T249+Assumptions!$B$7*U249+Assumptions!$B$8*V249+Assumptions!$B$9*Y249</f>
        <v>0.580538</v>
      </c>
      <c r="AA249" s="3" t="n">
        <v>1</v>
      </c>
    </row>
    <row r="250" customFormat="false" ht="15" hidden="false" customHeight="false" outlineLevel="0" collapsed="false">
      <c r="A250" s="3" t="s">
        <v>435</v>
      </c>
      <c r="B250" s="3" t="n">
        <v>314</v>
      </c>
      <c r="C250" s="11" t="str">
        <f aca="false">IF(M250&gt;=Assumptions!$B$17,"S+",IF(M250&gt;=Assumptions!$B$18,"S",IF(M250&gt;=Assumptions!$B$19,"A",IF(M250&gt;=Assumptions!$B$20,"B",IF(M250&gt;=Assumptions!$B$21,"C",IF(M250&gt;=Assumptions!$B$22,"D","F"))))))</f>
        <v>B</v>
      </c>
      <c r="D250" s="3" t="s">
        <v>169</v>
      </c>
      <c r="E250" s="3" t="n">
        <v>1</v>
      </c>
      <c r="F250" s="12" t="n">
        <v>0.5104</v>
      </c>
      <c r="G250" s="12" t="n">
        <v>0.6</v>
      </c>
      <c r="H250" s="12" t="n">
        <v>0.5476</v>
      </c>
      <c r="I250" s="12" t="n">
        <v>0.5716</v>
      </c>
      <c r="J250" s="12" t="n">
        <v>0.2897</v>
      </c>
      <c r="K250" s="12" t="n">
        <v>0.5607</v>
      </c>
      <c r="L250" s="3" t="n">
        <v>5.71</v>
      </c>
      <c r="M250" s="12" t="n">
        <f aca="false">Z250-W250</f>
        <v>0.120641</v>
      </c>
      <c r="N250" s="12" t="n">
        <f aca="false">IFERROR((Z250-J250)/L250,"")</f>
        <v>0.0474677758318739</v>
      </c>
      <c r="O250" s="3" t="n">
        <v>19</v>
      </c>
      <c r="P250" s="13" t="b">
        <f aca="false">FALSE()</f>
        <v>0</v>
      </c>
      <c r="Q250" s="3" t="s">
        <v>166</v>
      </c>
      <c r="R250" s="12" t="n">
        <v>0.643</v>
      </c>
      <c r="S250" s="12" t="n">
        <v>0.5188</v>
      </c>
      <c r="T250" s="3" t="n">
        <v>0.1116</v>
      </c>
      <c r="U250" s="12" t="n">
        <v>0.5547</v>
      </c>
      <c r="V250" s="12" t="n">
        <v>0.4905</v>
      </c>
      <c r="W250" s="12" t="n">
        <v>0.4401</v>
      </c>
      <c r="X250" s="3" t="n">
        <v>0.6098</v>
      </c>
      <c r="Y250" s="3" t="n">
        <v>0.555</v>
      </c>
      <c r="Z250" s="14" t="n">
        <f aca="false">Assumptions!$B$3*R250+Assumptions!$B$4*S250+IF(AA250=1,Assumptions!$B$11,Assumptions!$B$5)*X250+IF(AA250=1,Assumptions!$B$12,Assumptions!$B$6)*T250+Assumptions!$B$7*U250+Assumptions!$B$8*V250+Assumptions!$B$9*Y250</f>
        <v>0.560741</v>
      </c>
      <c r="AA250" s="3" t="n">
        <v>1</v>
      </c>
    </row>
    <row r="251" customFormat="false" ht="15" hidden="false" customHeight="false" outlineLevel="0" collapsed="false">
      <c r="A251" s="3" t="s">
        <v>436</v>
      </c>
      <c r="B251" s="3" t="n">
        <v>550</v>
      </c>
      <c r="C251" s="11" t="str">
        <f aca="false">IF(M251&gt;=Assumptions!$B$17,"S+",IF(M251&gt;=Assumptions!$B$18,"S",IF(M251&gt;=Assumptions!$B$19,"A",IF(M251&gt;=Assumptions!$B$20,"B",IF(M251&gt;=Assumptions!$B$21,"C",IF(M251&gt;=Assumptions!$B$22,"D","F"))))))</f>
        <v>B</v>
      </c>
      <c r="D251" s="3" t="s">
        <v>190</v>
      </c>
      <c r="E251" s="3" t="n">
        <v>7</v>
      </c>
      <c r="F251" s="12" t="n">
        <v>0.894</v>
      </c>
      <c r="G251" s="12" t="n">
        <v>0.6</v>
      </c>
      <c r="H251" s="12" t="n">
        <v>0.75</v>
      </c>
      <c r="I251" s="12" t="n">
        <v>0.7417</v>
      </c>
      <c r="J251" s="12" t="n">
        <v>0.434</v>
      </c>
      <c r="K251" s="12" t="n">
        <v>0.5976</v>
      </c>
      <c r="L251" s="3" t="n">
        <v>4</v>
      </c>
      <c r="M251" s="12" t="n">
        <f aca="false">Z251-W251</f>
        <v>0.120625</v>
      </c>
      <c r="N251" s="12" t="n">
        <f aca="false">IFERROR((Z251-J251)/L251,"")</f>
        <v>0.04088125</v>
      </c>
      <c r="O251" s="3" t="n">
        <v>13</v>
      </c>
      <c r="P251" s="13" t="b">
        <f aca="false">FALSE()</f>
        <v>0</v>
      </c>
      <c r="Q251" s="3" t="s">
        <v>166</v>
      </c>
      <c r="R251" s="12" t="n">
        <v>0.7986</v>
      </c>
      <c r="S251" s="12" t="n">
        <v>0.5383</v>
      </c>
      <c r="T251" s="3" t="n">
        <v>0.4476</v>
      </c>
      <c r="U251" s="12" t="n">
        <v>0.6095</v>
      </c>
      <c r="V251" s="12" t="n">
        <v>0.45</v>
      </c>
      <c r="W251" s="12" t="n">
        <v>0.4769</v>
      </c>
      <c r="X251" s="3" t="n">
        <v>0.4417</v>
      </c>
      <c r="Y251" s="3" t="n">
        <v>0.7431</v>
      </c>
      <c r="Z251" s="14" t="n">
        <f aca="false">Assumptions!$B$3*R251+Assumptions!$B$4*S251+IF(AA251=1,Assumptions!$B$11,Assumptions!$B$5)*X251+IF(AA251=1,Assumptions!$B$12,Assumptions!$B$6)*T251+Assumptions!$B$7*U251+Assumptions!$B$8*V251+Assumptions!$B$9*Y251</f>
        <v>0.597525</v>
      </c>
      <c r="AA251" s="3" t="n">
        <v>0</v>
      </c>
    </row>
    <row r="252" customFormat="false" ht="15" hidden="false" customHeight="false" outlineLevel="0" collapsed="false">
      <c r="A252" s="3" t="s">
        <v>437</v>
      </c>
      <c r="B252" s="3" t="n">
        <v>580</v>
      </c>
      <c r="C252" s="11" t="str">
        <f aca="false">IF(M252&gt;=Assumptions!$B$17,"S+",IF(M252&gt;=Assumptions!$B$18,"S",IF(M252&gt;=Assumptions!$B$19,"A",IF(M252&gt;=Assumptions!$B$20,"B",IF(M252&gt;=Assumptions!$B$21,"C",IF(M252&gt;=Assumptions!$B$22,"D","F"))))))</f>
        <v>B</v>
      </c>
      <c r="D252" s="3" t="s">
        <v>190</v>
      </c>
      <c r="E252" s="3" t="n">
        <v>13</v>
      </c>
      <c r="F252" s="12" t="n">
        <v>0.8356</v>
      </c>
      <c r="G252" s="12" t="n">
        <v>0.4</v>
      </c>
      <c r="H252" s="12" t="n">
        <v>0.75</v>
      </c>
      <c r="I252" s="12" t="n">
        <v>0.6355</v>
      </c>
      <c r="J252" s="12" t="n">
        <v>0.4209</v>
      </c>
      <c r="K252" s="12" t="n">
        <v>0.5886</v>
      </c>
      <c r="L252" s="3" t="n">
        <v>4</v>
      </c>
      <c r="M252" s="12" t="n">
        <f aca="false">Z252-W252</f>
        <v>0.120578</v>
      </c>
      <c r="N252" s="12" t="n">
        <f aca="false">IFERROR((Z252-J252)/L252,"")</f>
        <v>0.0419195</v>
      </c>
      <c r="O252" s="3" t="n">
        <v>7</v>
      </c>
      <c r="P252" s="13" t="b">
        <f aca="false">FALSE()</f>
        <v>0</v>
      </c>
      <c r="Q252" s="3" t="s">
        <v>166</v>
      </c>
      <c r="R252" s="12" t="n">
        <v>0.9035</v>
      </c>
      <c r="S252" s="12" t="n">
        <v>0.4599</v>
      </c>
      <c r="T252" s="3" t="n">
        <v>0.3452</v>
      </c>
      <c r="U252" s="12" t="n">
        <v>0.3846</v>
      </c>
      <c r="V252" s="12" t="n">
        <v>0.4273</v>
      </c>
      <c r="W252" s="12" t="n">
        <v>0.468</v>
      </c>
      <c r="X252" s="3" t="n">
        <v>0.5886</v>
      </c>
      <c r="Y252" s="3" t="n">
        <v>0.6362</v>
      </c>
      <c r="Z252" s="14" t="n">
        <f aca="false">Assumptions!$B$3*R252+Assumptions!$B$4*S252+IF(AA252=1,Assumptions!$B$11,Assumptions!$B$5)*X252+IF(AA252=1,Assumptions!$B$12,Assumptions!$B$6)*T252+Assumptions!$B$7*U252+Assumptions!$B$8*V252+Assumptions!$B$9*Y252</f>
        <v>0.588578</v>
      </c>
      <c r="AA252" s="3" t="n">
        <v>0</v>
      </c>
    </row>
    <row r="253" customFormat="false" ht="15" hidden="false" customHeight="false" outlineLevel="0" collapsed="false">
      <c r="A253" s="3" t="s">
        <v>438</v>
      </c>
      <c r="B253" s="3" t="n">
        <v>446</v>
      </c>
      <c r="C253" s="11" t="str">
        <f aca="false">IF(M253&gt;=Assumptions!$B$17,"S+",IF(M253&gt;=Assumptions!$B$18,"S",IF(M253&gt;=Assumptions!$B$19,"A",IF(M253&gt;=Assumptions!$B$20,"B",IF(M253&gt;=Assumptions!$B$21,"C",IF(M253&gt;=Assumptions!$B$22,"D","F"))))))</f>
        <v>B</v>
      </c>
      <c r="D253" s="3" t="s">
        <v>203</v>
      </c>
      <c r="E253" s="3" t="n">
        <v>4</v>
      </c>
      <c r="F253" s="12" t="n">
        <v>0.4541</v>
      </c>
      <c r="G253" s="12" t="n">
        <v>1</v>
      </c>
      <c r="H253" s="12" t="n">
        <v>0.75</v>
      </c>
      <c r="I253" s="12" t="n">
        <v>0.7862</v>
      </c>
      <c r="J253" s="12" t="n">
        <v>0.4088</v>
      </c>
      <c r="K253" s="12" t="n">
        <v>0.5831</v>
      </c>
      <c r="L253" s="3" t="n">
        <v>3.88</v>
      </c>
      <c r="M253" s="12" t="n">
        <f aca="false">Z253-W253</f>
        <v>0.12045</v>
      </c>
      <c r="N253" s="12" t="n">
        <f aca="false">IFERROR((Z253-J253)/L253,"")</f>
        <v>0.0449355670103093</v>
      </c>
      <c r="O253" s="3" t="n">
        <v>16</v>
      </c>
      <c r="P253" s="13" t="b">
        <f aca="false">FALSE()</f>
        <v>0</v>
      </c>
      <c r="Q253" s="3" t="s">
        <v>201</v>
      </c>
      <c r="R253" s="12" t="n">
        <v>0.6074</v>
      </c>
      <c r="S253" s="12" t="n">
        <v>0.5407</v>
      </c>
      <c r="T253" s="3" t="n">
        <v>0.4443</v>
      </c>
      <c r="U253" s="12" t="n">
        <v>0.5385</v>
      </c>
      <c r="V253" s="12" t="n">
        <v>0.4651</v>
      </c>
      <c r="W253" s="12" t="n">
        <v>0.4627</v>
      </c>
      <c r="X253" s="3" t="n">
        <v>0.6724</v>
      </c>
      <c r="Y253" s="3" t="n">
        <v>0.7821</v>
      </c>
      <c r="Z253" s="14" t="n">
        <f aca="false">Assumptions!$B$3*R253+Assumptions!$B$4*S253+IF(AA253=1,Assumptions!$B$11,Assumptions!$B$5)*X253+IF(AA253=1,Assumptions!$B$12,Assumptions!$B$6)*T253+Assumptions!$B$7*U253+Assumptions!$B$8*V253+Assumptions!$B$9*Y253</f>
        <v>0.58315</v>
      </c>
      <c r="AA253" s="3" t="n">
        <v>0</v>
      </c>
    </row>
    <row r="254" customFormat="false" ht="15" hidden="false" customHeight="false" outlineLevel="0" collapsed="false">
      <c r="A254" s="3" t="s">
        <v>439</v>
      </c>
      <c r="B254" s="3" t="n">
        <v>535</v>
      </c>
      <c r="C254" s="11" t="str">
        <f aca="false">IF(M254&gt;=Assumptions!$B$17,"S+",IF(M254&gt;=Assumptions!$B$18,"S",IF(M254&gt;=Assumptions!$B$19,"A",IF(M254&gt;=Assumptions!$B$20,"B",IF(M254&gt;=Assumptions!$B$21,"C",IF(M254&gt;=Assumptions!$B$22,"D","F"))))))</f>
        <v>B</v>
      </c>
      <c r="D254" s="3" t="s">
        <v>173</v>
      </c>
      <c r="E254" s="3" t="n">
        <v>7</v>
      </c>
      <c r="F254" s="12" t="n">
        <v>0.548</v>
      </c>
      <c r="G254" s="12" t="n">
        <v>0.6</v>
      </c>
      <c r="H254" s="12" t="n">
        <v>0.75</v>
      </c>
      <c r="I254" s="12" t="n">
        <v>0.6206</v>
      </c>
      <c r="J254" s="12" t="n">
        <v>0.3723</v>
      </c>
      <c r="K254" s="12" t="n">
        <v>0.5954</v>
      </c>
      <c r="L254" s="3" t="n">
        <v>4</v>
      </c>
      <c r="M254" s="12" t="n">
        <f aca="false">Z254-W254</f>
        <v>0.120397</v>
      </c>
      <c r="N254" s="12" t="n">
        <f aca="false">IFERROR((Z254-J254)/L254,"")</f>
        <v>0.05577425</v>
      </c>
      <c r="O254" s="3" t="n">
        <v>13</v>
      </c>
      <c r="P254" s="13" t="b">
        <f aca="false">FALSE()</f>
        <v>0</v>
      </c>
      <c r="Q254" s="3" t="s">
        <v>166</v>
      </c>
      <c r="R254" s="12" t="n">
        <v>0.7833</v>
      </c>
      <c r="S254" s="12" t="n">
        <v>0.6676</v>
      </c>
      <c r="T254" s="3" t="n">
        <v>0.1254</v>
      </c>
      <c r="U254" s="12" t="n">
        <v>0.4201</v>
      </c>
      <c r="V254" s="12" t="n">
        <v>0.4895</v>
      </c>
      <c r="W254" s="12" t="n">
        <v>0.475</v>
      </c>
      <c r="X254" s="3" t="n">
        <v>0.7481</v>
      </c>
      <c r="Y254" s="3" t="n">
        <v>0.61</v>
      </c>
      <c r="Z254" s="14" t="n">
        <f aca="false">Assumptions!$B$3*R254+Assumptions!$B$4*S254+IF(AA254=1,Assumptions!$B$11,Assumptions!$B$5)*X254+IF(AA254=1,Assumptions!$B$12,Assumptions!$B$6)*T254+Assumptions!$B$7*U254+Assumptions!$B$8*V254+Assumptions!$B$9*Y254</f>
        <v>0.595397</v>
      </c>
      <c r="AA254" s="3" t="n">
        <v>0</v>
      </c>
    </row>
    <row r="255" customFormat="false" ht="15" hidden="false" customHeight="false" outlineLevel="0" collapsed="false">
      <c r="A255" s="3" t="s">
        <v>440</v>
      </c>
      <c r="B255" s="3" t="n">
        <v>530</v>
      </c>
      <c r="C255" s="11" t="str">
        <f aca="false">IF(M255&gt;=Assumptions!$B$17,"S+",IF(M255&gt;=Assumptions!$B$18,"S",IF(M255&gt;=Assumptions!$B$19,"A",IF(M255&gt;=Assumptions!$B$20,"B",IF(M255&gt;=Assumptions!$B$21,"C",IF(M255&gt;=Assumptions!$B$22,"D","F"))))))</f>
        <v>B</v>
      </c>
      <c r="D255" s="3" t="s">
        <v>218</v>
      </c>
      <c r="E255" s="3" t="n">
        <v>1</v>
      </c>
      <c r="F255" s="12" t="n">
        <v>0.8036</v>
      </c>
      <c r="G255" s="12" t="n">
        <v>0.8</v>
      </c>
      <c r="H255" s="12" t="n">
        <v>0.75</v>
      </c>
      <c r="I255" s="12" t="n">
        <v>0.7911</v>
      </c>
      <c r="J255" s="12" t="n">
        <v>0.4882</v>
      </c>
      <c r="K255" s="12" t="n">
        <v>0.6289</v>
      </c>
      <c r="L255" s="3" t="n">
        <v>3.53</v>
      </c>
      <c r="M255" s="12" t="n">
        <f aca="false">Z255-W255</f>
        <v>0.120267</v>
      </c>
      <c r="N255" s="12" t="n">
        <f aca="false">IFERROR((Z255-J255)/L255,"")</f>
        <v>0.0398490084985836</v>
      </c>
      <c r="O255" s="3" t="n">
        <v>19</v>
      </c>
      <c r="P255" s="13" t="b">
        <f aca="false">FALSE()</f>
        <v>0</v>
      </c>
      <c r="Q255" s="3" t="s">
        <v>201</v>
      </c>
      <c r="R255" s="12" t="n">
        <v>0.9116</v>
      </c>
      <c r="S255" s="12" t="n">
        <v>0.7025</v>
      </c>
      <c r="T255" s="3" t="n">
        <v>0.3552</v>
      </c>
      <c r="U255" s="12" t="n">
        <v>0.4737</v>
      </c>
      <c r="V255" s="12" t="n">
        <v>0.5508</v>
      </c>
      <c r="W255" s="12" t="n">
        <v>0.5086</v>
      </c>
      <c r="X255" s="3" t="n">
        <v>0.3669</v>
      </c>
      <c r="Y255" s="3" t="n">
        <v>0.7719</v>
      </c>
      <c r="Z255" s="14" t="n">
        <f aca="false">Assumptions!$B$3*R255+Assumptions!$B$4*S255+IF(AA255=1,Assumptions!$B$11,Assumptions!$B$5)*X255+IF(AA255=1,Assumptions!$B$12,Assumptions!$B$6)*T255+Assumptions!$B$7*U255+Assumptions!$B$8*V255+Assumptions!$B$9*Y255</f>
        <v>0.628867</v>
      </c>
      <c r="AA255" s="3" t="n">
        <v>0</v>
      </c>
    </row>
    <row r="256" customFormat="false" ht="15" hidden="false" customHeight="false" outlineLevel="0" collapsed="false">
      <c r="A256" s="3" t="s">
        <v>441</v>
      </c>
      <c r="B256" s="3" t="n">
        <v>490</v>
      </c>
      <c r="C256" s="11" t="str">
        <f aca="false">IF(M256&gt;=Assumptions!$B$17,"S+",IF(M256&gt;=Assumptions!$B$18,"S",IF(M256&gt;=Assumptions!$B$19,"A",IF(M256&gt;=Assumptions!$B$20,"B",IF(M256&gt;=Assumptions!$B$21,"C",IF(M256&gt;=Assumptions!$B$22,"D","F"))))))</f>
        <v>B</v>
      </c>
      <c r="D256" s="3" t="s">
        <v>197</v>
      </c>
      <c r="E256" s="3" t="n">
        <v>3</v>
      </c>
      <c r="F256" s="12" t="n">
        <v>0.9183</v>
      </c>
      <c r="G256" s="12" t="n">
        <v>1</v>
      </c>
      <c r="H256" s="12" t="n">
        <v>0.75</v>
      </c>
      <c r="I256" s="12" t="n">
        <v>0.919</v>
      </c>
      <c r="J256" s="12" t="n">
        <v>0.4621</v>
      </c>
      <c r="K256" s="12" t="n">
        <v>0.6242</v>
      </c>
      <c r="L256" s="3" t="n">
        <v>4.94</v>
      </c>
      <c r="M256" s="12" t="n">
        <f aca="false">Z256-W256</f>
        <v>0.12037</v>
      </c>
      <c r="N256" s="12" t="n">
        <f aca="false">IFERROR((Z256-J256)/L256,"")</f>
        <v>0.0328076923076923</v>
      </c>
      <c r="O256" s="3" t="n">
        <v>17</v>
      </c>
      <c r="P256" s="13" t="b">
        <f aca="false">FALSE()</f>
        <v>0</v>
      </c>
      <c r="Q256" s="3" t="s">
        <v>166</v>
      </c>
      <c r="R256" s="12" t="n">
        <v>0.7717</v>
      </c>
      <c r="S256" s="12" t="n">
        <v>0.5522</v>
      </c>
      <c r="T256" s="3" t="n">
        <v>0.6971</v>
      </c>
      <c r="U256" s="12" t="n">
        <v>0.4298</v>
      </c>
      <c r="V256" s="12" t="n">
        <v>0.5578</v>
      </c>
      <c r="W256" s="12" t="n">
        <v>0.5038</v>
      </c>
      <c r="X256" s="3" t="n">
        <v>0.4013</v>
      </c>
      <c r="Y256" s="3" t="n">
        <v>0.885</v>
      </c>
      <c r="Z256" s="14" t="n">
        <f aca="false">Assumptions!$B$3*R256+Assumptions!$B$4*S256+IF(AA256=1,Assumptions!$B$11,Assumptions!$B$5)*X256+IF(AA256=1,Assumptions!$B$12,Assumptions!$B$6)*T256+Assumptions!$B$7*U256+Assumptions!$B$8*V256+Assumptions!$B$9*Y256</f>
        <v>0.62417</v>
      </c>
      <c r="AA256" s="3" t="n">
        <v>0</v>
      </c>
    </row>
    <row r="257" customFormat="false" ht="15" hidden="false" customHeight="false" outlineLevel="0" collapsed="false">
      <c r="A257" s="3" t="s">
        <v>442</v>
      </c>
      <c r="B257" s="3" t="n">
        <v>509</v>
      </c>
      <c r="C257" s="11" t="str">
        <f aca="false">IF(M257&gt;=Assumptions!$B$17,"S+",IF(M257&gt;=Assumptions!$B$18,"S",IF(M257&gt;=Assumptions!$B$19,"A",IF(M257&gt;=Assumptions!$B$20,"B",IF(M257&gt;=Assumptions!$B$21,"C",IF(M257&gt;=Assumptions!$B$22,"D","F"))))))</f>
        <v>B</v>
      </c>
      <c r="D257" s="3" t="s">
        <v>190</v>
      </c>
      <c r="E257" s="3" t="n">
        <v>7</v>
      </c>
      <c r="F257" s="12" t="n">
        <v>0.5662</v>
      </c>
      <c r="G257" s="12" t="n">
        <v>0.8</v>
      </c>
      <c r="H257" s="12" t="n">
        <v>0.75</v>
      </c>
      <c r="I257" s="12" t="n">
        <v>0.7012</v>
      </c>
      <c r="J257" s="12" t="n">
        <v>0.3528</v>
      </c>
      <c r="K257" s="12" t="n">
        <v>0.5971</v>
      </c>
      <c r="L257" s="3" t="n">
        <v>4.54</v>
      </c>
      <c r="M257" s="12" t="n">
        <f aca="false">Z257-W257</f>
        <v>0.120215</v>
      </c>
      <c r="N257" s="12" t="n">
        <f aca="false">IFERROR((Z257-J257)/L257,"")</f>
        <v>0.0538138766519824</v>
      </c>
      <c r="O257" s="3" t="n">
        <v>13</v>
      </c>
      <c r="P257" s="13" t="b">
        <f aca="false">FALSE()</f>
        <v>0</v>
      </c>
      <c r="Q257" s="3" t="s">
        <v>166</v>
      </c>
      <c r="R257" s="12" t="n">
        <v>0.8033</v>
      </c>
      <c r="S257" s="12" t="n">
        <v>0.6108</v>
      </c>
      <c r="T257" s="3" t="n">
        <v>0.1739</v>
      </c>
      <c r="U257" s="12" t="n">
        <v>0.426</v>
      </c>
      <c r="V257" s="12" t="n">
        <v>0.4895</v>
      </c>
      <c r="W257" s="12" t="n">
        <v>0.4769</v>
      </c>
      <c r="X257" s="3" t="n">
        <v>0.6809</v>
      </c>
      <c r="Y257" s="3" t="n">
        <v>0.7038</v>
      </c>
      <c r="Z257" s="14" t="n">
        <f aca="false">Assumptions!$B$3*R257+Assumptions!$B$4*S257+IF(AA257=1,Assumptions!$B$11,Assumptions!$B$5)*X257+IF(AA257=1,Assumptions!$B$12,Assumptions!$B$6)*T257+Assumptions!$B$7*U257+Assumptions!$B$8*V257+Assumptions!$B$9*Y257</f>
        <v>0.597115</v>
      </c>
      <c r="AA257" s="3" t="n">
        <v>0</v>
      </c>
    </row>
    <row r="258" customFormat="false" ht="15" hidden="false" customHeight="false" outlineLevel="0" collapsed="false">
      <c r="A258" s="3" t="s">
        <v>443</v>
      </c>
      <c r="B258" s="3" t="n">
        <v>605</v>
      </c>
      <c r="C258" s="11" t="str">
        <f aca="false">IF(M258&gt;=Assumptions!$B$17,"S+",IF(M258&gt;=Assumptions!$B$18,"S",IF(M258&gt;=Assumptions!$B$19,"A",IF(M258&gt;=Assumptions!$B$20,"B",IF(M258&gt;=Assumptions!$B$21,"C",IF(M258&gt;=Assumptions!$B$22,"D","F"))))))</f>
        <v>B</v>
      </c>
      <c r="D258" s="3" t="s">
        <v>218</v>
      </c>
      <c r="E258" s="3" t="n">
        <v>5</v>
      </c>
      <c r="F258" s="12" t="n">
        <v>0.8961</v>
      </c>
      <c r="G258" s="12" t="n">
        <v>0.4</v>
      </c>
      <c r="H258" s="12" t="n">
        <v>0.75</v>
      </c>
      <c r="I258" s="12" t="n">
        <v>0.6288</v>
      </c>
      <c r="J258" s="12" t="n">
        <v>0.4929</v>
      </c>
      <c r="K258" s="12" t="n">
        <v>0.6245</v>
      </c>
      <c r="L258" s="3" t="n">
        <v>3.93</v>
      </c>
      <c r="M258" s="12" t="n">
        <f aca="false">Z258-W258</f>
        <v>0.120202</v>
      </c>
      <c r="N258" s="12" t="n">
        <f aca="false">IFERROR((Z258-J258)/L258,"")</f>
        <v>0.033486513994911</v>
      </c>
      <c r="O258" s="3" t="n">
        <v>15</v>
      </c>
      <c r="P258" s="13" t="b">
        <f aca="false">FALSE()</f>
        <v>0</v>
      </c>
      <c r="Q258" s="3" t="s">
        <v>166</v>
      </c>
      <c r="R258" s="12" t="n">
        <v>0.9062</v>
      </c>
      <c r="S258" s="12" t="n">
        <v>0.6755</v>
      </c>
      <c r="T258" s="3" t="n">
        <v>0.2677</v>
      </c>
      <c r="U258" s="12" t="n">
        <v>0.3333</v>
      </c>
      <c r="V258" s="12" t="n">
        <v>0.5021</v>
      </c>
      <c r="W258" s="12" t="n">
        <v>0.5043</v>
      </c>
      <c r="X258" s="3" t="n">
        <v>0.6555</v>
      </c>
      <c r="Y258" s="3" t="n">
        <v>0.62</v>
      </c>
      <c r="Z258" s="14" t="n">
        <f aca="false">Assumptions!$B$3*R258+Assumptions!$B$4*S258+IF(AA258=1,Assumptions!$B$11,Assumptions!$B$5)*X258+IF(AA258=1,Assumptions!$B$12,Assumptions!$B$6)*T258+Assumptions!$B$7*U258+Assumptions!$B$8*V258+Assumptions!$B$9*Y258</f>
        <v>0.624502</v>
      </c>
      <c r="AA258" s="3" t="n">
        <v>0</v>
      </c>
    </row>
    <row r="259" customFormat="false" ht="15" hidden="false" customHeight="false" outlineLevel="0" collapsed="false">
      <c r="A259" s="3" t="s">
        <v>444</v>
      </c>
      <c r="B259" s="3" t="n">
        <v>480</v>
      </c>
      <c r="C259" s="11" t="str">
        <f aca="false">IF(M259&gt;=Assumptions!$B$17,"S+",IF(M259&gt;=Assumptions!$B$18,"S",IF(M259&gt;=Assumptions!$B$19,"A",IF(M259&gt;=Assumptions!$B$20,"B",IF(M259&gt;=Assumptions!$B$21,"C",IF(M259&gt;=Assumptions!$B$22,"D","F"))))))</f>
        <v>B</v>
      </c>
      <c r="D259" s="3" t="s">
        <v>173</v>
      </c>
      <c r="E259" s="3" t="n">
        <v>7</v>
      </c>
      <c r="F259" s="12" t="n">
        <v>0.6515</v>
      </c>
      <c r="G259" s="12" t="n">
        <v>0.45</v>
      </c>
      <c r="H259" s="12" t="n">
        <v>0.75</v>
      </c>
      <c r="I259" s="12" t="n">
        <v>0.5463</v>
      </c>
      <c r="J259" s="12" t="n">
        <v>0.2961</v>
      </c>
      <c r="K259" s="12" t="n">
        <v>0.5365</v>
      </c>
      <c r="L259" s="3" t="n">
        <v>4</v>
      </c>
      <c r="M259" s="12" t="n">
        <f aca="false">Z259-W259</f>
        <v>0.119646</v>
      </c>
      <c r="N259" s="12" t="n">
        <f aca="false">IFERROR((Z259-J259)/L259,"")</f>
        <v>0.0601115</v>
      </c>
      <c r="O259" s="3" t="n">
        <v>13</v>
      </c>
      <c r="P259" s="13" t="b">
        <f aca="false">FALSE()</f>
        <v>0</v>
      </c>
      <c r="Q259" s="3" t="s">
        <v>166</v>
      </c>
      <c r="R259" s="12" t="n">
        <v>0.6263</v>
      </c>
      <c r="S259" s="12" t="n">
        <v>0.6251</v>
      </c>
      <c r="T259" s="3" t="n">
        <v>0.1499</v>
      </c>
      <c r="U259" s="12" t="n">
        <v>0.3787</v>
      </c>
      <c r="V259" s="12" t="n">
        <v>0.4981</v>
      </c>
      <c r="W259" s="12" t="n">
        <v>0.4169</v>
      </c>
      <c r="X259" s="3" t="n">
        <v>0.5274</v>
      </c>
      <c r="Y259" s="3" t="n">
        <v>0.5471</v>
      </c>
      <c r="Z259" s="14" t="n">
        <f aca="false">Assumptions!$B$3*R259+Assumptions!$B$4*S259+IF(AA259=1,Assumptions!$B$11,Assumptions!$B$5)*X259+IF(AA259=1,Assumptions!$B$12,Assumptions!$B$6)*T259+Assumptions!$B$7*U259+Assumptions!$B$8*V259+Assumptions!$B$9*Y259</f>
        <v>0.536546</v>
      </c>
      <c r="AA259" s="3" t="n">
        <v>1</v>
      </c>
    </row>
    <row r="260" customFormat="false" ht="15" hidden="false" customHeight="false" outlineLevel="0" collapsed="false">
      <c r="A260" s="3" t="s">
        <v>445</v>
      </c>
      <c r="B260" s="3" t="n">
        <v>480</v>
      </c>
      <c r="C260" s="11" t="str">
        <f aca="false">IF(M260&gt;=Assumptions!$B$17,"S+",IF(M260&gt;=Assumptions!$B$18,"S",IF(M260&gt;=Assumptions!$B$19,"A",IF(M260&gt;=Assumptions!$B$20,"B",IF(M260&gt;=Assumptions!$B$21,"C",IF(M260&gt;=Assumptions!$B$22,"D","F"))))))</f>
        <v>B</v>
      </c>
      <c r="D260" s="3" t="s">
        <v>197</v>
      </c>
      <c r="E260" s="3" t="n">
        <v>6</v>
      </c>
      <c r="F260" s="12" t="n">
        <v>0.7884</v>
      </c>
      <c r="G260" s="12" t="n">
        <v>1</v>
      </c>
      <c r="H260" s="12" t="n">
        <v>0.75</v>
      </c>
      <c r="I260" s="12" t="n">
        <v>0.8696</v>
      </c>
      <c r="J260" s="12" t="n">
        <v>0.3595</v>
      </c>
      <c r="K260" s="12" t="n">
        <v>0.6084</v>
      </c>
      <c r="L260" s="3" t="n">
        <v>6</v>
      </c>
      <c r="M260" s="12" t="n">
        <f aca="false">Z260-W260</f>
        <v>0.119411</v>
      </c>
      <c r="N260" s="12" t="n">
        <f aca="false">IFERROR((Z260-J260)/L260,"")</f>
        <v>0.0414851666666667</v>
      </c>
      <c r="O260" s="3" t="n">
        <v>14</v>
      </c>
      <c r="P260" s="13" t="b">
        <f aca="false">FALSE()</f>
        <v>0</v>
      </c>
      <c r="Q260" s="3" t="s">
        <v>166</v>
      </c>
      <c r="R260" s="12" t="n">
        <v>0.7629</v>
      </c>
      <c r="S260" s="12" t="n">
        <v>0.3532</v>
      </c>
      <c r="T260" s="3" t="n">
        <v>0.5803</v>
      </c>
      <c r="U260" s="12" t="n">
        <v>0.6374</v>
      </c>
      <c r="V260" s="12" t="n">
        <v>0.4755</v>
      </c>
      <c r="W260" s="12" t="n">
        <v>0.489</v>
      </c>
      <c r="X260" s="3" t="n">
        <v>0.5266</v>
      </c>
      <c r="Y260" s="3" t="n">
        <v>0.8714</v>
      </c>
      <c r="Z260" s="14" t="n">
        <f aca="false">Assumptions!$B$3*R260+Assumptions!$B$4*S260+IF(AA260=1,Assumptions!$B$11,Assumptions!$B$5)*X260+IF(AA260=1,Assumptions!$B$12,Assumptions!$B$6)*T260+Assumptions!$B$7*U260+Assumptions!$B$8*V260+Assumptions!$B$9*Y260</f>
        <v>0.608411</v>
      </c>
      <c r="AA260" s="3" t="n">
        <v>0</v>
      </c>
    </row>
    <row r="261" customFormat="false" ht="15" hidden="false" customHeight="false" outlineLevel="0" collapsed="false">
      <c r="A261" s="3" t="s">
        <v>446</v>
      </c>
      <c r="B261" s="3" t="n">
        <v>580</v>
      </c>
      <c r="C261" s="11" t="str">
        <f aca="false">IF(M261&gt;=Assumptions!$B$17,"S+",IF(M261&gt;=Assumptions!$B$18,"S",IF(M261&gt;=Assumptions!$B$19,"A",IF(M261&gt;=Assumptions!$B$20,"B",IF(M261&gt;=Assumptions!$B$21,"C",IF(M261&gt;=Assumptions!$B$22,"D","F"))))))</f>
        <v>B</v>
      </c>
      <c r="D261" s="3" t="s">
        <v>218</v>
      </c>
      <c r="E261" s="3" t="n">
        <v>9</v>
      </c>
      <c r="F261" s="12" t="n">
        <v>0.7797</v>
      </c>
      <c r="G261" s="12" t="n">
        <v>0.6</v>
      </c>
      <c r="H261" s="12" t="n">
        <v>0.75</v>
      </c>
      <c r="I261" s="12" t="n">
        <v>0.6875</v>
      </c>
      <c r="J261" s="12" t="n">
        <v>0.3755</v>
      </c>
      <c r="K261" s="12" t="n">
        <v>0.6291</v>
      </c>
      <c r="L261" s="3" t="n">
        <v>4</v>
      </c>
      <c r="M261" s="12" t="n">
        <f aca="false">Z261-W261</f>
        <v>0.118527</v>
      </c>
      <c r="N261" s="12" t="n">
        <f aca="false">IFERROR((Z261-J261)/L261,"")</f>
        <v>0.06340675</v>
      </c>
      <c r="O261" s="3" t="n">
        <v>11</v>
      </c>
      <c r="P261" s="13" t="b">
        <f aca="false">FALSE()</f>
        <v>0</v>
      </c>
      <c r="Q261" s="3" t="s">
        <v>166</v>
      </c>
      <c r="R261" s="12" t="n">
        <v>0.8066</v>
      </c>
      <c r="S261" s="12" t="n">
        <v>0.603</v>
      </c>
      <c r="T261" s="3" t="n">
        <v>0.3166</v>
      </c>
      <c r="U261" s="12" t="n">
        <v>0.4615</v>
      </c>
      <c r="V261" s="12" t="n">
        <v>0.4751</v>
      </c>
      <c r="W261" s="12" t="n">
        <v>0.5106</v>
      </c>
      <c r="X261" s="3" t="n">
        <v>0.7728</v>
      </c>
      <c r="Y261" s="3" t="n">
        <v>0.6891</v>
      </c>
      <c r="Z261" s="14" t="n">
        <f aca="false">Assumptions!$B$3*R261+Assumptions!$B$4*S261+IF(AA261=1,Assumptions!$B$11,Assumptions!$B$5)*X261+IF(AA261=1,Assumptions!$B$12,Assumptions!$B$6)*T261+Assumptions!$B$7*U261+Assumptions!$B$8*V261+Assumptions!$B$9*Y261</f>
        <v>0.629127</v>
      </c>
      <c r="AA261" s="3" t="n">
        <v>0</v>
      </c>
    </row>
    <row r="262" customFormat="false" ht="15" hidden="false" customHeight="false" outlineLevel="0" collapsed="false">
      <c r="A262" s="3" t="s">
        <v>447</v>
      </c>
      <c r="B262" s="3" t="n">
        <v>495</v>
      </c>
      <c r="C262" s="11" t="str">
        <f aca="false">IF(M262&gt;=Assumptions!$B$17,"S+",IF(M262&gt;=Assumptions!$B$18,"S",IF(M262&gt;=Assumptions!$B$19,"A",IF(M262&gt;=Assumptions!$B$20,"B",IF(M262&gt;=Assumptions!$B$21,"C",IF(M262&gt;=Assumptions!$B$22,"D","F"))))))</f>
        <v>B</v>
      </c>
      <c r="D262" s="3" t="s">
        <v>186</v>
      </c>
      <c r="E262" s="3" t="n">
        <v>6</v>
      </c>
      <c r="F262" s="12" t="n">
        <v>0.5023</v>
      </c>
      <c r="G262" s="12" t="n">
        <v>1</v>
      </c>
      <c r="H262" s="12" t="n">
        <v>0.75</v>
      </c>
      <c r="I262" s="12" t="n">
        <v>0.8604</v>
      </c>
      <c r="J262" s="12" t="n">
        <v>0.3528</v>
      </c>
      <c r="K262" s="12" t="n">
        <v>0.5835</v>
      </c>
      <c r="L262" s="3" t="n">
        <v>4.07</v>
      </c>
      <c r="M262" s="12" t="n">
        <f aca="false">Z262-W262</f>
        <v>0.118123</v>
      </c>
      <c r="N262" s="12" t="n">
        <f aca="false">IFERROR((Z262-J262)/L262,"")</f>
        <v>0.0566886977886978</v>
      </c>
      <c r="O262" s="3" t="n">
        <v>14</v>
      </c>
      <c r="P262" s="13" t="b">
        <f aca="false">FALSE()</f>
        <v>0</v>
      </c>
      <c r="Q262" s="3" t="s">
        <v>166</v>
      </c>
      <c r="R262" s="12" t="n">
        <v>0.7638</v>
      </c>
      <c r="S262" s="12" t="n">
        <v>0.5667</v>
      </c>
      <c r="T262" s="3" t="n">
        <v>0.0455</v>
      </c>
      <c r="U262" s="12" t="n">
        <v>0.489</v>
      </c>
      <c r="V262" s="12" t="n">
        <v>0.3678</v>
      </c>
      <c r="W262" s="12" t="n">
        <v>0.4654</v>
      </c>
      <c r="X262" s="3" t="n">
        <v>0.5408</v>
      </c>
      <c r="Y262" s="3" t="n">
        <v>0.7896</v>
      </c>
      <c r="Z262" s="14" t="n">
        <f aca="false">Assumptions!$B$3*R262+Assumptions!$B$4*S262+IF(AA262=1,Assumptions!$B$11,Assumptions!$B$5)*X262+IF(AA262=1,Assumptions!$B$12,Assumptions!$B$6)*T262+Assumptions!$B$7*U262+Assumptions!$B$8*V262+Assumptions!$B$9*Y262</f>
        <v>0.583523</v>
      </c>
      <c r="AA262" s="3" t="n">
        <v>1</v>
      </c>
    </row>
    <row r="263" customFormat="false" ht="15" hidden="false" customHeight="false" outlineLevel="0" collapsed="false">
      <c r="A263" s="3" t="s">
        <v>448</v>
      </c>
      <c r="B263" s="3" t="n">
        <v>480</v>
      </c>
      <c r="C263" s="11" t="str">
        <f aca="false">IF(M263&gt;=Assumptions!$B$17,"S+",IF(M263&gt;=Assumptions!$B$18,"S",IF(M263&gt;=Assumptions!$B$19,"A",IF(M263&gt;=Assumptions!$B$20,"B",IF(M263&gt;=Assumptions!$B$21,"C",IF(M263&gt;=Assumptions!$B$22,"D","F"))))))</f>
        <v>B</v>
      </c>
      <c r="D263" s="3" t="s">
        <v>183</v>
      </c>
      <c r="E263" s="3" t="n">
        <v>3</v>
      </c>
      <c r="F263" s="12" t="n">
        <v>0.9551</v>
      </c>
      <c r="G263" s="12" t="n">
        <v>0.24</v>
      </c>
      <c r="H263" s="12" t="n">
        <v>0.5456</v>
      </c>
      <c r="I263" s="12" t="n">
        <v>0.5166</v>
      </c>
      <c r="J263" s="12" t="n">
        <v>0.4648</v>
      </c>
      <c r="K263" s="12" t="n">
        <v>0.6124</v>
      </c>
      <c r="L263" s="3" t="n">
        <v>3.79</v>
      </c>
      <c r="M263" s="12" t="n">
        <f aca="false">Z263-W263</f>
        <v>0.117771</v>
      </c>
      <c r="N263" s="12" t="n">
        <f aca="false">IFERROR((Z263-J263)/L263,"")</f>
        <v>0.0389369393139842</v>
      </c>
      <c r="O263" s="3" t="n">
        <v>17</v>
      </c>
      <c r="P263" s="13" t="b">
        <f aca="false">FALSE()</f>
        <v>0</v>
      </c>
      <c r="Q263" s="3" t="s">
        <v>166</v>
      </c>
      <c r="R263" s="12" t="n">
        <v>0.7239</v>
      </c>
      <c r="S263" s="12" t="n">
        <v>0.7148</v>
      </c>
      <c r="T263" s="3" t="n">
        <v>0.1439</v>
      </c>
      <c r="U263" s="12" t="n">
        <v>0.3529</v>
      </c>
      <c r="V263" s="12" t="n">
        <v>0.5449</v>
      </c>
      <c r="W263" s="12" t="n">
        <v>0.4946</v>
      </c>
      <c r="X263" s="3" t="n">
        <v>0.6893</v>
      </c>
      <c r="Y263" s="3" t="n">
        <v>0.5052</v>
      </c>
      <c r="Z263" s="14" t="n">
        <f aca="false">Assumptions!$B$3*R263+Assumptions!$B$4*S263+IF(AA263=1,Assumptions!$B$11,Assumptions!$B$5)*X263+IF(AA263=1,Assumptions!$B$12,Assumptions!$B$6)*T263+Assumptions!$B$7*U263+Assumptions!$B$8*V263+Assumptions!$B$9*Y263</f>
        <v>0.612371</v>
      </c>
      <c r="AA263" s="3" t="n">
        <v>1</v>
      </c>
    </row>
    <row r="264" customFormat="false" ht="15" hidden="false" customHeight="false" outlineLevel="0" collapsed="false">
      <c r="A264" s="3" t="s">
        <v>449</v>
      </c>
      <c r="B264" s="3" t="n">
        <v>485</v>
      </c>
      <c r="C264" s="11" t="str">
        <f aca="false">IF(M264&gt;=Assumptions!$B$17,"S+",IF(M264&gt;=Assumptions!$B$18,"S",IF(M264&gt;=Assumptions!$B$19,"A",IF(M264&gt;=Assumptions!$B$20,"B",IF(M264&gt;=Assumptions!$B$21,"C",IF(M264&gt;=Assumptions!$B$22,"D","F"))))))</f>
        <v>B</v>
      </c>
      <c r="D264" s="3" t="s">
        <v>190</v>
      </c>
      <c r="E264" s="3" t="n">
        <v>6</v>
      </c>
      <c r="F264" s="12" t="n">
        <v>0.899</v>
      </c>
      <c r="G264" s="12" t="n">
        <v>0.6</v>
      </c>
      <c r="H264" s="12" t="n">
        <v>0.75</v>
      </c>
      <c r="I264" s="12" t="n">
        <v>0.7436</v>
      </c>
      <c r="J264" s="12" t="n">
        <v>0.4149</v>
      </c>
      <c r="K264" s="12" t="n">
        <v>0.6063</v>
      </c>
      <c r="L264" s="3" t="n">
        <v>4</v>
      </c>
      <c r="M264" s="12" t="n">
        <f aca="false">Z264-W264</f>
        <v>0.117581</v>
      </c>
      <c r="N264" s="12" t="n">
        <f aca="false">IFERROR((Z264-J264)/L264,"")</f>
        <v>0.04784525</v>
      </c>
      <c r="O264" s="3" t="n">
        <v>14</v>
      </c>
      <c r="P264" s="13" t="b">
        <f aca="false">FALSE()</f>
        <v>0</v>
      </c>
      <c r="Q264" s="3" t="s">
        <v>166</v>
      </c>
      <c r="R264" s="12" t="n">
        <v>0.8961</v>
      </c>
      <c r="S264" s="12" t="n">
        <v>0.5065</v>
      </c>
      <c r="T264" s="3" t="n">
        <v>0.3138</v>
      </c>
      <c r="U264" s="12" t="n">
        <v>0.4561</v>
      </c>
      <c r="V264" s="12" t="n">
        <v>0.4802</v>
      </c>
      <c r="W264" s="12" t="n">
        <v>0.4887</v>
      </c>
      <c r="X264" s="3" t="n">
        <v>0.5467</v>
      </c>
      <c r="Y264" s="3" t="n">
        <v>0.7376</v>
      </c>
      <c r="Z264" s="14" t="n">
        <f aca="false">Assumptions!$B$3*R264+Assumptions!$B$4*S264+IF(AA264=1,Assumptions!$B$11,Assumptions!$B$5)*X264+IF(AA264=1,Assumptions!$B$12,Assumptions!$B$6)*T264+Assumptions!$B$7*U264+Assumptions!$B$8*V264+Assumptions!$B$9*Y264</f>
        <v>0.606281</v>
      </c>
      <c r="AA264" s="3" t="n">
        <v>0</v>
      </c>
    </row>
    <row r="265" customFormat="false" ht="15" hidden="false" customHeight="false" outlineLevel="0" collapsed="false">
      <c r="A265" s="3" t="s">
        <v>450</v>
      </c>
      <c r="B265" s="3" t="n">
        <v>670</v>
      </c>
      <c r="C265" s="11" t="str">
        <f aca="false">IF(M265&gt;=Assumptions!$B$17,"S+",IF(M265&gt;=Assumptions!$B$18,"S",IF(M265&gt;=Assumptions!$B$19,"A",IF(M265&gt;=Assumptions!$B$20,"B",IF(M265&gt;=Assumptions!$B$21,"C",IF(M265&gt;=Assumptions!$B$22,"D","F"))))))</f>
        <v>B</v>
      </c>
      <c r="D265" s="3" t="s">
        <v>218</v>
      </c>
      <c r="E265" s="3" t="n">
        <v>13</v>
      </c>
      <c r="F265" s="12" t="n">
        <v>0.9148</v>
      </c>
      <c r="G265" s="12" t="n">
        <v>0.4</v>
      </c>
      <c r="H265" s="12" t="n">
        <v>0.75</v>
      </c>
      <c r="I265" s="12" t="n">
        <v>0.6347</v>
      </c>
      <c r="J265" s="12" t="n">
        <v>0.4599</v>
      </c>
      <c r="K265" s="12" t="n">
        <v>0.6265</v>
      </c>
      <c r="L265" s="3" t="n">
        <v>4</v>
      </c>
      <c r="M265" s="12" t="n">
        <f aca="false">Z265-W265</f>
        <v>0.117462</v>
      </c>
      <c r="N265" s="12" t="n">
        <f aca="false">IFERROR((Z265-J265)/L265,"")</f>
        <v>0.0416405</v>
      </c>
      <c r="O265" s="3" t="n">
        <v>7</v>
      </c>
      <c r="P265" s="13" t="b">
        <f aca="false">FALSE()</f>
        <v>0</v>
      </c>
      <c r="Q265" s="3" t="s">
        <v>166</v>
      </c>
      <c r="R265" s="12" t="n">
        <v>0.8666</v>
      </c>
      <c r="S265" s="12" t="n">
        <v>0.7279</v>
      </c>
      <c r="T265" s="3" t="n">
        <v>0.1587</v>
      </c>
      <c r="U265" s="12" t="n">
        <v>0.3846</v>
      </c>
      <c r="V265" s="12" t="n">
        <v>0.4669</v>
      </c>
      <c r="W265" s="12" t="n">
        <v>0.509</v>
      </c>
      <c r="X265" s="3" t="n">
        <v>0.7473</v>
      </c>
      <c r="Y265" s="3" t="n">
        <v>0.6353</v>
      </c>
      <c r="Z265" s="14" t="n">
        <f aca="false">Assumptions!$B$3*R265+Assumptions!$B$4*S265+IF(AA265=1,Assumptions!$B$11,Assumptions!$B$5)*X265+IF(AA265=1,Assumptions!$B$12,Assumptions!$B$6)*T265+Assumptions!$B$7*U265+Assumptions!$B$8*V265+Assumptions!$B$9*Y265</f>
        <v>0.626462</v>
      </c>
      <c r="AA265" s="3" t="n">
        <v>0</v>
      </c>
    </row>
    <row r="266" customFormat="false" ht="15" hidden="false" customHeight="false" outlineLevel="0" collapsed="false">
      <c r="A266" s="3" t="s">
        <v>451</v>
      </c>
      <c r="B266" s="3" t="n">
        <v>470</v>
      </c>
      <c r="C266" s="11" t="str">
        <f aca="false">IF(M266&gt;=Assumptions!$B$17,"S+",IF(M266&gt;=Assumptions!$B$18,"S",IF(M266&gt;=Assumptions!$B$19,"A",IF(M266&gt;=Assumptions!$B$20,"B",IF(M266&gt;=Assumptions!$B$21,"C",IF(M266&gt;=Assumptions!$B$22,"D","F"))))))</f>
        <v>B</v>
      </c>
      <c r="D266" s="3" t="s">
        <v>190</v>
      </c>
      <c r="E266" s="3" t="n">
        <v>4</v>
      </c>
      <c r="F266" s="12" t="n">
        <v>0.8137</v>
      </c>
      <c r="G266" s="12" t="n">
        <v>0.8</v>
      </c>
      <c r="H266" s="12" t="n">
        <v>0.75</v>
      </c>
      <c r="I266" s="12" t="n">
        <v>0.7952</v>
      </c>
      <c r="J266" s="12" t="n">
        <v>0.399</v>
      </c>
      <c r="K266" s="12" t="n">
        <v>0.5767</v>
      </c>
      <c r="L266" s="3" t="n">
        <v>4</v>
      </c>
      <c r="M266" s="12" t="n">
        <f aca="false">Z266-W266</f>
        <v>0.117428</v>
      </c>
      <c r="N266" s="12" t="n">
        <f aca="false">IFERROR((Z266-J266)/L266,"")</f>
        <v>0.044432</v>
      </c>
      <c r="O266" s="3" t="n">
        <v>16</v>
      </c>
      <c r="P266" s="13" t="b">
        <f aca="false">FALSE()</f>
        <v>0</v>
      </c>
      <c r="Q266" s="3" t="s">
        <v>166</v>
      </c>
      <c r="R266" s="12" t="n">
        <v>0.6668</v>
      </c>
      <c r="S266" s="12" t="n">
        <v>0.4885</v>
      </c>
      <c r="T266" s="3" t="n">
        <v>0.5207</v>
      </c>
      <c r="U266" s="12" t="n">
        <v>0.4711</v>
      </c>
      <c r="V266" s="12" t="n">
        <v>0.4337</v>
      </c>
      <c r="W266" s="12" t="n">
        <v>0.4593</v>
      </c>
      <c r="X266" s="3" t="n">
        <v>0.6419</v>
      </c>
      <c r="Y266" s="3" t="n">
        <v>0.7008</v>
      </c>
      <c r="Z266" s="14" t="n">
        <f aca="false">Assumptions!$B$3*R266+Assumptions!$B$4*S266+IF(AA266=1,Assumptions!$B$11,Assumptions!$B$5)*X266+IF(AA266=1,Assumptions!$B$12,Assumptions!$B$6)*T266+Assumptions!$B$7*U266+Assumptions!$B$8*V266+Assumptions!$B$9*Y266</f>
        <v>0.576728</v>
      </c>
      <c r="AA266" s="3" t="n">
        <v>0</v>
      </c>
    </row>
    <row r="267" customFormat="false" ht="15" hidden="false" customHeight="false" outlineLevel="0" collapsed="false">
      <c r="A267" s="3" t="s">
        <v>452</v>
      </c>
      <c r="B267" s="3" t="n">
        <v>530</v>
      </c>
      <c r="C267" s="11" t="str">
        <f aca="false">IF(M267&gt;=Assumptions!$B$17,"S+",IF(M267&gt;=Assumptions!$B$18,"S",IF(M267&gt;=Assumptions!$B$19,"A",IF(M267&gt;=Assumptions!$B$20,"B",IF(M267&gt;=Assumptions!$B$21,"C",IF(M267&gt;=Assumptions!$B$22,"D","F"))))))</f>
        <v>B</v>
      </c>
      <c r="D267" s="3" t="s">
        <v>197</v>
      </c>
      <c r="E267" s="3" t="n">
        <v>6</v>
      </c>
      <c r="F267" s="12" t="n">
        <v>0.6059</v>
      </c>
      <c r="G267" s="12" t="n">
        <v>1</v>
      </c>
      <c r="H267" s="12" t="n">
        <v>0.75</v>
      </c>
      <c r="I267" s="12" t="n">
        <v>0.8003</v>
      </c>
      <c r="J267" s="12" t="n">
        <v>0.3418</v>
      </c>
      <c r="K267" s="12" t="n">
        <v>0.6063</v>
      </c>
      <c r="L267" s="3" t="n">
        <v>5</v>
      </c>
      <c r="M267" s="12" t="n">
        <f aca="false">Z267-W267</f>
        <v>0.117307</v>
      </c>
      <c r="N267" s="12" t="n">
        <f aca="false">IFERROR((Z267-J267)/L267,"")</f>
        <v>0.0529014</v>
      </c>
      <c r="O267" s="3" t="n">
        <v>14</v>
      </c>
      <c r="P267" s="13" t="b">
        <f aca="false">FALSE()</f>
        <v>0</v>
      </c>
      <c r="Q267" s="3" t="s">
        <v>166</v>
      </c>
      <c r="R267" s="12" t="n">
        <v>0.8184</v>
      </c>
      <c r="S267" s="12" t="n">
        <v>0.5244</v>
      </c>
      <c r="T267" s="3" t="n">
        <v>0.0911</v>
      </c>
      <c r="U267" s="12" t="n">
        <v>0.5495</v>
      </c>
      <c r="V267" s="12" t="n">
        <v>0.4149</v>
      </c>
      <c r="W267" s="12" t="n">
        <v>0.489</v>
      </c>
      <c r="X267" s="3" t="n">
        <v>0.7692</v>
      </c>
      <c r="Y267" s="3" t="n">
        <v>0.8027</v>
      </c>
      <c r="Z267" s="14" t="n">
        <f aca="false">Assumptions!$B$3*R267+Assumptions!$B$4*S267+IF(AA267=1,Assumptions!$B$11,Assumptions!$B$5)*X267+IF(AA267=1,Assumptions!$B$12,Assumptions!$B$6)*T267+Assumptions!$B$7*U267+Assumptions!$B$8*V267+Assumptions!$B$9*Y267</f>
        <v>0.606307</v>
      </c>
      <c r="AA267" s="3" t="n">
        <v>0</v>
      </c>
    </row>
    <row r="268" customFormat="false" ht="15" hidden="false" customHeight="false" outlineLevel="0" collapsed="false">
      <c r="A268" s="3" t="s">
        <v>453</v>
      </c>
      <c r="B268" s="3" t="n">
        <v>615</v>
      </c>
      <c r="C268" s="11" t="str">
        <f aca="false">IF(M268&gt;=Assumptions!$B$17,"S+",IF(M268&gt;=Assumptions!$B$18,"S",IF(M268&gt;=Assumptions!$B$19,"A",IF(M268&gt;=Assumptions!$B$20,"B",IF(M268&gt;=Assumptions!$B$21,"C",IF(M268&gt;=Assumptions!$B$22,"D","F"))))))</f>
        <v>B</v>
      </c>
      <c r="D268" s="3" t="s">
        <v>253</v>
      </c>
      <c r="E268" s="3" t="n">
        <v>6</v>
      </c>
      <c r="F268" s="12" t="n">
        <v>0.9468</v>
      </c>
      <c r="G268" s="12" t="n">
        <v>1</v>
      </c>
      <c r="H268" s="12" t="n">
        <v>0.75</v>
      </c>
      <c r="I268" s="12" t="n">
        <v>0.933</v>
      </c>
      <c r="J268" s="12" t="n">
        <v>0.3907</v>
      </c>
      <c r="K268" s="12" t="n">
        <v>0.6357</v>
      </c>
      <c r="L268" s="3" t="n">
        <v>4</v>
      </c>
      <c r="M268" s="12" t="n">
        <f aca="false">Z268-W268</f>
        <v>0.116922</v>
      </c>
      <c r="N268" s="12" t="n">
        <f aca="false">IFERROR((Z268-J268)/L268,"")</f>
        <v>0.0612555</v>
      </c>
      <c r="O268" s="3" t="n">
        <v>14</v>
      </c>
      <c r="P268" s="13" t="b">
        <f aca="false">FALSE()</f>
        <v>0</v>
      </c>
      <c r="Q268" s="3" t="s">
        <v>166</v>
      </c>
      <c r="R268" s="12" t="n">
        <v>0.8352</v>
      </c>
      <c r="S268" s="12" t="n">
        <v>0.546</v>
      </c>
      <c r="T268" s="3" t="n">
        <v>0.5754</v>
      </c>
      <c r="U268" s="12" t="n">
        <v>0.5</v>
      </c>
      <c r="V268" s="12" t="n">
        <v>0.4776</v>
      </c>
      <c r="W268" s="12" t="n">
        <v>0.5188</v>
      </c>
      <c r="X268" s="3" t="n">
        <v>0.4756</v>
      </c>
      <c r="Y268" s="3" t="n">
        <v>0.8899</v>
      </c>
      <c r="Z268" s="14" t="n">
        <f aca="false">Assumptions!$B$3*R268+Assumptions!$B$4*S268+IF(AA268=1,Assumptions!$B$11,Assumptions!$B$5)*X268+IF(AA268=1,Assumptions!$B$12,Assumptions!$B$6)*T268+Assumptions!$B$7*U268+Assumptions!$B$8*V268+Assumptions!$B$9*Y268</f>
        <v>0.635722</v>
      </c>
      <c r="AA268" s="3" t="n">
        <v>0</v>
      </c>
    </row>
    <row r="269" customFormat="false" ht="15" hidden="false" customHeight="false" outlineLevel="0" collapsed="false">
      <c r="A269" s="3" t="s">
        <v>454</v>
      </c>
      <c r="B269" s="3" t="n">
        <v>630</v>
      </c>
      <c r="C269" s="11" t="str">
        <f aca="false">IF(M269&gt;=Assumptions!$B$17,"S+",IF(M269&gt;=Assumptions!$B$18,"S",IF(M269&gt;=Assumptions!$B$19,"A",IF(M269&gt;=Assumptions!$B$20,"B",IF(M269&gt;=Assumptions!$B$21,"C",IF(M269&gt;=Assumptions!$B$22,"D","F"))))))</f>
        <v>B</v>
      </c>
      <c r="D269" s="3" t="s">
        <v>228</v>
      </c>
      <c r="E269" s="3" t="n">
        <v>12</v>
      </c>
      <c r="F269" s="12" t="n">
        <v>0.98</v>
      </c>
      <c r="G269" s="12" t="n">
        <v>0.6</v>
      </c>
      <c r="H269" s="12" t="n">
        <v>0.75</v>
      </c>
      <c r="I269" s="12" t="n">
        <v>0.7516</v>
      </c>
      <c r="J269" s="12" t="n">
        <v>0.4073</v>
      </c>
      <c r="K269" s="12" t="n">
        <v>0.5789</v>
      </c>
      <c r="L269" s="3" t="n">
        <v>4</v>
      </c>
      <c r="M269" s="12" t="n">
        <f aca="false">Z269-W269</f>
        <v>0.116988</v>
      </c>
      <c r="N269" s="12" t="n">
        <f aca="false">IFERROR((Z269-J269)/L269,"")</f>
        <v>0.042897</v>
      </c>
      <c r="O269" s="3" t="n">
        <v>8</v>
      </c>
      <c r="P269" s="13" t="b">
        <f aca="false">FALSE()</f>
        <v>0</v>
      </c>
      <c r="Q269" s="3" t="s">
        <v>166</v>
      </c>
      <c r="R269" s="12" t="n">
        <v>0.8989</v>
      </c>
      <c r="S269" s="12" t="n">
        <v>0.464</v>
      </c>
      <c r="T269" s="3" t="n">
        <v>0.2813</v>
      </c>
      <c r="U269" s="12" t="n">
        <v>0.5096</v>
      </c>
      <c r="V269" s="12" t="n">
        <v>0.4286</v>
      </c>
      <c r="W269" s="12" t="n">
        <v>0.4619</v>
      </c>
      <c r="X269" s="3" t="n">
        <v>0.4282</v>
      </c>
      <c r="Y269" s="3" t="n">
        <v>0.752</v>
      </c>
      <c r="Z269" s="14" t="n">
        <f aca="false">Assumptions!$B$3*R269+Assumptions!$B$4*S269+IF(AA269=1,Assumptions!$B$11,Assumptions!$B$5)*X269+IF(AA269=1,Assumptions!$B$12,Assumptions!$B$6)*T269+Assumptions!$B$7*U269+Assumptions!$B$8*V269+Assumptions!$B$9*Y269</f>
        <v>0.578888</v>
      </c>
      <c r="AA269" s="3" t="n">
        <v>0</v>
      </c>
    </row>
    <row r="270" customFormat="false" ht="15" hidden="false" customHeight="false" outlineLevel="0" collapsed="false">
      <c r="A270" s="3" t="s">
        <v>455</v>
      </c>
      <c r="B270" s="3" t="n">
        <v>481</v>
      </c>
      <c r="C270" s="11" t="str">
        <f aca="false">IF(M270&gt;=Assumptions!$B$17,"S+",IF(M270&gt;=Assumptions!$B$18,"S",IF(M270&gt;=Assumptions!$B$19,"A",IF(M270&gt;=Assumptions!$B$20,"B",IF(M270&gt;=Assumptions!$B$21,"C",IF(M270&gt;=Assumptions!$B$22,"D","F"))))))</f>
        <v>B</v>
      </c>
      <c r="D270" s="3" t="s">
        <v>253</v>
      </c>
      <c r="E270" s="3" t="n">
        <v>6</v>
      </c>
      <c r="F270" s="12" t="n">
        <v>0.8521</v>
      </c>
      <c r="G270" s="12" t="n">
        <v>0.8</v>
      </c>
      <c r="H270" s="12" t="n">
        <v>0.75</v>
      </c>
      <c r="I270" s="12" t="n">
        <v>0.8067</v>
      </c>
      <c r="J270" s="12" t="n">
        <v>0.3653</v>
      </c>
      <c r="K270" s="12" t="n">
        <v>0.6277</v>
      </c>
      <c r="L270" s="3" t="n">
        <v>6</v>
      </c>
      <c r="M270" s="12" t="n">
        <f aca="false">Z270-W270</f>
        <v>0.116844</v>
      </c>
      <c r="N270" s="12" t="n">
        <f aca="false">IFERROR((Z270-J270)/L270,"")</f>
        <v>0.0437406666666667</v>
      </c>
      <c r="O270" s="3" t="n">
        <v>14</v>
      </c>
      <c r="P270" s="13" t="b">
        <f aca="false">FALSE()</f>
        <v>0</v>
      </c>
      <c r="Q270" s="3" t="s">
        <v>166</v>
      </c>
      <c r="R270" s="12" t="n">
        <v>0.831</v>
      </c>
      <c r="S270" s="12" t="n">
        <v>0.4019</v>
      </c>
      <c r="T270" s="3" t="n">
        <v>0.4387</v>
      </c>
      <c r="U270" s="12" t="n">
        <v>0.6044</v>
      </c>
      <c r="V270" s="12" t="n">
        <v>0.4737</v>
      </c>
      <c r="W270" s="12" t="n">
        <v>0.5109</v>
      </c>
      <c r="X270" s="3" t="n">
        <v>0.6688</v>
      </c>
      <c r="Y270" s="3" t="n">
        <v>0.792</v>
      </c>
      <c r="Z270" s="14" t="n">
        <f aca="false">Assumptions!$B$3*R270+Assumptions!$B$4*S270+IF(AA270=1,Assumptions!$B$11,Assumptions!$B$5)*X270+IF(AA270=1,Assumptions!$B$12,Assumptions!$B$6)*T270+Assumptions!$B$7*U270+Assumptions!$B$8*V270+Assumptions!$B$9*Y270</f>
        <v>0.627744</v>
      </c>
      <c r="AA270" s="3" t="n">
        <v>0</v>
      </c>
    </row>
    <row r="271" customFormat="false" ht="15" hidden="false" customHeight="false" outlineLevel="0" collapsed="false">
      <c r="A271" s="3" t="s">
        <v>456</v>
      </c>
      <c r="B271" s="3" t="n">
        <v>570</v>
      </c>
      <c r="C271" s="11" t="str">
        <f aca="false">IF(M271&gt;=Assumptions!$B$17,"S+",IF(M271&gt;=Assumptions!$B$18,"S",IF(M271&gt;=Assumptions!$B$19,"A",IF(M271&gt;=Assumptions!$B$20,"B",IF(M271&gt;=Assumptions!$B$21,"C",IF(M271&gt;=Assumptions!$B$22,"D","F"))))))</f>
        <v>B</v>
      </c>
      <c r="D271" s="3" t="s">
        <v>253</v>
      </c>
      <c r="E271" s="3" t="n">
        <v>13</v>
      </c>
      <c r="F271" s="12" t="n">
        <v>0.933</v>
      </c>
      <c r="G271" s="12" t="n">
        <v>0.4</v>
      </c>
      <c r="H271" s="12" t="n">
        <v>0.75</v>
      </c>
      <c r="I271" s="12" t="n">
        <v>0.6405</v>
      </c>
      <c r="J271" s="12" t="n">
        <v>0.3693</v>
      </c>
      <c r="K271" s="12" t="n">
        <v>0.6446</v>
      </c>
      <c r="L271" s="3" t="n">
        <v>4</v>
      </c>
      <c r="M271" s="12" t="n">
        <f aca="false">Z271-W271</f>
        <v>0.11659</v>
      </c>
      <c r="N271" s="12" t="n">
        <f aca="false">IFERROR((Z271-J271)/L271,"")</f>
        <v>0.0688225</v>
      </c>
      <c r="O271" s="3" t="n">
        <v>7</v>
      </c>
      <c r="P271" s="13" t="b">
        <f aca="false">FALSE()</f>
        <v>0</v>
      </c>
      <c r="Q271" s="3" t="s">
        <v>166</v>
      </c>
      <c r="R271" s="12" t="n">
        <v>0.7963</v>
      </c>
      <c r="S271" s="12" t="n">
        <v>0.582</v>
      </c>
      <c r="T271" s="3" t="n">
        <v>0.2421</v>
      </c>
      <c r="U271" s="12" t="n">
        <v>0.5934</v>
      </c>
      <c r="V271" s="12" t="n">
        <v>0.5316</v>
      </c>
      <c r="W271" s="12" t="n">
        <v>0.528</v>
      </c>
      <c r="X271" s="3" t="n">
        <v>0.8704</v>
      </c>
      <c r="Y271" s="3" t="n">
        <v>0.6412</v>
      </c>
      <c r="Z271" s="14" t="n">
        <f aca="false">Assumptions!$B$3*R271+Assumptions!$B$4*S271+IF(AA271=1,Assumptions!$B$11,Assumptions!$B$5)*X271+IF(AA271=1,Assumptions!$B$12,Assumptions!$B$6)*T271+Assumptions!$B$7*U271+Assumptions!$B$8*V271+Assumptions!$B$9*Y271</f>
        <v>0.64459</v>
      </c>
      <c r="AA271" s="3" t="n">
        <v>0</v>
      </c>
    </row>
    <row r="272" customFormat="false" ht="15" hidden="false" customHeight="false" outlineLevel="0" collapsed="false">
      <c r="A272" s="3" t="s">
        <v>457</v>
      </c>
      <c r="B272" s="3" t="n">
        <v>341</v>
      </c>
      <c r="C272" s="11" t="str">
        <f aca="false">IF(M272&gt;=Assumptions!$B$17,"S+",IF(M272&gt;=Assumptions!$B$18,"S",IF(M272&gt;=Assumptions!$B$19,"A",IF(M272&gt;=Assumptions!$B$20,"B",IF(M272&gt;=Assumptions!$B$21,"C",IF(M272&gt;=Assumptions!$B$22,"D","F"))))))</f>
        <v>B</v>
      </c>
      <c r="D272" s="3" t="s">
        <v>175</v>
      </c>
      <c r="E272" s="3" t="n">
        <v>4</v>
      </c>
      <c r="F272" s="12" t="n">
        <v>0.6553</v>
      </c>
      <c r="G272" s="12" t="n">
        <v>0.6</v>
      </c>
      <c r="H272" s="12" t="n">
        <v>0.75</v>
      </c>
      <c r="I272" s="12" t="n">
        <v>0.6383</v>
      </c>
      <c r="J272" s="12" t="n">
        <v>0.3192</v>
      </c>
      <c r="K272" s="12" t="n">
        <v>0.529</v>
      </c>
      <c r="L272" s="3" t="n">
        <v>5.88</v>
      </c>
      <c r="M272" s="12" t="n">
        <f aca="false">Z272-W272</f>
        <v>0.116499</v>
      </c>
      <c r="N272" s="12" t="n">
        <f aca="false">IFERROR((Z272-J272)/L272,"")</f>
        <v>0.0356801020408164</v>
      </c>
      <c r="O272" s="3" t="n">
        <v>16</v>
      </c>
      <c r="P272" s="13" t="b">
        <f aca="false">FALSE()</f>
        <v>0</v>
      </c>
      <c r="Q272" s="3" t="s">
        <v>166</v>
      </c>
      <c r="R272" s="12" t="n">
        <v>0.5829</v>
      </c>
      <c r="S272" s="12" t="n">
        <v>0.5904</v>
      </c>
      <c r="T272" s="3" t="n">
        <v>0.0131</v>
      </c>
      <c r="U272" s="12" t="n">
        <v>0.4615</v>
      </c>
      <c r="V272" s="12" t="n">
        <v>0.5359</v>
      </c>
      <c r="W272" s="12" t="n">
        <v>0.4125</v>
      </c>
      <c r="X272" s="3" t="n">
        <v>0.7774</v>
      </c>
      <c r="Y272" s="3" t="n">
        <v>0.5783</v>
      </c>
      <c r="Z272" s="14" t="n">
        <f aca="false">Assumptions!$B$3*R272+Assumptions!$B$4*S272+IF(AA272=1,Assumptions!$B$11,Assumptions!$B$5)*X272+IF(AA272=1,Assumptions!$B$12,Assumptions!$B$6)*T272+Assumptions!$B$7*U272+Assumptions!$B$8*V272+Assumptions!$B$9*Y272</f>
        <v>0.528999</v>
      </c>
      <c r="AA272" s="3" t="n">
        <v>0</v>
      </c>
    </row>
    <row r="273" customFormat="false" ht="15" hidden="false" customHeight="false" outlineLevel="0" collapsed="false">
      <c r="A273" s="3" t="s">
        <v>458</v>
      </c>
      <c r="B273" s="3" t="n">
        <v>305</v>
      </c>
      <c r="C273" s="11" t="str">
        <f aca="false">IF(M273&gt;=Assumptions!$B$17,"S+",IF(M273&gt;=Assumptions!$B$18,"S",IF(M273&gt;=Assumptions!$B$19,"A",IF(M273&gt;=Assumptions!$B$20,"B",IF(M273&gt;=Assumptions!$B$21,"C",IF(M273&gt;=Assumptions!$B$22,"D","F"))))))</f>
        <v>B</v>
      </c>
      <c r="D273" s="3" t="s">
        <v>206</v>
      </c>
      <c r="E273" s="3" t="n">
        <v>1</v>
      </c>
      <c r="F273" s="12" t="n">
        <v>0.4695</v>
      </c>
      <c r="G273" s="12" t="n">
        <v>0.76</v>
      </c>
      <c r="H273" s="12" t="n">
        <v>0.5476</v>
      </c>
      <c r="I273" s="12" t="n">
        <v>0.6256</v>
      </c>
      <c r="J273" s="12" t="n">
        <v>0.2678</v>
      </c>
      <c r="K273" s="12" t="n">
        <v>0.5104</v>
      </c>
      <c r="L273" s="3" t="n">
        <v>6.58</v>
      </c>
      <c r="M273" s="12" t="n">
        <f aca="false">Z273-W273</f>
        <v>0.116153</v>
      </c>
      <c r="N273" s="12" t="n">
        <f aca="false">IFERROR((Z273-J273)/L273,"")</f>
        <v>0.0368621580547112</v>
      </c>
      <c r="O273" s="3" t="n">
        <v>19</v>
      </c>
      <c r="P273" s="13" t="b">
        <f aca="false">FALSE()</f>
        <v>0</v>
      </c>
      <c r="Q273" s="3" t="s">
        <v>166</v>
      </c>
      <c r="R273" s="12" t="n">
        <v>0.5099</v>
      </c>
      <c r="S273" s="12" t="n">
        <v>0.5011</v>
      </c>
      <c r="T273" s="3" t="n">
        <v>0.1072</v>
      </c>
      <c r="U273" s="12" t="n">
        <v>0.3401</v>
      </c>
      <c r="V273" s="12" t="n">
        <v>0.5056</v>
      </c>
      <c r="W273" s="12" t="n">
        <v>0.3942</v>
      </c>
      <c r="X273" s="3" t="n">
        <v>0.6165</v>
      </c>
      <c r="Y273" s="3" t="n">
        <v>0.6074</v>
      </c>
      <c r="Z273" s="14" t="n">
        <f aca="false">Assumptions!$B$3*R273+Assumptions!$B$4*S273+IF(AA273=1,Assumptions!$B$11,Assumptions!$B$5)*X273+IF(AA273=1,Assumptions!$B$12,Assumptions!$B$6)*T273+Assumptions!$B$7*U273+Assumptions!$B$8*V273+Assumptions!$B$9*Y273</f>
        <v>0.510353</v>
      </c>
      <c r="AA273" s="3" t="n">
        <v>1</v>
      </c>
    </row>
    <row r="274" customFormat="false" ht="15" hidden="false" customHeight="false" outlineLevel="0" collapsed="false">
      <c r="A274" s="3" t="s">
        <v>459</v>
      </c>
      <c r="B274" s="3" t="n">
        <v>515</v>
      </c>
      <c r="C274" s="11" t="str">
        <f aca="false">IF(M274&gt;=Assumptions!$B$17,"S+",IF(M274&gt;=Assumptions!$B$18,"S",IF(M274&gt;=Assumptions!$B$19,"A",IF(M274&gt;=Assumptions!$B$20,"B",IF(M274&gt;=Assumptions!$B$21,"C",IF(M274&gt;=Assumptions!$B$22,"D","F"))))))</f>
        <v>B</v>
      </c>
      <c r="D274" s="3" t="s">
        <v>197</v>
      </c>
      <c r="E274" s="3" t="n">
        <v>1</v>
      </c>
      <c r="F274" s="12" t="n">
        <v>0.9206</v>
      </c>
      <c r="G274" s="12" t="n">
        <v>0.2</v>
      </c>
      <c r="H274" s="12" t="n">
        <v>0.75</v>
      </c>
      <c r="I274" s="12" t="n">
        <v>0.5838</v>
      </c>
      <c r="J274" s="12" t="n">
        <v>0.4703</v>
      </c>
      <c r="K274" s="12" t="n">
        <v>0.626</v>
      </c>
      <c r="L274" s="3" t="n">
        <v>3.42</v>
      </c>
      <c r="M274" s="12" t="n">
        <f aca="false">Z274-W274</f>
        <v>0.115863</v>
      </c>
      <c r="N274" s="12" t="n">
        <f aca="false">IFERROR((Z274-J274)/L274,"")</f>
        <v>0.0455154970760234</v>
      </c>
      <c r="O274" s="3" t="n">
        <v>19</v>
      </c>
      <c r="P274" s="13" t="b">
        <f aca="false">FALSE()</f>
        <v>0</v>
      </c>
      <c r="Q274" s="3" t="s">
        <v>166</v>
      </c>
      <c r="R274" s="12" t="n">
        <v>0.7375</v>
      </c>
      <c r="S274" s="12" t="n">
        <v>0.607</v>
      </c>
      <c r="T274" s="3" t="n">
        <v>0.8778</v>
      </c>
      <c r="U274" s="12" t="n">
        <v>0.2996</v>
      </c>
      <c r="V274" s="12" t="n">
        <v>0.5011</v>
      </c>
      <c r="W274" s="12" t="n">
        <v>0.5101</v>
      </c>
      <c r="X274" s="3" t="n">
        <v>0.6031</v>
      </c>
      <c r="Y274" s="3" t="n">
        <v>0.5625</v>
      </c>
      <c r="Z274" s="14" t="n">
        <f aca="false">Assumptions!$B$3*R274+Assumptions!$B$4*S274+IF(AA274=1,Assumptions!$B$11,Assumptions!$B$5)*X274+IF(AA274=1,Assumptions!$B$12,Assumptions!$B$6)*T274+Assumptions!$B$7*U274+Assumptions!$B$8*V274+Assumptions!$B$9*Y274</f>
        <v>0.625963</v>
      </c>
      <c r="AA274" s="3" t="n">
        <v>0</v>
      </c>
    </row>
    <row r="275" customFormat="false" ht="15" hidden="false" customHeight="false" outlineLevel="0" collapsed="false">
      <c r="A275" s="3" t="s">
        <v>460</v>
      </c>
      <c r="B275" s="3" t="n">
        <v>530</v>
      </c>
      <c r="C275" s="11" t="str">
        <f aca="false">IF(M275&gt;=Assumptions!$B$17,"S+",IF(M275&gt;=Assumptions!$B$18,"S",IF(M275&gt;=Assumptions!$B$19,"A",IF(M275&gt;=Assumptions!$B$20,"B",IF(M275&gt;=Assumptions!$B$21,"C",IF(M275&gt;=Assumptions!$B$22,"D","F"))))))</f>
        <v>B</v>
      </c>
      <c r="D275" s="3" t="s">
        <v>247</v>
      </c>
      <c r="E275" s="3" t="n">
        <v>6</v>
      </c>
      <c r="F275" s="12" t="n">
        <v>0.8957</v>
      </c>
      <c r="G275" s="12" t="n">
        <v>0.6</v>
      </c>
      <c r="H275" s="12" t="n">
        <v>0.75</v>
      </c>
      <c r="I275" s="12" t="n">
        <v>0.7246</v>
      </c>
      <c r="J275" s="12" t="n">
        <v>0.3508</v>
      </c>
      <c r="K275" s="12" t="n">
        <v>0.5922</v>
      </c>
      <c r="L275" s="3" t="n">
        <v>5</v>
      </c>
      <c r="M275" s="12" t="n">
        <f aca="false">Z275-W275</f>
        <v>0.115622</v>
      </c>
      <c r="N275" s="12" t="n">
        <f aca="false">IFERROR((Z275-J275)/L275,"")</f>
        <v>0.0482844</v>
      </c>
      <c r="O275" s="3" t="n">
        <v>14</v>
      </c>
      <c r="P275" s="13" t="b">
        <f aca="false">FALSE()</f>
        <v>0</v>
      </c>
      <c r="Q275" s="3" t="s">
        <v>166</v>
      </c>
      <c r="R275" s="12" t="n">
        <v>0.8309</v>
      </c>
      <c r="S275" s="12" t="n">
        <v>0.5098</v>
      </c>
      <c r="T275" s="3" t="n">
        <v>0.0637</v>
      </c>
      <c r="U275" s="12" t="n">
        <v>0.4725</v>
      </c>
      <c r="V275" s="12" t="n">
        <v>0.427</v>
      </c>
      <c r="W275" s="12" t="n">
        <v>0.4766</v>
      </c>
      <c r="X275" s="3" t="n">
        <v>0.8304</v>
      </c>
      <c r="Y275" s="3" t="n">
        <v>0.6499</v>
      </c>
      <c r="Z275" s="14" t="n">
        <f aca="false">Assumptions!$B$3*R275+Assumptions!$B$4*S275+IF(AA275=1,Assumptions!$B$11,Assumptions!$B$5)*X275+IF(AA275=1,Assumptions!$B$12,Assumptions!$B$6)*T275+Assumptions!$B$7*U275+Assumptions!$B$8*V275+Assumptions!$B$9*Y275</f>
        <v>0.592222</v>
      </c>
      <c r="AA275" s="3" t="n">
        <v>0</v>
      </c>
    </row>
    <row r="276" customFormat="false" ht="15" hidden="false" customHeight="false" outlineLevel="0" collapsed="false">
      <c r="A276" s="3" t="s">
        <v>461</v>
      </c>
      <c r="B276" s="3" t="n">
        <v>472</v>
      </c>
      <c r="C276" s="11" t="str">
        <f aca="false">IF(M276&gt;=Assumptions!$B$17,"S+",IF(M276&gt;=Assumptions!$B$18,"S",IF(M276&gt;=Assumptions!$B$19,"A",IF(M276&gt;=Assumptions!$B$20,"B",IF(M276&gt;=Assumptions!$B$21,"C",IF(M276&gt;=Assumptions!$B$22,"D","F"))))))</f>
        <v>B</v>
      </c>
      <c r="D276" s="3" t="s">
        <v>197</v>
      </c>
      <c r="E276" s="3" t="n">
        <v>5</v>
      </c>
      <c r="F276" s="12" t="n">
        <v>0.86</v>
      </c>
      <c r="G276" s="12" t="n">
        <v>0.6</v>
      </c>
      <c r="H276" s="12" t="n">
        <v>0.75</v>
      </c>
      <c r="I276" s="12" t="n">
        <v>0.7288</v>
      </c>
      <c r="J276" s="12" t="n">
        <v>0.4044</v>
      </c>
      <c r="K276" s="12" t="n">
        <v>0.6004</v>
      </c>
      <c r="L276" s="3" t="n">
        <v>3.93</v>
      </c>
      <c r="M276" s="12" t="n">
        <f aca="false">Z276-W276</f>
        <v>0.115628</v>
      </c>
      <c r="N276" s="12" t="n">
        <f aca="false">IFERROR((Z276-J276)/L276,"")</f>
        <v>0.0498798982188295</v>
      </c>
      <c r="O276" s="3" t="n">
        <v>15</v>
      </c>
      <c r="P276" s="13" t="b">
        <f aca="false">FALSE()</f>
        <v>0</v>
      </c>
      <c r="Q276" s="3" t="s">
        <v>166</v>
      </c>
      <c r="R276" s="12" t="n">
        <v>0.7437</v>
      </c>
      <c r="S276" s="12" t="n">
        <v>0.407</v>
      </c>
      <c r="T276" s="3" t="n">
        <v>0.4595</v>
      </c>
      <c r="U276" s="12" t="n">
        <v>0.6974</v>
      </c>
      <c r="V276" s="12" t="n">
        <v>0.5096</v>
      </c>
      <c r="W276" s="12" t="n">
        <v>0.4848</v>
      </c>
      <c r="X276" s="3" t="n">
        <v>0.5895</v>
      </c>
      <c r="Y276" s="3" t="n">
        <v>0.7076</v>
      </c>
      <c r="Z276" s="14" t="n">
        <f aca="false">Assumptions!$B$3*R276+Assumptions!$B$4*S276+IF(AA276=1,Assumptions!$B$11,Assumptions!$B$5)*X276+IF(AA276=1,Assumptions!$B$12,Assumptions!$B$6)*T276+Assumptions!$B$7*U276+Assumptions!$B$8*V276+Assumptions!$B$9*Y276</f>
        <v>0.600428</v>
      </c>
      <c r="AA276" s="3" t="n">
        <v>0</v>
      </c>
    </row>
    <row r="277" customFormat="false" ht="15" hidden="false" customHeight="false" outlineLevel="0" collapsed="false">
      <c r="A277" s="3" t="s">
        <v>462</v>
      </c>
      <c r="B277" s="3" t="n">
        <v>490</v>
      </c>
      <c r="C277" s="11" t="str">
        <f aca="false">IF(M277&gt;=Assumptions!$B$17,"S+",IF(M277&gt;=Assumptions!$B$18,"S",IF(M277&gt;=Assumptions!$B$19,"A",IF(M277&gt;=Assumptions!$B$20,"B",IF(M277&gt;=Assumptions!$B$21,"C",IF(M277&gt;=Assumptions!$B$22,"D","F"))))))</f>
        <v>B</v>
      </c>
      <c r="D277" s="3" t="s">
        <v>190</v>
      </c>
      <c r="E277" s="3" t="n">
        <v>3</v>
      </c>
      <c r="F277" s="12" t="n">
        <v>0.7521</v>
      </c>
      <c r="G277" s="12" t="n">
        <v>0.6</v>
      </c>
      <c r="H277" s="12" t="n">
        <v>0.75</v>
      </c>
      <c r="I277" s="12" t="n">
        <v>0.6878</v>
      </c>
      <c r="J277" s="12" t="n">
        <v>0.4301</v>
      </c>
      <c r="K277" s="12" t="n">
        <v>0.609</v>
      </c>
      <c r="L277" s="3" t="n">
        <v>3.82</v>
      </c>
      <c r="M277" s="12" t="n">
        <f aca="false">Z277-W277</f>
        <v>0.115233</v>
      </c>
      <c r="N277" s="12" t="n">
        <f aca="false">IFERROR((Z277-J277)/L277,"")</f>
        <v>0.0468410994764398</v>
      </c>
      <c r="O277" s="3" t="n">
        <v>17</v>
      </c>
      <c r="P277" s="13" t="b">
        <f aca="false">FALSE()</f>
        <v>0</v>
      </c>
      <c r="Q277" s="3" t="s">
        <v>166</v>
      </c>
      <c r="R277" s="12" t="n">
        <v>0.6993</v>
      </c>
      <c r="S277" s="12" t="n">
        <v>0.583</v>
      </c>
      <c r="T277" s="3" t="n">
        <v>0.4528</v>
      </c>
      <c r="U277" s="12" t="n">
        <v>0.457</v>
      </c>
      <c r="V277" s="12" t="n">
        <v>0.5071</v>
      </c>
      <c r="W277" s="12" t="n">
        <v>0.4938</v>
      </c>
      <c r="X277" s="3" t="n">
        <v>0.7283</v>
      </c>
      <c r="Y277" s="3" t="n">
        <v>0.6742</v>
      </c>
      <c r="Z277" s="14" t="n">
        <f aca="false">Assumptions!$B$3*R277+Assumptions!$B$4*S277+IF(AA277=1,Assumptions!$B$11,Assumptions!$B$5)*X277+IF(AA277=1,Assumptions!$B$12,Assumptions!$B$6)*T277+Assumptions!$B$7*U277+Assumptions!$B$8*V277+Assumptions!$B$9*Y277</f>
        <v>0.609033</v>
      </c>
      <c r="AA277" s="3" t="n">
        <v>0</v>
      </c>
    </row>
    <row r="278" customFormat="false" ht="15" hidden="false" customHeight="false" outlineLevel="0" collapsed="false">
      <c r="A278" s="3" t="s">
        <v>463</v>
      </c>
      <c r="B278" s="3" t="n">
        <v>530</v>
      </c>
      <c r="C278" s="11" t="str">
        <f aca="false">IF(M278&gt;=Assumptions!$B$17,"S+",IF(M278&gt;=Assumptions!$B$18,"S",IF(M278&gt;=Assumptions!$B$19,"A",IF(M278&gt;=Assumptions!$B$20,"B",IF(M278&gt;=Assumptions!$B$21,"C",IF(M278&gt;=Assumptions!$B$22,"D","F"))))))</f>
        <v>B</v>
      </c>
      <c r="D278" s="3" t="s">
        <v>197</v>
      </c>
      <c r="E278" s="3" t="n">
        <v>7</v>
      </c>
      <c r="F278" s="12" t="n">
        <v>0.5772</v>
      </c>
      <c r="G278" s="12" t="n">
        <v>1</v>
      </c>
      <c r="H278" s="12" t="n">
        <v>0.75</v>
      </c>
      <c r="I278" s="12" t="n">
        <v>0.7893</v>
      </c>
      <c r="J278" s="12" t="n">
        <v>0.4114</v>
      </c>
      <c r="K278" s="12" t="n">
        <v>0.6016</v>
      </c>
      <c r="L278" s="3" t="n">
        <v>5</v>
      </c>
      <c r="M278" s="12" t="n">
        <f aca="false">Z278-W278</f>
        <v>0.115122</v>
      </c>
      <c r="N278" s="12" t="n">
        <f aca="false">IFERROR((Z278-J278)/L278,"")</f>
        <v>0.0380444</v>
      </c>
      <c r="O278" s="3" t="n">
        <v>13</v>
      </c>
      <c r="P278" s="13" t="b">
        <f aca="false">FALSE()</f>
        <v>0</v>
      </c>
      <c r="Q278" s="3" t="s">
        <v>166</v>
      </c>
      <c r="R278" s="12" t="n">
        <v>0.786</v>
      </c>
      <c r="S278" s="12" t="n">
        <v>0.6116</v>
      </c>
      <c r="T278" s="3" t="n">
        <v>0.1254</v>
      </c>
      <c r="U278" s="12" t="n">
        <v>0.574</v>
      </c>
      <c r="V278" s="12" t="n">
        <v>0.5336</v>
      </c>
      <c r="W278" s="12" t="n">
        <v>0.4865</v>
      </c>
      <c r="X278" s="3" t="n">
        <v>0.5953</v>
      </c>
      <c r="Y278" s="3" t="n">
        <v>0.7913</v>
      </c>
      <c r="Z278" s="14" t="n">
        <f aca="false">Assumptions!$B$3*R278+Assumptions!$B$4*S278+IF(AA278=1,Assumptions!$B$11,Assumptions!$B$5)*X278+IF(AA278=1,Assumptions!$B$12,Assumptions!$B$6)*T278+Assumptions!$B$7*U278+Assumptions!$B$8*V278+Assumptions!$B$9*Y278</f>
        <v>0.601622</v>
      </c>
      <c r="AA278" s="3" t="n">
        <v>0</v>
      </c>
    </row>
    <row r="279" customFormat="false" ht="15" hidden="false" customHeight="false" outlineLevel="0" collapsed="false">
      <c r="A279" s="3" t="s">
        <v>464</v>
      </c>
      <c r="B279" s="3" t="n">
        <v>540</v>
      </c>
      <c r="C279" s="11" t="str">
        <f aca="false">IF(M279&gt;=Assumptions!$B$17,"S+",IF(M279&gt;=Assumptions!$B$18,"S",IF(M279&gt;=Assumptions!$B$19,"A",IF(M279&gt;=Assumptions!$B$20,"B",IF(M279&gt;=Assumptions!$B$21,"C",IF(M279&gt;=Assumptions!$B$22,"D","F"))))))</f>
        <v>B</v>
      </c>
      <c r="D279" s="3" t="s">
        <v>190</v>
      </c>
      <c r="E279" s="3" t="n">
        <v>2</v>
      </c>
      <c r="F279" s="12" t="n">
        <v>0.7691</v>
      </c>
      <c r="G279" s="12" t="n">
        <v>0.8</v>
      </c>
      <c r="H279" s="12" t="n">
        <v>0.75</v>
      </c>
      <c r="I279" s="12" t="n">
        <v>0.7783</v>
      </c>
      <c r="J279" s="12" t="n">
        <v>0.3947</v>
      </c>
      <c r="K279" s="12" t="n">
        <v>0.6132</v>
      </c>
      <c r="L279" s="3" t="n">
        <v>4.5</v>
      </c>
      <c r="M279" s="12" t="n">
        <f aca="false">Z279-W279</f>
        <v>0.114913</v>
      </c>
      <c r="N279" s="12" t="n">
        <f aca="false">IFERROR((Z279-J279)/L279,"")</f>
        <v>0.0485584444444444</v>
      </c>
      <c r="O279" s="3" t="n">
        <v>18</v>
      </c>
      <c r="P279" s="13" t="b">
        <f aca="false">FALSE()</f>
        <v>0</v>
      </c>
      <c r="Q279" s="3" t="s">
        <v>166</v>
      </c>
      <c r="R279" s="12" t="n">
        <v>0.8696</v>
      </c>
      <c r="S279" s="12" t="n">
        <v>0.5967</v>
      </c>
      <c r="T279" s="3" t="n">
        <v>0.4153</v>
      </c>
      <c r="U279" s="12" t="n">
        <v>0.3077</v>
      </c>
      <c r="V279" s="12" t="n">
        <v>0.4858</v>
      </c>
      <c r="W279" s="12" t="n">
        <v>0.4983</v>
      </c>
      <c r="X279" s="3" t="n">
        <v>0.6173</v>
      </c>
      <c r="Y279" s="3" t="n">
        <v>0.648</v>
      </c>
      <c r="Z279" s="14" t="n">
        <f aca="false">Assumptions!$B$3*R279+Assumptions!$B$4*S279+IF(AA279=1,Assumptions!$B$11,Assumptions!$B$5)*X279+IF(AA279=1,Assumptions!$B$12,Assumptions!$B$6)*T279+Assumptions!$B$7*U279+Assumptions!$B$8*V279+Assumptions!$B$9*Y279</f>
        <v>0.613213</v>
      </c>
      <c r="AA279" s="3" t="n">
        <v>0</v>
      </c>
    </row>
    <row r="280" customFormat="false" ht="15" hidden="false" customHeight="false" outlineLevel="0" collapsed="false">
      <c r="A280" s="3" t="s">
        <v>465</v>
      </c>
      <c r="B280" s="3" t="n">
        <v>505</v>
      </c>
      <c r="C280" s="11" t="str">
        <f aca="false">IF(M280&gt;=Assumptions!$B$17,"S+",IF(M280&gt;=Assumptions!$B$18,"S",IF(M280&gt;=Assumptions!$B$19,"A",IF(M280&gt;=Assumptions!$B$20,"B",IF(M280&gt;=Assumptions!$B$21,"C",IF(M280&gt;=Assumptions!$B$22,"D","F"))))))</f>
        <v>B</v>
      </c>
      <c r="D280" s="3" t="s">
        <v>218</v>
      </c>
      <c r="E280" s="3" t="n">
        <v>4</v>
      </c>
      <c r="F280" s="12" t="n">
        <v>0.9428</v>
      </c>
      <c r="G280" s="12" t="n">
        <v>1</v>
      </c>
      <c r="H280" s="12" t="n">
        <v>0.75</v>
      </c>
      <c r="I280" s="12" t="n">
        <v>0.9317</v>
      </c>
      <c r="J280" s="12" t="n">
        <v>0.3865</v>
      </c>
      <c r="K280" s="12" t="n">
        <v>0.6336</v>
      </c>
      <c r="L280" s="3" t="n">
        <v>3.88</v>
      </c>
      <c r="M280" s="12" t="n">
        <f aca="false">Z280-W280</f>
        <v>0.114781</v>
      </c>
      <c r="N280" s="12" t="n">
        <f aca="false">IFERROR((Z280-J280)/L280,"")</f>
        <v>0.0636806701030928</v>
      </c>
      <c r="O280" s="3" t="n">
        <v>16</v>
      </c>
      <c r="P280" s="13" t="b">
        <f aca="false">FALSE()</f>
        <v>0</v>
      </c>
      <c r="Q280" s="3" t="s">
        <v>201</v>
      </c>
      <c r="R280" s="12" t="n">
        <v>0.8185</v>
      </c>
      <c r="S280" s="12" t="n">
        <v>0.6363</v>
      </c>
      <c r="T280" s="3" t="n">
        <v>0.1763</v>
      </c>
      <c r="U280" s="12" t="n">
        <v>0.4519</v>
      </c>
      <c r="V280" s="12" t="n">
        <v>0.4616</v>
      </c>
      <c r="W280" s="12" t="n">
        <v>0.5188</v>
      </c>
      <c r="X280" s="3" t="n">
        <v>0.7609</v>
      </c>
      <c r="Y280" s="3" t="n">
        <v>0.8646</v>
      </c>
      <c r="Z280" s="14" t="n">
        <f aca="false">Assumptions!$B$3*R280+Assumptions!$B$4*S280+IF(AA280=1,Assumptions!$B$11,Assumptions!$B$5)*X280+IF(AA280=1,Assumptions!$B$12,Assumptions!$B$6)*T280+Assumptions!$B$7*U280+Assumptions!$B$8*V280+Assumptions!$B$9*Y280</f>
        <v>0.633581</v>
      </c>
      <c r="AA280" s="3" t="n">
        <v>0</v>
      </c>
    </row>
    <row r="281" customFormat="false" ht="15" hidden="false" customHeight="false" outlineLevel="0" collapsed="false">
      <c r="A281" s="3" t="s">
        <v>466</v>
      </c>
      <c r="B281" s="3" t="n">
        <v>508</v>
      </c>
      <c r="C281" s="11" t="str">
        <f aca="false">IF(M281&gt;=Assumptions!$B$17,"S+",IF(M281&gt;=Assumptions!$B$18,"S",IF(M281&gt;=Assumptions!$B$19,"A",IF(M281&gt;=Assumptions!$B$20,"B",IF(M281&gt;=Assumptions!$B$21,"C",IF(M281&gt;=Assumptions!$B$22,"D","F"))))))</f>
        <v>B</v>
      </c>
      <c r="D281" s="3" t="s">
        <v>228</v>
      </c>
      <c r="E281" s="3" t="n">
        <v>6</v>
      </c>
      <c r="F281" s="12" t="n">
        <v>0.7706</v>
      </c>
      <c r="G281" s="12" t="n">
        <v>0.6</v>
      </c>
      <c r="H281" s="12" t="n">
        <v>0.75</v>
      </c>
      <c r="I281" s="12" t="n">
        <v>0.6846</v>
      </c>
      <c r="J281" s="12" t="n">
        <v>0.4137</v>
      </c>
      <c r="K281" s="12" t="n">
        <v>0.5787</v>
      </c>
      <c r="L281" s="3" t="n">
        <v>5</v>
      </c>
      <c r="M281" s="12" t="n">
        <f aca="false">Z281-W281</f>
        <v>0.113619</v>
      </c>
      <c r="N281" s="12" t="n">
        <f aca="false">IFERROR((Z281-J281)/L281,"")</f>
        <v>0.0330038</v>
      </c>
      <c r="O281" s="3" t="n">
        <v>14</v>
      </c>
      <c r="P281" s="13" t="b">
        <f aca="false">FALSE()</f>
        <v>0</v>
      </c>
      <c r="Q281" s="3" t="s">
        <v>166</v>
      </c>
      <c r="R281" s="12" t="n">
        <v>0.6827</v>
      </c>
      <c r="S281" s="12" t="n">
        <v>0.5752</v>
      </c>
      <c r="T281" s="3" t="n">
        <v>0.1548</v>
      </c>
      <c r="U281" s="12" t="n">
        <v>0.4615</v>
      </c>
      <c r="V281" s="12" t="n">
        <v>0.5451</v>
      </c>
      <c r="W281" s="12" t="n">
        <v>0.4651</v>
      </c>
      <c r="X281" s="3" t="n">
        <v>0.771</v>
      </c>
      <c r="Y281" s="3" t="n">
        <v>0.6689</v>
      </c>
      <c r="Z281" s="14" t="n">
        <f aca="false">Assumptions!$B$3*R281+Assumptions!$B$4*S281+IF(AA281=1,Assumptions!$B$11,Assumptions!$B$5)*X281+IF(AA281=1,Assumptions!$B$12,Assumptions!$B$6)*T281+Assumptions!$B$7*U281+Assumptions!$B$8*V281+Assumptions!$B$9*Y281</f>
        <v>0.578719</v>
      </c>
      <c r="AA281" s="3" t="n">
        <v>0</v>
      </c>
    </row>
    <row r="282" customFormat="false" ht="15" hidden="false" customHeight="false" outlineLevel="0" collapsed="false">
      <c r="A282" s="3" t="s">
        <v>467</v>
      </c>
      <c r="B282" s="3" t="n">
        <v>485</v>
      </c>
      <c r="C282" s="11" t="str">
        <f aca="false">IF(M282&gt;=Assumptions!$B$17,"S+",IF(M282&gt;=Assumptions!$B$18,"S",IF(M282&gt;=Assumptions!$B$19,"A",IF(M282&gt;=Assumptions!$B$20,"B",IF(M282&gt;=Assumptions!$B$21,"C",IF(M282&gt;=Assumptions!$B$22,"D","F"))))))</f>
        <v>B</v>
      </c>
      <c r="D282" s="3" t="s">
        <v>180</v>
      </c>
      <c r="E282" s="3" t="n">
        <v>5</v>
      </c>
      <c r="F282" s="12" t="n">
        <v>0.789</v>
      </c>
      <c r="G282" s="12" t="n">
        <v>0.6</v>
      </c>
      <c r="H282" s="12" t="n">
        <v>0.4722</v>
      </c>
      <c r="I282" s="12" t="n">
        <v>0.6122</v>
      </c>
      <c r="J282" s="12" t="n">
        <v>0.2892</v>
      </c>
      <c r="K282" s="12" t="n">
        <v>0.6249</v>
      </c>
      <c r="L282" s="3" t="n">
        <v>6</v>
      </c>
      <c r="M282" s="12" t="n">
        <f aca="false">Z282-W282</f>
        <v>0.113362</v>
      </c>
      <c r="N282" s="12" t="n">
        <f aca="false">IFERROR((Z282-J282)/L282,"")</f>
        <v>0.0559436666666667</v>
      </c>
      <c r="O282" s="3" t="n">
        <v>15</v>
      </c>
      <c r="P282" s="13" t="b">
        <f aca="false">FALSE()</f>
        <v>0</v>
      </c>
      <c r="Q282" s="3" t="s">
        <v>166</v>
      </c>
      <c r="R282" s="12" t="n">
        <v>0.5462</v>
      </c>
      <c r="S282" s="12" t="n">
        <v>0.6949</v>
      </c>
      <c r="T282" s="3" t="n">
        <v>0.19</v>
      </c>
      <c r="U282" s="12" t="n">
        <v>0.5385</v>
      </c>
      <c r="V282" s="12" t="n">
        <v>0.4727</v>
      </c>
      <c r="W282" s="12" t="n">
        <v>0.5115</v>
      </c>
      <c r="X282" s="3" t="n">
        <v>0.8517</v>
      </c>
      <c r="Y282" s="3" t="n">
        <v>0.6076</v>
      </c>
      <c r="Z282" s="14" t="n">
        <f aca="false">Assumptions!$B$3*R282+Assumptions!$B$4*S282+IF(AA282=1,Assumptions!$B$11,Assumptions!$B$5)*X282+IF(AA282=1,Assumptions!$B$12,Assumptions!$B$6)*T282+Assumptions!$B$7*U282+Assumptions!$B$8*V282+Assumptions!$B$9*Y282</f>
        <v>0.624862</v>
      </c>
      <c r="AA282" s="3" t="n">
        <v>1</v>
      </c>
    </row>
    <row r="283" customFormat="false" ht="15" hidden="false" customHeight="false" outlineLevel="0" collapsed="false">
      <c r="A283" s="3" t="s">
        <v>468</v>
      </c>
      <c r="B283" s="3" t="n">
        <v>500</v>
      </c>
      <c r="C283" s="11" t="str">
        <f aca="false">IF(M283&gt;=Assumptions!$B$17,"S+",IF(M283&gt;=Assumptions!$B$18,"S",IF(M283&gt;=Assumptions!$B$19,"A",IF(M283&gt;=Assumptions!$B$20,"B",IF(M283&gt;=Assumptions!$B$21,"C",IF(M283&gt;=Assumptions!$B$22,"D","F"))))))</f>
        <v>B</v>
      </c>
      <c r="D283" s="3" t="s">
        <v>247</v>
      </c>
      <c r="E283" s="3" t="n">
        <v>2</v>
      </c>
      <c r="F283" s="12" t="n">
        <v>0.8447</v>
      </c>
      <c r="G283" s="12" t="n">
        <v>0.6</v>
      </c>
      <c r="H283" s="12" t="n">
        <v>0.75</v>
      </c>
      <c r="I283" s="12" t="n">
        <v>0.7083</v>
      </c>
      <c r="J283" s="12" t="n">
        <v>0.3967</v>
      </c>
      <c r="K283" s="12" t="n">
        <v>0.579</v>
      </c>
      <c r="L283" s="3" t="n">
        <v>3.72</v>
      </c>
      <c r="M283" s="12" t="n">
        <f aca="false">Z283-W283</f>
        <v>0.113322</v>
      </c>
      <c r="N283" s="12" t="n">
        <f aca="false">IFERROR((Z283-J283)/L283,"")</f>
        <v>0.0489844086021506</v>
      </c>
      <c r="O283" s="3" t="n">
        <v>18</v>
      </c>
      <c r="P283" s="13" t="b">
        <f aca="false">FALSE()</f>
        <v>0</v>
      </c>
      <c r="Q283" s="3" t="s">
        <v>201</v>
      </c>
      <c r="R283" s="12" t="n">
        <v>0.8336</v>
      </c>
      <c r="S283" s="12" t="n">
        <v>0.6204</v>
      </c>
      <c r="T283" s="3" t="n">
        <v>0.17</v>
      </c>
      <c r="U283" s="12" t="n">
        <v>0.3803</v>
      </c>
      <c r="V283" s="12" t="n">
        <v>0.509</v>
      </c>
      <c r="W283" s="12" t="n">
        <v>0.4656</v>
      </c>
      <c r="X283" s="3" t="n">
        <v>0.5766</v>
      </c>
      <c r="Y283" s="3" t="n">
        <v>0.6245</v>
      </c>
      <c r="Z283" s="14" t="n">
        <f aca="false">Assumptions!$B$3*R283+Assumptions!$B$4*S283+IF(AA283=1,Assumptions!$B$11,Assumptions!$B$5)*X283+IF(AA283=1,Assumptions!$B$12,Assumptions!$B$6)*T283+Assumptions!$B$7*U283+Assumptions!$B$8*V283+Assumptions!$B$9*Y283</f>
        <v>0.578922</v>
      </c>
      <c r="AA283" s="3" t="n">
        <v>0</v>
      </c>
    </row>
    <row r="284" customFormat="false" ht="15" hidden="false" customHeight="false" outlineLevel="0" collapsed="false">
      <c r="A284" s="3" t="s">
        <v>469</v>
      </c>
      <c r="B284" s="3" t="n">
        <v>500</v>
      </c>
      <c r="C284" s="11" t="str">
        <f aca="false">IF(M284&gt;=Assumptions!$B$17,"S+",IF(M284&gt;=Assumptions!$B$18,"S",IF(M284&gt;=Assumptions!$B$19,"A",IF(M284&gt;=Assumptions!$B$20,"B",IF(M284&gt;=Assumptions!$B$21,"C",IF(M284&gt;=Assumptions!$B$22,"D","F"))))))</f>
        <v>B</v>
      </c>
      <c r="D284" s="3" t="s">
        <v>247</v>
      </c>
      <c r="E284" s="3" t="n">
        <v>2</v>
      </c>
      <c r="F284" s="12" t="n">
        <v>0.8447</v>
      </c>
      <c r="G284" s="12" t="n">
        <v>0.6</v>
      </c>
      <c r="H284" s="12" t="n">
        <v>0.75</v>
      </c>
      <c r="I284" s="12" t="n">
        <v>0.7083</v>
      </c>
      <c r="J284" s="12" t="n">
        <v>0.3967</v>
      </c>
      <c r="K284" s="12" t="n">
        <v>0.579</v>
      </c>
      <c r="L284" s="3" t="n">
        <v>3.72</v>
      </c>
      <c r="M284" s="12" t="n">
        <f aca="false">Z284-W284</f>
        <v>0.113322</v>
      </c>
      <c r="N284" s="12" t="n">
        <f aca="false">IFERROR((Z284-J284)/L284,"")</f>
        <v>0.0489844086021506</v>
      </c>
      <c r="O284" s="3" t="n">
        <v>18</v>
      </c>
      <c r="P284" s="13" t="b">
        <f aca="false">FALSE()</f>
        <v>0</v>
      </c>
      <c r="Q284" s="3" t="s">
        <v>201</v>
      </c>
      <c r="R284" s="12" t="n">
        <v>0.8336</v>
      </c>
      <c r="S284" s="12" t="n">
        <v>0.6204</v>
      </c>
      <c r="T284" s="3" t="n">
        <v>0.17</v>
      </c>
      <c r="U284" s="12" t="n">
        <v>0.3803</v>
      </c>
      <c r="V284" s="12" t="n">
        <v>0.509</v>
      </c>
      <c r="W284" s="12" t="n">
        <v>0.4656</v>
      </c>
      <c r="X284" s="3" t="n">
        <v>0.5766</v>
      </c>
      <c r="Y284" s="3" t="n">
        <v>0.6245</v>
      </c>
      <c r="Z284" s="14" t="n">
        <f aca="false">Assumptions!$B$3*R284+Assumptions!$B$4*S284+IF(AA284=1,Assumptions!$B$11,Assumptions!$B$5)*X284+IF(AA284=1,Assumptions!$B$12,Assumptions!$B$6)*T284+Assumptions!$B$7*U284+Assumptions!$B$8*V284+Assumptions!$B$9*Y284</f>
        <v>0.578922</v>
      </c>
      <c r="AA284" s="3" t="n">
        <v>0</v>
      </c>
    </row>
    <row r="285" customFormat="false" ht="15" hidden="false" customHeight="false" outlineLevel="0" collapsed="false">
      <c r="A285" s="3" t="s">
        <v>470</v>
      </c>
      <c r="B285" s="3" t="n">
        <v>500</v>
      </c>
      <c r="C285" s="11" t="str">
        <f aca="false">IF(M285&gt;=Assumptions!$B$17,"S+",IF(M285&gt;=Assumptions!$B$18,"S",IF(M285&gt;=Assumptions!$B$19,"A",IF(M285&gt;=Assumptions!$B$20,"B",IF(M285&gt;=Assumptions!$B$21,"C",IF(M285&gt;=Assumptions!$B$22,"D","F"))))))</f>
        <v>B</v>
      </c>
      <c r="D285" s="3" t="s">
        <v>190</v>
      </c>
      <c r="E285" s="3" t="n">
        <v>6</v>
      </c>
      <c r="F285" s="12" t="n">
        <v>0.6306</v>
      </c>
      <c r="G285" s="12" t="n">
        <v>0.8</v>
      </c>
      <c r="H285" s="12" t="n">
        <v>0.75</v>
      </c>
      <c r="I285" s="12" t="n">
        <v>0.7256</v>
      </c>
      <c r="J285" s="12" t="n">
        <v>0.3707</v>
      </c>
      <c r="K285" s="12" t="n">
        <v>0.5797</v>
      </c>
      <c r="L285" s="3" t="n">
        <v>5</v>
      </c>
      <c r="M285" s="12" t="n">
        <f aca="false">Z285-W285</f>
        <v>0.113072</v>
      </c>
      <c r="N285" s="12" t="n">
        <f aca="false">IFERROR((Z285-J285)/L285,"")</f>
        <v>0.0417944</v>
      </c>
      <c r="O285" s="3" t="n">
        <v>14</v>
      </c>
      <c r="P285" s="13" t="b">
        <f aca="false">FALSE()</f>
        <v>0</v>
      </c>
      <c r="Q285" s="3" t="s">
        <v>166</v>
      </c>
      <c r="R285" s="12" t="n">
        <v>0.726</v>
      </c>
      <c r="S285" s="12" t="n">
        <v>0.5634</v>
      </c>
      <c r="T285" s="3" t="n">
        <v>0.0889</v>
      </c>
      <c r="U285" s="12" t="n">
        <v>0.4121</v>
      </c>
      <c r="V285" s="12" t="n">
        <v>0.4776</v>
      </c>
      <c r="W285" s="12" t="n">
        <v>0.4666</v>
      </c>
      <c r="X285" s="3" t="n">
        <v>0.8318</v>
      </c>
      <c r="Y285" s="3" t="n">
        <v>0.689</v>
      </c>
      <c r="Z285" s="14" t="n">
        <f aca="false">Assumptions!$B$3*R285+Assumptions!$B$4*S285+IF(AA285=1,Assumptions!$B$11,Assumptions!$B$5)*X285+IF(AA285=1,Assumptions!$B$12,Assumptions!$B$6)*T285+Assumptions!$B$7*U285+Assumptions!$B$8*V285+Assumptions!$B$9*Y285</f>
        <v>0.579672</v>
      </c>
      <c r="AA285" s="3" t="n">
        <v>0</v>
      </c>
    </row>
    <row r="286" customFormat="false" ht="15" hidden="false" customHeight="false" outlineLevel="0" collapsed="false">
      <c r="A286" s="3" t="s">
        <v>471</v>
      </c>
      <c r="B286" s="3" t="n">
        <v>600</v>
      </c>
      <c r="C286" s="11" t="str">
        <f aca="false">IF(M286&gt;=Assumptions!$B$17,"S+",IF(M286&gt;=Assumptions!$B$18,"S",IF(M286&gt;=Assumptions!$B$19,"A",IF(M286&gt;=Assumptions!$B$20,"B",IF(M286&gt;=Assumptions!$B$21,"C",IF(M286&gt;=Assumptions!$B$22,"D","F"))))))</f>
        <v>B</v>
      </c>
      <c r="D286" s="3" t="s">
        <v>190</v>
      </c>
      <c r="E286" s="3" t="n">
        <v>9</v>
      </c>
      <c r="F286" s="12" t="n">
        <v>0.8521</v>
      </c>
      <c r="G286" s="12" t="n">
        <v>0.8</v>
      </c>
      <c r="H286" s="12" t="n">
        <v>0.75</v>
      </c>
      <c r="I286" s="12" t="n">
        <v>0.8098</v>
      </c>
      <c r="J286" s="12" t="n">
        <v>0.3603</v>
      </c>
      <c r="K286" s="12" t="n">
        <v>0.5845</v>
      </c>
      <c r="L286" s="3" t="n">
        <v>4.64</v>
      </c>
      <c r="M286" s="12" t="n">
        <f aca="false">Z286-W286</f>
        <v>0.113051</v>
      </c>
      <c r="N286" s="12" t="n">
        <f aca="false">IFERROR((Z286-J286)/L286,"")</f>
        <v>0.0483084051724138</v>
      </c>
      <c r="O286" s="3" t="n">
        <v>11</v>
      </c>
      <c r="P286" s="13" t="b">
        <f aca="false">FALSE()</f>
        <v>0</v>
      </c>
      <c r="Q286" s="3" t="s">
        <v>166</v>
      </c>
      <c r="R286" s="12" t="n">
        <v>0.8822</v>
      </c>
      <c r="S286" s="12" t="n">
        <v>0.4874</v>
      </c>
      <c r="T286" s="3" t="n">
        <v>0.3422</v>
      </c>
      <c r="U286" s="12" t="n">
        <v>0.3566</v>
      </c>
      <c r="V286" s="12" t="n">
        <v>0.4781</v>
      </c>
      <c r="W286" s="12" t="n">
        <v>0.4714</v>
      </c>
      <c r="X286" s="3" t="n">
        <v>0.4769</v>
      </c>
      <c r="Y286" s="3" t="n">
        <v>0.7635</v>
      </c>
      <c r="Z286" s="14" t="n">
        <f aca="false">Assumptions!$B$3*R286+Assumptions!$B$4*S286+IF(AA286=1,Assumptions!$B$11,Assumptions!$B$5)*X286+IF(AA286=1,Assumptions!$B$12,Assumptions!$B$6)*T286+Assumptions!$B$7*U286+Assumptions!$B$8*V286+Assumptions!$B$9*Y286</f>
        <v>0.584451</v>
      </c>
      <c r="AA286" s="3" t="n">
        <v>0</v>
      </c>
    </row>
    <row r="287" customFormat="false" ht="15" hidden="false" customHeight="false" outlineLevel="0" collapsed="false">
      <c r="A287" s="3" t="s">
        <v>472</v>
      </c>
      <c r="B287" s="3" t="n">
        <v>495</v>
      </c>
      <c r="C287" s="11" t="str">
        <f aca="false">IF(M287&gt;=Assumptions!$B$17,"S+",IF(M287&gt;=Assumptions!$B$18,"S",IF(M287&gt;=Assumptions!$B$19,"A",IF(M287&gt;=Assumptions!$B$20,"B",IF(M287&gt;=Assumptions!$B$21,"C",IF(M287&gt;=Assumptions!$B$22,"D","F"))))))</f>
        <v>B</v>
      </c>
      <c r="D287" s="3" t="s">
        <v>186</v>
      </c>
      <c r="E287" s="3" t="n">
        <v>3</v>
      </c>
      <c r="F287" s="12" t="n">
        <v>0.6584</v>
      </c>
      <c r="G287" s="12" t="n">
        <v>1</v>
      </c>
      <c r="H287" s="12" t="n">
        <v>0.75</v>
      </c>
      <c r="I287" s="12" t="n">
        <v>0.8885</v>
      </c>
      <c r="J287" s="12" t="n">
        <v>0.4064</v>
      </c>
      <c r="K287" s="12" t="n">
        <v>0.5639</v>
      </c>
      <c r="L287" s="3" t="n">
        <v>3.88</v>
      </c>
      <c r="M287" s="12" t="n">
        <f aca="false">Z287-W287</f>
        <v>0.112921</v>
      </c>
      <c r="N287" s="12" t="n">
        <f aca="false">IFERROR((Z287-J287)/L287,"")</f>
        <v>0.0405981958762887</v>
      </c>
      <c r="O287" s="3" t="n">
        <v>17</v>
      </c>
      <c r="P287" s="13" t="b">
        <f aca="false">FALSE()</f>
        <v>0</v>
      </c>
      <c r="Q287" s="3" t="s">
        <v>201</v>
      </c>
      <c r="R287" s="12" t="n">
        <v>0.8927</v>
      </c>
      <c r="S287" s="12" t="n">
        <v>0.4607</v>
      </c>
      <c r="T287" s="3" t="n">
        <v>0.1139</v>
      </c>
      <c r="U287" s="12" t="n">
        <v>0.4842</v>
      </c>
      <c r="V287" s="12" t="n">
        <v>0.292</v>
      </c>
      <c r="W287" s="12" t="n">
        <v>0.451</v>
      </c>
      <c r="X287" s="3" t="n">
        <v>0.3862</v>
      </c>
      <c r="Y287" s="3" t="n">
        <v>0.8493</v>
      </c>
      <c r="Z287" s="14" t="n">
        <f aca="false">Assumptions!$B$3*R287+Assumptions!$B$4*S287+IF(AA287=1,Assumptions!$B$11,Assumptions!$B$5)*X287+IF(AA287=1,Assumptions!$B$12,Assumptions!$B$6)*T287+Assumptions!$B$7*U287+Assumptions!$B$8*V287+Assumptions!$B$9*Y287</f>
        <v>0.563921</v>
      </c>
      <c r="AA287" s="3" t="n">
        <v>1</v>
      </c>
    </row>
    <row r="288" customFormat="false" ht="15" hidden="false" customHeight="false" outlineLevel="0" collapsed="false">
      <c r="A288" s="3" t="s">
        <v>473</v>
      </c>
      <c r="B288" s="3" t="n">
        <v>535</v>
      </c>
      <c r="C288" s="11" t="str">
        <f aca="false">IF(M288&gt;=Assumptions!$B$17,"S+",IF(M288&gt;=Assumptions!$B$18,"S",IF(M288&gt;=Assumptions!$B$19,"A",IF(M288&gt;=Assumptions!$B$20,"B",IF(M288&gt;=Assumptions!$B$21,"C",IF(M288&gt;=Assumptions!$B$22,"D","F"))))))</f>
        <v>B</v>
      </c>
      <c r="D288" s="3" t="s">
        <v>197</v>
      </c>
      <c r="E288" s="3" t="n">
        <v>2</v>
      </c>
      <c r="F288" s="12" t="n">
        <v>0.6936</v>
      </c>
      <c r="G288" s="12" t="n">
        <v>0.8</v>
      </c>
      <c r="H288" s="12" t="n">
        <v>0.75</v>
      </c>
      <c r="I288" s="12" t="n">
        <v>0.7496</v>
      </c>
      <c r="J288" s="12" t="n">
        <v>0.3571</v>
      </c>
      <c r="K288" s="12" t="n">
        <v>0.6042</v>
      </c>
      <c r="L288" s="3" t="n">
        <v>4.72</v>
      </c>
      <c r="M288" s="12" t="n">
        <f aca="false">Z288-W288</f>
        <v>0.112811</v>
      </c>
      <c r="N288" s="12" t="n">
        <f aca="false">IFERROR((Z288-J288)/L288,"")</f>
        <v>0.0523540254237288</v>
      </c>
      <c r="O288" s="3" t="n">
        <v>18</v>
      </c>
      <c r="P288" s="13" t="b">
        <f aca="false">FALSE()</f>
        <v>0</v>
      </c>
      <c r="Q288" s="3" t="s">
        <v>166</v>
      </c>
      <c r="R288" s="12" t="n">
        <v>0.8464</v>
      </c>
      <c r="S288" s="12" t="n">
        <v>0.604</v>
      </c>
      <c r="T288" s="3" t="n">
        <v>0.2326</v>
      </c>
      <c r="U288" s="12" t="n">
        <v>0.3974</v>
      </c>
      <c r="V288" s="12" t="n">
        <v>0.5555</v>
      </c>
      <c r="W288" s="12" t="n">
        <v>0.4914</v>
      </c>
      <c r="X288" s="3" t="n">
        <v>0.6055</v>
      </c>
      <c r="Y288" s="3" t="n">
        <v>0.6791</v>
      </c>
      <c r="Z288" s="14" t="n">
        <f aca="false">Assumptions!$B$3*R288+Assumptions!$B$4*S288+IF(AA288=1,Assumptions!$B$11,Assumptions!$B$5)*X288+IF(AA288=1,Assumptions!$B$12,Assumptions!$B$6)*T288+Assumptions!$B$7*U288+Assumptions!$B$8*V288+Assumptions!$B$9*Y288</f>
        <v>0.604211</v>
      </c>
      <c r="AA288" s="3" t="n">
        <v>0</v>
      </c>
    </row>
    <row r="289" customFormat="false" ht="15" hidden="false" customHeight="false" outlineLevel="0" collapsed="false">
      <c r="A289" s="3" t="s">
        <v>474</v>
      </c>
      <c r="B289" s="3" t="n">
        <v>600</v>
      </c>
      <c r="C289" s="11" t="str">
        <f aca="false">IF(M289&gt;=Assumptions!$B$17,"S+",IF(M289&gt;=Assumptions!$B$18,"S",IF(M289&gt;=Assumptions!$B$19,"A",IF(M289&gt;=Assumptions!$B$20,"B",IF(M289&gt;=Assumptions!$B$21,"C",IF(M289&gt;=Assumptions!$B$22,"D","F"))))))</f>
        <v>B</v>
      </c>
      <c r="D289" s="3" t="s">
        <v>197</v>
      </c>
      <c r="E289" s="3" t="n">
        <v>9</v>
      </c>
      <c r="F289" s="12" t="n">
        <v>0.9435</v>
      </c>
      <c r="G289" s="12" t="n">
        <v>0.6</v>
      </c>
      <c r="H289" s="12" t="n">
        <v>0.75</v>
      </c>
      <c r="I289" s="12" t="n">
        <v>0.7605</v>
      </c>
      <c r="J289" s="12" t="n">
        <v>0.3275</v>
      </c>
      <c r="K289" s="12" t="n">
        <v>0.5989</v>
      </c>
      <c r="L289" s="3" t="n">
        <v>4</v>
      </c>
      <c r="M289" s="12" t="n">
        <f aca="false">Z289-W289</f>
        <v>0.112791</v>
      </c>
      <c r="N289" s="12" t="n">
        <f aca="false">IFERROR((Z289-J289)/L289,"")</f>
        <v>0.06784775</v>
      </c>
      <c r="O289" s="3" t="n">
        <v>11</v>
      </c>
      <c r="P289" s="13" t="b">
        <f aca="false">FALSE()</f>
        <v>0</v>
      </c>
      <c r="Q289" s="3" t="s">
        <v>166</v>
      </c>
      <c r="R289" s="12" t="n">
        <v>0.8727</v>
      </c>
      <c r="S289" s="12" t="n">
        <v>0.4517</v>
      </c>
      <c r="T289" s="3" t="n">
        <v>0.6288</v>
      </c>
      <c r="U289" s="12" t="n">
        <v>0.4335</v>
      </c>
      <c r="V289" s="12" t="n">
        <v>0.4636</v>
      </c>
      <c r="W289" s="12" t="n">
        <v>0.4861</v>
      </c>
      <c r="X289" s="3" t="n">
        <v>0.3647</v>
      </c>
      <c r="Y289" s="3" t="n">
        <v>0.7608</v>
      </c>
      <c r="Z289" s="14" t="n">
        <f aca="false">Assumptions!$B$3*R289+Assumptions!$B$4*S289+IF(AA289=1,Assumptions!$B$11,Assumptions!$B$5)*X289+IF(AA289=1,Assumptions!$B$12,Assumptions!$B$6)*T289+Assumptions!$B$7*U289+Assumptions!$B$8*V289+Assumptions!$B$9*Y289</f>
        <v>0.598891</v>
      </c>
      <c r="AA289" s="3" t="n">
        <v>0</v>
      </c>
    </row>
    <row r="290" customFormat="false" ht="15" hidden="false" customHeight="false" outlineLevel="0" collapsed="false">
      <c r="A290" s="3" t="s">
        <v>475</v>
      </c>
      <c r="B290" s="3" t="n">
        <v>460</v>
      </c>
      <c r="C290" s="11" t="str">
        <f aca="false">IF(M290&gt;=Assumptions!$B$17,"S+",IF(M290&gt;=Assumptions!$B$18,"S",IF(M290&gt;=Assumptions!$B$19,"A",IF(M290&gt;=Assumptions!$B$20,"B",IF(M290&gt;=Assumptions!$B$21,"C",IF(M290&gt;=Assumptions!$B$22,"D","F"))))))</f>
        <v>B</v>
      </c>
      <c r="D290" s="3" t="s">
        <v>247</v>
      </c>
      <c r="E290" s="3" t="n">
        <v>3</v>
      </c>
      <c r="F290" s="12" t="n">
        <v>0.7817</v>
      </c>
      <c r="G290" s="12" t="n">
        <v>0.6</v>
      </c>
      <c r="H290" s="12" t="n">
        <v>0.75</v>
      </c>
      <c r="I290" s="12" t="n">
        <v>0.6881</v>
      </c>
      <c r="J290" s="12" t="n">
        <v>0.3555</v>
      </c>
      <c r="K290" s="12" t="n">
        <v>0.5672</v>
      </c>
      <c r="L290" s="3" t="n">
        <v>3.82</v>
      </c>
      <c r="M290" s="12" t="n">
        <f aca="false">Z290-W290</f>
        <v>0.112721</v>
      </c>
      <c r="N290" s="12" t="n">
        <f aca="false">IFERROR((Z290-J290)/L290,"")</f>
        <v>0.0554243455497382</v>
      </c>
      <c r="O290" s="3" t="n">
        <v>17</v>
      </c>
      <c r="P290" s="13" t="b">
        <f aca="false">FALSE()</f>
        <v>0</v>
      </c>
      <c r="Q290" s="3" t="s">
        <v>166</v>
      </c>
      <c r="R290" s="12" t="n">
        <v>0.8601</v>
      </c>
      <c r="S290" s="12" t="n">
        <v>0.5283</v>
      </c>
      <c r="T290" s="3" t="n">
        <v>0.1387</v>
      </c>
      <c r="U290" s="12" t="n">
        <v>0.4163</v>
      </c>
      <c r="V290" s="12" t="n">
        <v>0.4858</v>
      </c>
      <c r="W290" s="12" t="n">
        <v>0.4545</v>
      </c>
      <c r="X290" s="3" t="n">
        <v>0.5638</v>
      </c>
      <c r="Y290" s="3" t="n">
        <v>0.6243</v>
      </c>
      <c r="Z290" s="14" t="n">
        <f aca="false">Assumptions!$B$3*R290+Assumptions!$B$4*S290+IF(AA290=1,Assumptions!$B$11,Assumptions!$B$5)*X290+IF(AA290=1,Assumptions!$B$12,Assumptions!$B$6)*T290+Assumptions!$B$7*U290+Assumptions!$B$8*V290+Assumptions!$B$9*Y290</f>
        <v>0.567221</v>
      </c>
      <c r="AA290" s="3" t="n">
        <v>0</v>
      </c>
    </row>
    <row r="291" customFormat="false" ht="15" hidden="false" customHeight="false" outlineLevel="0" collapsed="false">
      <c r="A291" s="3" t="s">
        <v>476</v>
      </c>
      <c r="B291" s="3" t="n">
        <v>500</v>
      </c>
      <c r="C291" s="11" t="str">
        <f aca="false">IF(M291&gt;=Assumptions!$B$17,"S+",IF(M291&gt;=Assumptions!$B$18,"S",IF(M291&gt;=Assumptions!$B$19,"A",IF(M291&gt;=Assumptions!$B$20,"B",IF(M291&gt;=Assumptions!$B$21,"C",IF(M291&gt;=Assumptions!$B$22,"D","F"))))))</f>
        <v>B</v>
      </c>
      <c r="D291" s="3" t="s">
        <v>218</v>
      </c>
      <c r="E291" s="3" t="n">
        <v>2</v>
      </c>
      <c r="F291" s="12" t="n">
        <v>0.9451</v>
      </c>
      <c r="G291" s="12" t="n">
        <v>1</v>
      </c>
      <c r="H291" s="12" t="n">
        <v>0.75</v>
      </c>
      <c r="I291" s="12" t="n">
        <v>0.9324</v>
      </c>
      <c r="J291" s="12" t="n">
        <v>0.3862</v>
      </c>
      <c r="K291" s="12" t="n">
        <v>0.6271</v>
      </c>
      <c r="L291" s="3" t="n">
        <v>4.78</v>
      </c>
      <c r="M291" s="12" t="n">
        <f aca="false">Z291-W291</f>
        <v>0.11237</v>
      </c>
      <c r="N291" s="12" t="n">
        <f aca="false">IFERROR((Z291-J291)/L291,"")</f>
        <v>0.0503912133891213</v>
      </c>
      <c r="O291" s="3" t="n">
        <v>18</v>
      </c>
      <c r="P291" s="13" t="b">
        <f aca="false">FALSE()</f>
        <v>0</v>
      </c>
      <c r="Q291" s="3" t="s">
        <v>201</v>
      </c>
      <c r="R291" s="12" t="n">
        <v>0.8154</v>
      </c>
      <c r="S291" s="12" t="n">
        <v>0.6137</v>
      </c>
      <c r="T291" s="3" t="n">
        <v>0.3542</v>
      </c>
      <c r="U291" s="12" t="n">
        <v>0.4701</v>
      </c>
      <c r="V291" s="12" t="n">
        <v>0.5247</v>
      </c>
      <c r="W291" s="12" t="n">
        <v>0.5147</v>
      </c>
      <c r="X291" s="3" t="n">
        <v>0.557</v>
      </c>
      <c r="Y291" s="3" t="n">
        <v>0.8666</v>
      </c>
      <c r="Z291" s="14" t="n">
        <f aca="false">Assumptions!$B$3*R291+Assumptions!$B$4*S291+IF(AA291=1,Assumptions!$B$11,Assumptions!$B$5)*X291+IF(AA291=1,Assumptions!$B$12,Assumptions!$B$6)*T291+Assumptions!$B$7*U291+Assumptions!$B$8*V291+Assumptions!$B$9*Y291</f>
        <v>0.62707</v>
      </c>
      <c r="AA291" s="3" t="n">
        <v>0</v>
      </c>
    </row>
    <row r="292" customFormat="false" ht="15" hidden="false" customHeight="false" outlineLevel="0" collapsed="false">
      <c r="A292" s="3" t="s">
        <v>477</v>
      </c>
      <c r="B292" s="3" t="n">
        <v>505</v>
      </c>
      <c r="C292" s="11" t="str">
        <f aca="false">IF(M292&gt;=Assumptions!$B$17,"S+",IF(M292&gt;=Assumptions!$B$18,"S",IF(M292&gt;=Assumptions!$B$19,"A",IF(M292&gt;=Assumptions!$B$20,"B",IF(M292&gt;=Assumptions!$B$21,"C",IF(M292&gt;=Assumptions!$B$22,"D","F"))))))</f>
        <v>B</v>
      </c>
      <c r="D292" s="3" t="s">
        <v>218</v>
      </c>
      <c r="E292" s="3" t="n">
        <v>6</v>
      </c>
      <c r="F292" s="12" t="n">
        <v>0.7411</v>
      </c>
      <c r="G292" s="12" t="n">
        <v>0.8</v>
      </c>
      <c r="H292" s="12" t="n">
        <v>0.75</v>
      </c>
      <c r="I292" s="12" t="n">
        <v>0.7712</v>
      </c>
      <c r="J292" s="12" t="n">
        <v>0.3442</v>
      </c>
      <c r="K292" s="12" t="n">
        <v>0.6213</v>
      </c>
      <c r="L292" s="3" t="n">
        <v>6</v>
      </c>
      <c r="M292" s="12" t="n">
        <f aca="false">Z292-W292</f>
        <v>0.112101</v>
      </c>
      <c r="N292" s="12" t="n">
        <f aca="false">IFERROR((Z292-J292)/L292,"")</f>
        <v>0.0461835</v>
      </c>
      <c r="O292" s="3" t="n">
        <v>14</v>
      </c>
      <c r="P292" s="13" t="b">
        <f aca="false">FALSE()</f>
        <v>0</v>
      </c>
      <c r="Q292" s="3" t="s">
        <v>166</v>
      </c>
      <c r="R292" s="12" t="n">
        <v>0.8372</v>
      </c>
      <c r="S292" s="12" t="n">
        <v>0.4802</v>
      </c>
      <c r="T292" s="3" t="n">
        <v>0.313</v>
      </c>
      <c r="U292" s="12" t="n">
        <v>0.4121</v>
      </c>
      <c r="V292" s="12" t="n">
        <v>0.4895</v>
      </c>
      <c r="W292" s="12" t="n">
        <v>0.5092</v>
      </c>
      <c r="X292" s="3" t="n">
        <v>0.7599</v>
      </c>
      <c r="Y292" s="3" t="n">
        <v>0.774</v>
      </c>
      <c r="Z292" s="14" t="n">
        <f aca="false">Assumptions!$B$3*R292+Assumptions!$B$4*S292+IF(AA292=1,Assumptions!$B$11,Assumptions!$B$5)*X292+IF(AA292=1,Assumptions!$B$12,Assumptions!$B$6)*T292+Assumptions!$B$7*U292+Assumptions!$B$8*V292+Assumptions!$B$9*Y292</f>
        <v>0.621301</v>
      </c>
      <c r="AA292" s="3" t="n">
        <v>0</v>
      </c>
    </row>
    <row r="293" customFormat="false" ht="15" hidden="false" customHeight="false" outlineLevel="0" collapsed="false">
      <c r="A293" s="3" t="s">
        <v>478</v>
      </c>
      <c r="B293" s="3" t="n">
        <v>518</v>
      </c>
      <c r="C293" s="11" t="str">
        <f aca="false">IF(M293&gt;=Assumptions!$B$17,"S+",IF(M293&gt;=Assumptions!$B$18,"S",IF(M293&gt;=Assumptions!$B$19,"A",IF(M293&gt;=Assumptions!$B$20,"B",IF(M293&gt;=Assumptions!$B$21,"C",IF(M293&gt;=Assumptions!$B$22,"D","F"))))))</f>
        <v>B</v>
      </c>
      <c r="D293" s="3" t="s">
        <v>253</v>
      </c>
      <c r="E293" s="3" t="n">
        <v>4</v>
      </c>
      <c r="F293" s="12" t="n">
        <v>0.9342</v>
      </c>
      <c r="G293" s="12" t="n">
        <v>0.6</v>
      </c>
      <c r="H293" s="12" t="n">
        <v>0.75</v>
      </c>
      <c r="I293" s="12" t="n">
        <v>0.737</v>
      </c>
      <c r="J293" s="12" t="n">
        <v>0.4663</v>
      </c>
      <c r="K293" s="12" t="n">
        <v>0.6478</v>
      </c>
      <c r="L293" s="3" t="n">
        <v>3.88</v>
      </c>
      <c r="M293" s="12" t="n">
        <f aca="false">Z293-W293</f>
        <v>0.112017</v>
      </c>
      <c r="N293" s="12" t="n">
        <f aca="false">IFERROR((Z293-J293)/L293,"")</f>
        <v>0.0467827319587629</v>
      </c>
      <c r="O293" s="3" t="n">
        <v>16</v>
      </c>
      <c r="P293" s="13" t="b">
        <f aca="false">FALSE()</f>
        <v>0</v>
      </c>
      <c r="Q293" s="3" t="s">
        <v>166</v>
      </c>
      <c r="R293" s="12" t="n">
        <v>0.8268</v>
      </c>
      <c r="S293" s="12" t="n">
        <v>0.5836</v>
      </c>
      <c r="T293" s="3" t="n">
        <v>0.3218</v>
      </c>
      <c r="U293" s="12" t="n">
        <v>0.7019</v>
      </c>
      <c r="V293" s="12" t="n">
        <v>0.5187</v>
      </c>
      <c r="W293" s="12" t="n">
        <v>0.5358</v>
      </c>
      <c r="X293" s="3" t="n">
        <v>0.6771</v>
      </c>
      <c r="Y293" s="3" t="n">
        <v>0.7111</v>
      </c>
      <c r="Z293" s="14" t="n">
        <f aca="false">Assumptions!$B$3*R293+Assumptions!$B$4*S293+IF(AA293=1,Assumptions!$B$11,Assumptions!$B$5)*X293+IF(AA293=1,Assumptions!$B$12,Assumptions!$B$6)*T293+Assumptions!$B$7*U293+Assumptions!$B$8*V293+Assumptions!$B$9*Y293</f>
        <v>0.647817</v>
      </c>
      <c r="AA293" s="3" t="n">
        <v>0</v>
      </c>
    </row>
    <row r="294" customFormat="false" ht="15" hidden="false" customHeight="false" outlineLevel="0" collapsed="false">
      <c r="A294" s="3" t="s">
        <v>479</v>
      </c>
      <c r="B294" s="3" t="n">
        <v>290</v>
      </c>
      <c r="C294" s="11" t="str">
        <f aca="false">IF(M294&gt;=Assumptions!$B$17,"S+",IF(M294&gt;=Assumptions!$B$18,"S",IF(M294&gt;=Assumptions!$B$19,"A",IF(M294&gt;=Assumptions!$B$20,"B",IF(M294&gt;=Assumptions!$B$21,"C",IF(M294&gt;=Assumptions!$B$22,"D","F"))))))</f>
        <v>B</v>
      </c>
      <c r="D294" s="3" t="s">
        <v>186</v>
      </c>
      <c r="E294" s="3" t="n">
        <v>2</v>
      </c>
      <c r="F294" s="12" t="n">
        <v>0.5282</v>
      </c>
      <c r="G294" s="12" t="n">
        <v>0.85</v>
      </c>
      <c r="H294" s="12" t="n">
        <v>0.75</v>
      </c>
      <c r="I294" s="12" t="n">
        <v>0.7721</v>
      </c>
      <c r="J294" s="12" t="n">
        <v>0.3362</v>
      </c>
      <c r="K294" s="12" t="n">
        <v>0.5499</v>
      </c>
      <c r="L294" s="3" t="n">
        <v>5.89</v>
      </c>
      <c r="M294" s="12" t="n">
        <f aca="false">Z294-W294</f>
        <v>0.111981</v>
      </c>
      <c r="N294" s="12" t="n">
        <f aca="false">IFERROR((Z294-J294)/L294,"")</f>
        <v>0.0362786078098472</v>
      </c>
      <c r="O294" s="3" t="n">
        <v>18</v>
      </c>
      <c r="P294" s="13" t="b">
        <f aca="false">FALSE()</f>
        <v>0</v>
      </c>
      <c r="Q294" s="3" t="s">
        <v>166</v>
      </c>
      <c r="R294" s="12" t="n">
        <v>0.7002</v>
      </c>
      <c r="S294" s="12" t="n">
        <v>0.397</v>
      </c>
      <c r="T294" s="3" t="n">
        <v>0.0308</v>
      </c>
      <c r="U294" s="12" t="n">
        <v>0.5214</v>
      </c>
      <c r="V294" s="12" t="n">
        <v>0.4703</v>
      </c>
      <c r="W294" s="12" t="n">
        <v>0.4379</v>
      </c>
      <c r="X294" s="3" t="n">
        <v>0.5416</v>
      </c>
      <c r="Y294" s="3" t="n">
        <v>0.7319</v>
      </c>
      <c r="Z294" s="14" t="n">
        <f aca="false">Assumptions!$B$3*R294+Assumptions!$B$4*S294+IF(AA294=1,Assumptions!$B$11,Assumptions!$B$5)*X294+IF(AA294=1,Assumptions!$B$12,Assumptions!$B$6)*T294+Assumptions!$B$7*U294+Assumptions!$B$8*V294+Assumptions!$B$9*Y294</f>
        <v>0.549881</v>
      </c>
      <c r="AA294" s="3" t="n">
        <v>1</v>
      </c>
    </row>
    <row r="295" customFormat="false" ht="15" hidden="false" customHeight="false" outlineLevel="0" collapsed="false">
      <c r="A295" s="3" t="s">
        <v>480</v>
      </c>
      <c r="B295" s="3" t="n">
        <v>335</v>
      </c>
      <c r="C295" s="11" t="str">
        <f aca="false">IF(M295&gt;=Assumptions!$B$17,"S+",IF(M295&gt;=Assumptions!$B$18,"S",IF(M295&gt;=Assumptions!$B$19,"A",IF(M295&gt;=Assumptions!$B$20,"B",IF(M295&gt;=Assumptions!$B$21,"C",IF(M295&gt;=Assumptions!$B$22,"D","F"))))))</f>
        <v>B</v>
      </c>
      <c r="D295" s="3" t="s">
        <v>188</v>
      </c>
      <c r="E295" s="3" t="n">
        <v>1</v>
      </c>
      <c r="F295" s="12" t="n">
        <v>0.6363</v>
      </c>
      <c r="G295" s="12" t="n">
        <v>0.6</v>
      </c>
      <c r="H295" s="12" t="n">
        <v>0.75</v>
      </c>
      <c r="I295" s="12" t="n">
        <v>0.6354</v>
      </c>
      <c r="J295" s="12" t="n">
        <v>0.2887</v>
      </c>
      <c r="K295" s="12" t="n">
        <v>0.5019</v>
      </c>
      <c r="L295" s="3" t="n">
        <v>5.5</v>
      </c>
      <c r="M295" s="12" t="n">
        <f aca="false">Z295-W295</f>
        <v>0.111949</v>
      </c>
      <c r="N295" s="12" t="n">
        <f aca="false">IFERROR((Z295-J295)/L295,"")</f>
        <v>0.0387543636363636</v>
      </c>
      <c r="O295" s="3" t="n">
        <v>19</v>
      </c>
      <c r="P295" s="13" t="b">
        <f aca="false">FALSE()</f>
        <v>0</v>
      </c>
      <c r="Q295" s="3" t="s">
        <v>166</v>
      </c>
      <c r="R295" s="12" t="n">
        <v>0.6762</v>
      </c>
      <c r="S295" s="12" t="n">
        <v>0.3315</v>
      </c>
      <c r="T295" s="3" t="n">
        <v>0.375</v>
      </c>
      <c r="U295" s="12" t="n">
        <v>0.5627</v>
      </c>
      <c r="V295" s="12" t="n">
        <v>0.5056</v>
      </c>
      <c r="W295" s="12" t="n">
        <v>0.3899</v>
      </c>
      <c r="X295" s="3" t="n">
        <v>0.3841</v>
      </c>
      <c r="Y295" s="3" t="n">
        <v>0.5797</v>
      </c>
      <c r="Z295" s="14" t="n">
        <f aca="false">Assumptions!$B$3*R295+Assumptions!$B$4*S295+IF(AA295=1,Assumptions!$B$11,Assumptions!$B$5)*X295+IF(AA295=1,Assumptions!$B$12,Assumptions!$B$6)*T295+Assumptions!$B$7*U295+Assumptions!$B$8*V295+Assumptions!$B$9*Y295</f>
        <v>0.501849</v>
      </c>
      <c r="AA295" s="3" t="n">
        <v>0</v>
      </c>
    </row>
    <row r="296" customFormat="false" ht="15" hidden="false" customHeight="false" outlineLevel="0" collapsed="false">
      <c r="A296" s="3" t="s">
        <v>481</v>
      </c>
      <c r="B296" s="3" t="n">
        <v>525</v>
      </c>
      <c r="C296" s="11" t="str">
        <f aca="false">IF(M296&gt;=Assumptions!$B$17,"S+",IF(M296&gt;=Assumptions!$B$18,"S",IF(M296&gt;=Assumptions!$B$19,"A",IF(M296&gt;=Assumptions!$B$20,"B",IF(M296&gt;=Assumptions!$B$21,"C",IF(M296&gt;=Assumptions!$B$22,"D","F"))))))</f>
        <v>B</v>
      </c>
      <c r="D296" s="3" t="s">
        <v>197</v>
      </c>
      <c r="E296" s="3" t="n">
        <v>1</v>
      </c>
      <c r="F296" s="12" t="n">
        <v>0.6559</v>
      </c>
      <c r="G296" s="12" t="n">
        <v>1</v>
      </c>
      <c r="H296" s="12" t="n">
        <v>0.75</v>
      </c>
      <c r="I296" s="12" t="n">
        <v>0.8193</v>
      </c>
      <c r="J296" s="12" t="n">
        <v>0.4321</v>
      </c>
      <c r="K296" s="12" t="n">
        <v>0.6107</v>
      </c>
      <c r="L296" s="3" t="n">
        <v>4.66</v>
      </c>
      <c r="M296" s="12" t="n">
        <f aca="false">Z296-W296</f>
        <v>0.111664</v>
      </c>
      <c r="N296" s="12" t="n">
        <f aca="false">IFERROR((Z296-J296)/L296,"")</f>
        <v>0.0383184549356223</v>
      </c>
      <c r="O296" s="3" t="n">
        <v>19</v>
      </c>
      <c r="P296" s="13" t="b">
        <f aca="false">FALSE()</f>
        <v>0</v>
      </c>
      <c r="Q296" s="3" t="s">
        <v>166</v>
      </c>
      <c r="R296" s="12" t="n">
        <v>0.7438</v>
      </c>
      <c r="S296" s="12" t="n">
        <v>0.6647</v>
      </c>
      <c r="T296" s="3" t="n">
        <v>0.3903</v>
      </c>
      <c r="U296" s="12" t="n">
        <v>0.417</v>
      </c>
      <c r="V296" s="12" t="n">
        <v>0.4857</v>
      </c>
      <c r="W296" s="12" t="n">
        <v>0.499</v>
      </c>
      <c r="X296" s="3" t="n">
        <v>0.6243</v>
      </c>
      <c r="Y296" s="3" t="n">
        <v>0.7572</v>
      </c>
      <c r="Z296" s="14" t="n">
        <f aca="false">Assumptions!$B$3*R296+Assumptions!$B$4*S296+IF(AA296=1,Assumptions!$B$11,Assumptions!$B$5)*X296+IF(AA296=1,Assumptions!$B$12,Assumptions!$B$6)*T296+Assumptions!$B$7*U296+Assumptions!$B$8*V296+Assumptions!$B$9*Y296</f>
        <v>0.610664</v>
      </c>
      <c r="AA296" s="3" t="n">
        <v>0</v>
      </c>
    </row>
    <row r="297" customFormat="false" ht="15" hidden="false" customHeight="false" outlineLevel="0" collapsed="false">
      <c r="A297" s="3" t="s">
        <v>482</v>
      </c>
      <c r="B297" s="3" t="n">
        <v>490</v>
      </c>
      <c r="C297" s="11" t="str">
        <f aca="false">IF(M297&gt;=Assumptions!$B$17,"S+",IF(M297&gt;=Assumptions!$B$18,"S",IF(M297&gt;=Assumptions!$B$19,"A",IF(M297&gt;=Assumptions!$B$20,"B",IF(M297&gt;=Assumptions!$B$21,"C",IF(M297&gt;=Assumptions!$B$22,"D","F"))))))</f>
        <v>B</v>
      </c>
      <c r="D297" s="3" t="s">
        <v>190</v>
      </c>
      <c r="E297" s="3" t="n">
        <v>4</v>
      </c>
      <c r="F297" s="12" t="n">
        <v>0.7252</v>
      </c>
      <c r="G297" s="12" t="n">
        <v>0.6</v>
      </c>
      <c r="H297" s="12" t="n">
        <v>0.75</v>
      </c>
      <c r="I297" s="12" t="n">
        <v>0.6776</v>
      </c>
      <c r="J297" s="12" t="n">
        <v>0.3352</v>
      </c>
      <c r="K297" s="12" t="n">
        <v>0.6029</v>
      </c>
      <c r="L297" s="3" t="n">
        <v>5.88</v>
      </c>
      <c r="M297" s="12" t="n">
        <f aca="false">Z297-W297</f>
        <v>0.111495</v>
      </c>
      <c r="N297" s="12" t="n">
        <f aca="false">IFERROR((Z297-J297)/L297,"")</f>
        <v>0.0455263605442177</v>
      </c>
      <c r="O297" s="3" t="n">
        <v>16</v>
      </c>
      <c r="P297" s="13" t="b">
        <f aca="false">FALSE()</f>
        <v>0</v>
      </c>
      <c r="Q297" s="3" t="s">
        <v>166</v>
      </c>
      <c r="R297" s="12" t="n">
        <v>0.7866</v>
      </c>
      <c r="S297" s="12" t="n">
        <v>0.6342</v>
      </c>
      <c r="T297" s="3" t="n">
        <v>0.419</v>
      </c>
      <c r="U297" s="12" t="n">
        <v>0.4952</v>
      </c>
      <c r="V297" s="12" t="n">
        <v>0.4637</v>
      </c>
      <c r="W297" s="12" t="n">
        <v>0.4914</v>
      </c>
      <c r="X297" s="3" t="n">
        <v>0.5422</v>
      </c>
      <c r="Y297" s="3" t="n">
        <v>0.6569</v>
      </c>
      <c r="Z297" s="14" t="n">
        <f aca="false">Assumptions!$B$3*R297+Assumptions!$B$4*S297+IF(AA297=1,Assumptions!$B$11,Assumptions!$B$5)*X297+IF(AA297=1,Assumptions!$B$12,Assumptions!$B$6)*T297+Assumptions!$B$7*U297+Assumptions!$B$8*V297+Assumptions!$B$9*Y297</f>
        <v>0.602895</v>
      </c>
      <c r="AA297" s="3" t="n">
        <v>0</v>
      </c>
    </row>
    <row r="298" customFormat="false" ht="15" hidden="false" customHeight="false" outlineLevel="0" collapsed="false">
      <c r="A298" s="3" t="s">
        <v>483</v>
      </c>
      <c r="B298" s="3" t="n">
        <v>480</v>
      </c>
      <c r="C298" s="11" t="str">
        <f aca="false">IF(M298&gt;=Assumptions!$B$17,"S+",IF(M298&gt;=Assumptions!$B$18,"S",IF(M298&gt;=Assumptions!$B$19,"A",IF(M298&gt;=Assumptions!$B$20,"B",IF(M298&gt;=Assumptions!$B$21,"C",IF(M298&gt;=Assumptions!$B$22,"D","F"))))))</f>
        <v>B</v>
      </c>
      <c r="D298" s="3" t="s">
        <v>218</v>
      </c>
      <c r="E298" s="3" t="n">
        <v>7</v>
      </c>
      <c r="F298" s="12" t="n">
        <v>0.7937</v>
      </c>
      <c r="G298" s="12" t="n">
        <v>1</v>
      </c>
      <c r="H298" s="12" t="n">
        <v>0.75</v>
      </c>
      <c r="I298" s="12" t="n">
        <v>0.884</v>
      </c>
      <c r="J298" s="12" t="n">
        <v>0.4647</v>
      </c>
      <c r="K298" s="12" t="n">
        <v>0.6219</v>
      </c>
      <c r="L298" s="3" t="n">
        <v>6</v>
      </c>
      <c r="M298" s="12" t="n">
        <f aca="false">Z298-W298</f>
        <v>0.111176</v>
      </c>
      <c r="N298" s="12" t="n">
        <f aca="false">IFERROR((Z298-J298)/L298,"")</f>
        <v>0.026196</v>
      </c>
      <c r="O298" s="3" t="n">
        <v>13</v>
      </c>
      <c r="P298" s="13" t="b">
        <f aca="false">FALSE()</f>
        <v>0</v>
      </c>
      <c r="Q298" s="3" t="s">
        <v>166</v>
      </c>
      <c r="R298" s="12" t="n">
        <v>0.9258</v>
      </c>
      <c r="S298" s="12" t="n">
        <v>0.656</v>
      </c>
      <c r="T298" s="3" t="n">
        <v>0.0639</v>
      </c>
      <c r="U298" s="12" t="n">
        <v>0.497</v>
      </c>
      <c r="V298" s="12" t="n">
        <v>0.5892</v>
      </c>
      <c r="W298" s="12" t="n">
        <v>0.5107</v>
      </c>
      <c r="X298" s="3" t="n">
        <v>0.4498</v>
      </c>
      <c r="Y298" s="3" t="n">
        <v>0.8862</v>
      </c>
      <c r="Z298" s="14" t="n">
        <f aca="false">Assumptions!$B$3*R298+Assumptions!$B$4*S298+IF(AA298=1,Assumptions!$B$11,Assumptions!$B$5)*X298+IF(AA298=1,Assumptions!$B$12,Assumptions!$B$6)*T298+Assumptions!$B$7*U298+Assumptions!$B$8*V298+Assumptions!$B$9*Y298</f>
        <v>0.621876</v>
      </c>
      <c r="AA298" s="3" t="n">
        <v>0</v>
      </c>
    </row>
    <row r="299" customFormat="false" ht="15" hidden="false" customHeight="false" outlineLevel="0" collapsed="false">
      <c r="A299" s="3" t="s">
        <v>484</v>
      </c>
      <c r="B299" s="3" t="n">
        <v>570</v>
      </c>
      <c r="C299" s="11" t="str">
        <f aca="false">IF(M299&gt;=Assumptions!$B$17,"S+",IF(M299&gt;=Assumptions!$B$18,"S",IF(M299&gt;=Assumptions!$B$19,"A",IF(M299&gt;=Assumptions!$B$20,"B",IF(M299&gt;=Assumptions!$B$21,"C",IF(M299&gt;=Assumptions!$B$22,"D","F"))))))</f>
        <v>B</v>
      </c>
      <c r="D299" s="3" t="s">
        <v>218</v>
      </c>
      <c r="E299" s="3" t="n">
        <v>13</v>
      </c>
      <c r="F299" s="12" t="n">
        <v>0.8943</v>
      </c>
      <c r="G299" s="12" t="n">
        <v>0.6</v>
      </c>
      <c r="H299" s="12" t="n">
        <v>0.75</v>
      </c>
      <c r="I299" s="12" t="n">
        <v>0.7242</v>
      </c>
      <c r="J299" s="12" t="n">
        <v>0.4014</v>
      </c>
      <c r="K299" s="12" t="n">
        <v>0.6202</v>
      </c>
      <c r="L299" s="3" t="n">
        <v>4</v>
      </c>
      <c r="M299" s="12" t="n">
        <f aca="false">Z299-W299</f>
        <v>0.111248</v>
      </c>
      <c r="N299" s="12" t="n">
        <f aca="false">IFERROR((Z299-J299)/L299,"")</f>
        <v>0.054712</v>
      </c>
      <c r="O299" s="3" t="n">
        <v>7</v>
      </c>
      <c r="P299" s="13" t="b">
        <f aca="false">FALSE()</f>
        <v>0</v>
      </c>
      <c r="Q299" s="3" t="s">
        <v>166</v>
      </c>
      <c r="R299" s="12" t="n">
        <v>0.925</v>
      </c>
      <c r="S299" s="12" t="n">
        <v>0.5097</v>
      </c>
      <c r="T299" s="3" t="n">
        <v>0.131</v>
      </c>
      <c r="U299" s="12" t="n">
        <v>0.6703</v>
      </c>
      <c r="V299" s="12" t="n">
        <v>0.4801</v>
      </c>
      <c r="W299" s="12" t="n">
        <v>0.509</v>
      </c>
      <c r="X299" s="3" t="n">
        <v>0.5952</v>
      </c>
      <c r="Y299" s="3" t="n">
        <v>0.725</v>
      </c>
      <c r="Z299" s="14" t="n">
        <f aca="false">Assumptions!$B$3*R299+Assumptions!$B$4*S299+IF(AA299=1,Assumptions!$B$11,Assumptions!$B$5)*X299+IF(AA299=1,Assumptions!$B$12,Assumptions!$B$6)*T299+Assumptions!$B$7*U299+Assumptions!$B$8*V299+Assumptions!$B$9*Y299</f>
        <v>0.620248</v>
      </c>
      <c r="AA299" s="3" t="n">
        <v>0</v>
      </c>
    </row>
    <row r="300" customFormat="false" ht="15" hidden="false" customHeight="false" outlineLevel="0" collapsed="false">
      <c r="A300" s="3" t="s">
        <v>485</v>
      </c>
      <c r="B300" s="3" t="n">
        <v>465</v>
      </c>
      <c r="C300" s="11" t="str">
        <f aca="false">IF(M300&gt;=Assumptions!$B$17,"S+",IF(M300&gt;=Assumptions!$B$18,"S",IF(M300&gt;=Assumptions!$B$19,"A",IF(M300&gt;=Assumptions!$B$20,"B",IF(M300&gt;=Assumptions!$B$21,"C",IF(M300&gt;=Assumptions!$B$22,"D","F"))))))</f>
        <v>B</v>
      </c>
      <c r="D300" s="3" t="s">
        <v>190</v>
      </c>
      <c r="E300" s="3" t="n">
        <v>1</v>
      </c>
      <c r="F300" s="12" t="n">
        <v>0.7856</v>
      </c>
      <c r="G300" s="12" t="n">
        <v>1</v>
      </c>
      <c r="H300" s="12" t="n">
        <v>0.75</v>
      </c>
      <c r="I300" s="12" t="n">
        <v>0.8685</v>
      </c>
      <c r="J300" s="12" t="n">
        <v>0.3553</v>
      </c>
      <c r="K300" s="12" t="n">
        <v>0.5729</v>
      </c>
      <c r="L300" s="3" t="n">
        <v>6.37</v>
      </c>
      <c r="M300" s="12" t="n">
        <f aca="false">Z300-W300</f>
        <v>0.111173</v>
      </c>
      <c r="N300" s="12" t="n">
        <f aca="false">IFERROR((Z300-J300)/L300,"")</f>
        <v>0.0341558869701727</v>
      </c>
      <c r="O300" s="3" t="n">
        <v>19</v>
      </c>
      <c r="P300" s="13" t="b">
        <f aca="false">FALSE()</f>
        <v>0</v>
      </c>
      <c r="Q300" s="3" t="s">
        <v>166</v>
      </c>
      <c r="R300" s="12" t="n">
        <v>0.7964</v>
      </c>
      <c r="S300" s="12" t="n">
        <v>0.5207</v>
      </c>
      <c r="T300" s="3" t="n">
        <v>0.4669</v>
      </c>
      <c r="U300" s="12" t="n">
        <v>0.4494</v>
      </c>
      <c r="V300" s="12" t="n">
        <v>0.5056</v>
      </c>
      <c r="W300" s="12" t="n">
        <v>0.4617</v>
      </c>
      <c r="X300" s="3" t="n">
        <v>0.3555</v>
      </c>
      <c r="Y300" s="3" t="n">
        <v>0.7424</v>
      </c>
      <c r="Z300" s="14" t="n">
        <f aca="false">Assumptions!$B$3*R300+Assumptions!$B$4*S300+IF(AA300=1,Assumptions!$B$11,Assumptions!$B$5)*X300+IF(AA300=1,Assumptions!$B$12,Assumptions!$B$6)*T300+Assumptions!$B$7*U300+Assumptions!$B$8*V300+Assumptions!$B$9*Y300</f>
        <v>0.572873</v>
      </c>
      <c r="AA300" s="3" t="n">
        <v>0</v>
      </c>
    </row>
    <row r="301" customFormat="false" ht="15" hidden="false" customHeight="false" outlineLevel="0" collapsed="false">
      <c r="A301" s="3" t="s">
        <v>486</v>
      </c>
      <c r="B301" s="3" t="n">
        <v>550</v>
      </c>
      <c r="C301" s="11" t="str">
        <f aca="false">IF(M301&gt;=Assumptions!$B$17,"S+",IF(M301&gt;=Assumptions!$B$18,"S",IF(M301&gt;=Assumptions!$B$19,"A",IF(M301&gt;=Assumptions!$B$20,"B",IF(M301&gt;=Assumptions!$B$21,"C",IF(M301&gt;=Assumptions!$B$22,"D","F"))))))</f>
        <v>B</v>
      </c>
      <c r="D301" s="3" t="s">
        <v>197</v>
      </c>
      <c r="E301" s="3" t="n">
        <v>10</v>
      </c>
      <c r="F301" s="12" t="n">
        <v>0.8995</v>
      </c>
      <c r="G301" s="12" t="n">
        <v>0.4</v>
      </c>
      <c r="H301" s="12" t="n">
        <v>0.75</v>
      </c>
      <c r="I301" s="12" t="n">
        <v>0.6598</v>
      </c>
      <c r="J301" s="12" t="n">
        <v>0.3653</v>
      </c>
      <c r="K301" s="12" t="n">
        <v>0.6105</v>
      </c>
      <c r="L301" s="3" t="n">
        <v>4</v>
      </c>
      <c r="M301" s="12" t="n">
        <f aca="false">Z301-W301</f>
        <v>0.110924</v>
      </c>
      <c r="N301" s="12" t="n">
        <f aca="false">IFERROR((Z301-J301)/L301,"")</f>
        <v>0.061306</v>
      </c>
      <c r="O301" s="3" t="n">
        <v>10</v>
      </c>
      <c r="P301" s="13" t="b">
        <f aca="false">FALSE()</f>
        <v>0</v>
      </c>
      <c r="Q301" s="3" t="s">
        <v>166</v>
      </c>
      <c r="R301" s="12" t="n">
        <v>0.8574</v>
      </c>
      <c r="S301" s="12" t="n">
        <v>0.4671</v>
      </c>
      <c r="T301" s="3" t="n">
        <v>0.3417</v>
      </c>
      <c r="U301" s="12" t="n">
        <v>0.5538</v>
      </c>
      <c r="V301" s="12" t="n">
        <v>0.4449</v>
      </c>
      <c r="W301" s="12" t="n">
        <v>0.4996</v>
      </c>
      <c r="X301" s="3" t="n">
        <v>0.6657</v>
      </c>
      <c r="Y301" s="3" t="n">
        <v>0.657</v>
      </c>
      <c r="Z301" s="14" t="n">
        <f aca="false">Assumptions!$B$3*R301+Assumptions!$B$4*S301+IF(AA301=1,Assumptions!$B$11,Assumptions!$B$5)*X301+IF(AA301=1,Assumptions!$B$12,Assumptions!$B$6)*T301+Assumptions!$B$7*U301+Assumptions!$B$8*V301+Assumptions!$B$9*Y301</f>
        <v>0.610524</v>
      </c>
      <c r="AA301" s="3" t="n">
        <v>0</v>
      </c>
    </row>
    <row r="302" customFormat="false" ht="15" hidden="false" customHeight="false" outlineLevel="0" collapsed="false">
      <c r="A302" s="3" t="s">
        <v>487</v>
      </c>
      <c r="B302" s="3" t="n">
        <v>315</v>
      </c>
      <c r="C302" s="11" t="str">
        <f aca="false">IF(M302&gt;=Assumptions!$B$17,"S+",IF(M302&gt;=Assumptions!$B$18,"S",IF(M302&gt;=Assumptions!$B$19,"A",IF(M302&gt;=Assumptions!$B$20,"B",IF(M302&gt;=Assumptions!$B$21,"C",IF(M302&gt;=Assumptions!$B$22,"D","F"))))))</f>
        <v>B</v>
      </c>
      <c r="D302" s="3" t="s">
        <v>206</v>
      </c>
      <c r="E302" s="3" t="n">
        <v>1</v>
      </c>
      <c r="F302" s="12" t="n">
        <v>0.7662</v>
      </c>
      <c r="G302" s="12" t="n">
        <v>0.76</v>
      </c>
      <c r="H302" s="12" t="n">
        <v>0.4722</v>
      </c>
      <c r="I302" s="12" t="n">
        <v>0.6898</v>
      </c>
      <c r="J302" s="12" t="n">
        <v>0.3345</v>
      </c>
      <c r="K302" s="12" t="n">
        <v>0.5547</v>
      </c>
      <c r="L302" s="3" t="n">
        <v>6.79</v>
      </c>
      <c r="M302" s="12" t="n">
        <f aca="false">Z302-W302</f>
        <v>0.110925</v>
      </c>
      <c r="N302" s="12" t="n">
        <f aca="false">IFERROR((Z302-J302)/L302,"")</f>
        <v>0.0324337260677467</v>
      </c>
      <c r="O302" s="3" t="n">
        <v>19</v>
      </c>
      <c r="P302" s="13" t="b">
        <f aca="false">FALSE()</f>
        <v>0</v>
      </c>
      <c r="Q302" s="3" t="s">
        <v>166</v>
      </c>
      <c r="R302" s="12" t="n">
        <v>0.5745</v>
      </c>
      <c r="S302" s="12" t="n">
        <v>0.5605</v>
      </c>
      <c r="T302" s="3" t="n">
        <v>0.0292</v>
      </c>
      <c r="U302" s="12" t="n">
        <v>0.4373</v>
      </c>
      <c r="V302" s="12" t="n">
        <v>0.4722</v>
      </c>
      <c r="W302" s="12" t="n">
        <v>0.4438</v>
      </c>
      <c r="X302" s="3" t="n">
        <v>0.6735</v>
      </c>
      <c r="Y302" s="3" t="n">
        <v>0.628</v>
      </c>
      <c r="Z302" s="14" t="n">
        <f aca="false">Assumptions!$B$3*R302+Assumptions!$B$4*S302+IF(AA302=1,Assumptions!$B$11,Assumptions!$B$5)*X302+IF(AA302=1,Assumptions!$B$12,Assumptions!$B$6)*T302+Assumptions!$B$7*U302+Assumptions!$B$8*V302+Assumptions!$B$9*Y302</f>
        <v>0.554725</v>
      </c>
      <c r="AA302" s="3" t="n">
        <v>1</v>
      </c>
    </row>
    <row r="303" customFormat="false" ht="15" hidden="false" customHeight="false" outlineLevel="0" collapsed="false">
      <c r="A303" s="3" t="s">
        <v>488</v>
      </c>
      <c r="B303" s="3" t="n">
        <v>570</v>
      </c>
      <c r="C303" s="11" t="str">
        <f aca="false">IF(M303&gt;=Assumptions!$B$17,"S+",IF(M303&gt;=Assumptions!$B$18,"S",IF(M303&gt;=Assumptions!$B$19,"A",IF(M303&gt;=Assumptions!$B$20,"B",IF(M303&gt;=Assumptions!$B$21,"C",IF(M303&gt;=Assumptions!$B$22,"D","F"))))))</f>
        <v>B</v>
      </c>
      <c r="D303" s="3" t="s">
        <v>197</v>
      </c>
      <c r="E303" s="3" t="n">
        <v>1</v>
      </c>
      <c r="F303" s="12" t="n">
        <v>0.5064</v>
      </c>
      <c r="G303" s="12" t="n">
        <v>0.8</v>
      </c>
      <c r="H303" s="12" t="n">
        <v>0.75</v>
      </c>
      <c r="I303" s="12" t="n">
        <v>0.6784</v>
      </c>
      <c r="J303" s="12" t="n">
        <v>0.4154</v>
      </c>
      <c r="K303" s="12" t="n">
        <v>0.6044</v>
      </c>
      <c r="L303" s="3" t="n">
        <v>3.61</v>
      </c>
      <c r="M303" s="12" t="n">
        <f aca="false">Z303-W303</f>
        <v>0.109533</v>
      </c>
      <c r="N303" s="12" t="n">
        <f aca="false">IFERROR((Z303-J303)/L303,"")</f>
        <v>0.0523637119113573</v>
      </c>
      <c r="O303" s="3" t="n">
        <v>19</v>
      </c>
      <c r="P303" s="13" t="b">
        <f aca="false">FALSE()</f>
        <v>0</v>
      </c>
      <c r="Q303" s="3" t="s">
        <v>166</v>
      </c>
      <c r="R303" s="12" t="n">
        <v>0.8146</v>
      </c>
      <c r="S303" s="12" t="n">
        <v>0.8189</v>
      </c>
      <c r="T303" s="3" t="n">
        <v>0.3218</v>
      </c>
      <c r="U303" s="12" t="n">
        <v>0.2632</v>
      </c>
      <c r="V303" s="12" t="n">
        <v>0.599</v>
      </c>
      <c r="W303" s="12" t="n">
        <v>0.4949</v>
      </c>
      <c r="X303" s="3" t="n">
        <v>0.4881</v>
      </c>
      <c r="Y303" s="3" t="n">
        <v>0.6088</v>
      </c>
      <c r="Z303" s="14" t="n">
        <f aca="false">Assumptions!$B$3*R303+Assumptions!$B$4*S303+IF(AA303=1,Assumptions!$B$11,Assumptions!$B$5)*X303+IF(AA303=1,Assumptions!$B$12,Assumptions!$B$6)*T303+Assumptions!$B$7*U303+Assumptions!$B$8*V303+Assumptions!$B$9*Y303</f>
        <v>0.604433</v>
      </c>
      <c r="AA303" s="3" t="n">
        <v>0</v>
      </c>
    </row>
    <row r="304" customFormat="false" ht="15" hidden="false" customHeight="false" outlineLevel="0" collapsed="false">
      <c r="A304" s="3" t="s">
        <v>489</v>
      </c>
      <c r="B304" s="3" t="n">
        <v>482</v>
      </c>
      <c r="C304" s="11" t="str">
        <f aca="false">IF(M304&gt;=Assumptions!$B$17,"S+",IF(M304&gt;=Assumptions!$B$18,"S",IF(M304&gt;=Assumptions!$B$19,"A",IF(M304&gt;=Assumptions!$B$20,"B",IF(M304&gt;=Assumptions!$B$21,"C",IF(M304&gt;=Assumptions!$B$22,"D","F"))))))</f>
        <v>B</v>
      </c>
      <c r="D304" s="3" t="s">
        <v>218</v>
      </c>
      <c r="E304" s="3" t="n">
        <v>2</v>
      </c>
      <c r="F304" s="12" t="n">
        <v>0.6413</v>
      </c>
      <c r="G304" s="12" t="n">
        <v>1</v>
      </c>
      <c r="H304" s="12" t="n">
        <v>0.75</v>
      </c>
      <c r="I304" s="12" t="n">
        <v>0.8352</v>
      </c>
      <c r="J304" s="12" t="n">
        <v>0.4304</v>
      </c>
      <c r="K304" s="12" t="n">
        <v>0.6278</v>
      </c>
      <c r="L304" s="3" t="n">
        <v>6.89</v>
      </c>
      <c r="M304" s="12" t="n">
        <f aca="false">Z304-W304</f>
        <v>0.109464</v>
      </c>
      <c r="N304" s="12" t="n">
        <f aca="false">IFERROR((Z304-J304)/L304,"")</f>
        <v>0.028644992743106</v>
      </c>
      <c r="O304" s="3" t="n">
        <v>18</v>
      </c>
      <c r="P304" s="13" t="b">
        <f aca="false">FALSE()</f>
        <v>0</v>
      </c>
      <c r="Q304" s="3" t="s">
        <v>166</v>
      </c>
      <c r="R304" s="12" t="n">
        <v>0.7093</v>
      </c>
      <c r="S304" s="12" t="n">
        <v>0.5755</v>
      </c>
      <c r="T304" s="3" t="n">
        <v>0.5036</v>
      </c>
      <c r="U304" s="12" t="n">
        <v>0.6026</v>
      </c>
      <c r="V304" s="12" t="n">
        <v>0.4931</v>
      </c>
      <c r="W304" s="12" t="n">
        <v>0.5183</v>
      </c>
      <c r="X304" s="3" t="n">
        <v>0.6303</v>
      </c>
      <c r="Y304" s="3" t="n">
        <v>0.8124</v>
      </c>
      <c r="Z304" s="14" t="n">
        <f aca="false">Assumptions!$B$3*R304+Assumptions!$B$4*S304+IF(AA304=1,Assumptions!$B$11,Assumptions!$B$5)*X304+IF(AA304=1,Assumptions!$B$12,Assumptions!$B$6)*T304+Assumptions!$B$7*U304+Assumptions!$B$8*V304+Assumptions!$B$9*Y304</f>
        <v>0.627764</v>
      </c>
      <c r="AA304" s="3" t="n">
        <v>0</v>
      </c>
    </row>
    <row r="305" customFormat="false" ht="15" hidden="false" customHeight="false" outlineLevel="0" collapsed="false">
      <c r="A305" s="3" t="s">
        <v>490</v>
      </c>
      <c r="B305" s="3" t="n">
        <v>460</v>
      </c>
      <c r="C305" s="11" t="str">
        <f aca="false">IF(M305&gt;=Assumptions!$B$17,"S+",IF(M305&gt;=Assumptions!$B$18,"S",IF(M305&gt;=Assumptions!$B$19,"A",IF(M305&gt;=Assumptions!$B$20,"B",IF(M305&gt;=Assumptions!$B$21,"C",IF(M305&gt;=Assumptions!$B$22,"D","F"))))))</f>
        <v>B</v>
      </c>
      <c r="D305" s="3" t="s">
        <v>228</v>
      </c>
      <c r="E305" s="3" t="n">
        <v>3</v>
      </c>
      <c r="F305" s="12" t="n">
        <v>0.6955</v>
      </c>
      <c r="G305" s="12" t="n">
        <v>0.8</v>
      </c>
      <c r="H305" s="12" t="n">
        <v>0.75</v>
      </c>
      <c r="I305" s="12" t="n">
        <v>0.7566</v>
      </c>
      <c r="J305" s="12" t="n">
        <v>0.4174</v>
      </c>
      <c r="K305" s="12" t="n">
        <v>0.585</v>
      </c>
      <c r="L305" s="3" t="n">
        <v>4.74</v>
      </c>
      <c r="M305" s="12" t="n">
        <f aca="false">Z305-W305</f>
        <v>0.109415</v>
      </c>
      <c r="N305" s="12" t="n">
        <f aca="false">IFERROR((Z305-J305)/L305,"")</f>
        <v>0.0353618143459916</v>
      </c>
      <c r="O305" s="3" t="n">
        <v>17</v>
      </c>
      <c r="P305" s="13" t="b">
        <f aca="false">FALSE()</f>
        <v>0</v>
      </c>
      <c r="Q305" s="3" t="s">
        <v>166</v>
      </c>
      <c r="R305" s="12" t="n">
        <v>0.902</v>
      </c>
      <c r="S305" s="12" t="n">
        <v>0.5114</v>
      </c>
      <c r="T305" s="3" t="n">
        <v>0.4054</v>
      </c>
      <c r="U305" s="12" t="n">
        <v>0.4072</v>
      </c>
      <c r="V305" s="12" t="n">
        <v>0.4913</v>
      </c>
      <c r="W305" s="12" t="n">
        <v>0.4756</v>
      </c>
      <c r="X305" s="3" t="n">
        <v>0.3494</v>
      </c>
      <c r="Y305" s="3" t="n">
        <v>0.7447</v>
      </c>
      <c r="Z305" s="14" t="n">
        <f aca="false">Assumptions!$B$3*R305+Assumptions!$B$4*S305+IF(AA305=1,Assumptions!$B$11,Assumptions!$B$5)*X305+IF(AA305=1,Assumptions!$B$12,Assumptions!$B$6)*T305+Assumptions!$B$7*U305+Assumptions!$B$8*V305+Assumptions!$B$9*Y305</f>
        <v>0.585015</v>
      </c>
      <c r="AA305" s="3" t="n">
        <v>0</v>
      </c>
    </row>
    <row r="306" customFormat="false" ht="15" hidden="false" customHeight="false" outlineLevel="0" collapsed="false">
      <c r="A306" s="3" t="s">
        <v>491</v>
      </c>
      <c r="B306" s="3" t="n">
        <v>670</v>
      </c>
      <c r="C306" s="11" t="str">
        <f aca="false">IF(M306&gt;=Assumptions!$B$17,"S+",IF(M306&gt;=Assumptions!$B$18,"S",IF(M306&gt;=Assumptions!$B$19,"A",IF(M306&gt;=Assumptions!$B$20,"B",IF(M306&gt;=Assumptions!$B$21,"C",IF(M306&gt;=Assumptions!$B$22,"D","F"))))))</f>
        <v>B</v>
      </c>
      <c r="D306" s="3" t="s">
        <v>253</v>
      </c>
      <c r="E306" s="3" t="n">
        <v>13</v>
      </c>
      <c r="F306" s="12" t="n">
        <v>0.9469</v>
      </c>
      <c r="G306" s="12" t="n">
        <v>0.4</v>
      </c>
      <c r="H306" s="12" t="n">
        <v>0.75</v>
      </c>
      <c r="I306" s="12" t="n">
        <v>0.645</v>
      </c>
      <c r="J306" s="12" t="n">
        <v>0.4686</v>
      </c>
      <c r="K306" s="12" t="n">
        <v>0.637</v>
      </c>
      <c r="L306" s="3" t="n">
        <v>4</v>
      </c>
      <c r="M306" s="12" t="n">
        <f aca="false">Z306-W306</f>
        <v>0.108936</v>
      </c>
      <c r="N306" s="12" t="n">
        <f aca="false">IFERROR((Z306-J306)/L306,"")</f>
        <v>0.042084</v>
      </c>
      <c r="O306" s="3" t="n">
        <v>7</v>
      </c>
      <c r="P306" s="13" t="b">
        <f aca="false">FALSE()</f>
        <v>0</v>
      </c>
      <c r="Q306" s="3" t="s">
        <v>166</v>
      </c>
      <c r="R306" s="12" t="n">
        <v>0.8918</v>
      </c>
      <c r="S306" s="12" t="n">
        <v>0.772</v>
      </c>
      <c r="T306" s="3" t="n">
        <v>0.1945</v>
      </c>
      <c r="U306" s="12" t="n">
        <v>0.3077</v>
      </c>
      <c r="V306" s="12" t="n">
        <v>0.5102</v>
      </c>
      <c r="W306" s="12" t="n">
        <v>0.528</v>
      </c>
      <c r="X306" s="3" t="n">
        <v>0.7156</v>
      </c>
      <c r="Y306" s="3" t="n">
        <v>0.6454</v>
      </c>
      <c r="Z306" s="14" t="n">
        <f aca="false">Assumptions!$B$3*R306+Assumptions!$B$4*S306+IF(AA306=1,Assumptions!$B$11,Assumptions!$B$5)*X306+IF(AA306=1,Assumptions!$B$12,Assumptions!$B$6)*T306+Assumptions!$B$7*U306+Assumptions!$B$8*V306+Assumptions!$B$9*Y306</f>
        <v>0.636936</v>
      </c>
      <c r="AA306" s="3" t="n">
        <v>0</v>
      </c>
    </row>
    <row r="307" customFormat="false" ht="15" hidden="false" customHeight="false" outlineLevel="0" collapsed="false">
      <c r="A307" s="3" t="s">
        <v>492</v>
      </c>
      <c r="B307" s="3" t="n">
        <v>460</v>
      </c>
      <c r="C307" s="11" t="str">
        <f aca="false">IF(M307&gt;=Assumptions!$B$17,"S+",IF(M307&gt;=Assumptions!$B$18,"S",IF(M307&gt;=Assumptions!$B$19,"A",IF(M307&gt;=Assumptions!$B$20,"B",IF(M307&gt;=Assumptions!$B$21,"C",IF(M307&gt;=Assumptions!$B$22,"D","F"))))))</f>
        <v>B</v>
      </c>
      <c r="D307" s="3" t="s">
        <v>190</v>
      </c>
      <c r="E307" s="3" t="n">
        <v>1</v>
      </c>
      <c r="F307" s="12" t="n">
        <v>0.8012</v>
      </c>
      <c r="G307" s="12" t="n">
        <v>1</v>
      </c>
      <c r="H307" s="12" t="n">
        <v>0.75</v>
      </c>
      <c r="I307" s="12" t="n">
        <v>0.8744</v>
      </c>
      <c r="J307" s="12" t="n">
        <v>0.4294</v>
      </c>
      <c r="K307" s="12" t="n">
        <v>0.6057</v>
      </c>
      <c r="L307" s="3" t="n">
        <v>6.47</v>
      </c>
      <c r="M307" s="12" t="n">
        <f aca="false">Z307-W307</f>
        <v>0.108023</v>
      </c>
      <c r="N307" s="12" t="n">
        <f aca="false">IFERROR((Z307-J307)/L307,"")</f>
        <v>0.0272523956723339</v>
      </c>
      <c r="O307" s="3" t="n">
        <v>19</v>
      </c>
      <c r="P307" s="13" t="b">
        <f aca="false">FALSE()</f>
        <v>0</v>
      </c>
      <c r="Q307" s="3" t="s">
        <v>166</v>
      </c>
      <c r="R307" s="12" t="n">
        <v>0.9192</v>
      </c>
      <c r="S307" s="12" t="n">
        <v>0.5536</v>
      </c>
      <c r="T307" s="3" t="n">
        <v>0.461</v>
      </c>
      <c r="U307" s="12" t="n">
        <v>0.3724</v>
      </c>
      <c r="V307" s="12" t="n">
        <v>0.4905</v>
      </c>
      <c r="W307" s="12" t="n">
        <v>0.4977</v>
      </c>
      <c r="X307" s="3" t="n">
        <v>0.3126</v>
      </c>
      <c r="Y307" s="3" t="n">
        <v>0.8716</v>
      </c>
      <c r="Z307" s="14" t="n">
        <f aca="false">Assumptions!$B$3*R307+Assumptions!$B$4*S307+IF(AA307=1,Assumptions!$B$11,Assumptions!$B$5)*X307+IF(AA307=1,Assumptions!$B$12,Assumptions!$B$6)*T307+Assumptions!$B$7*U307+Assumptions!$B$8*V307+Assumptions!$B$9*Y307</f>
        <v>0.605723</v>
      </c>
      <c r="AA307" s="3" t="n">
        <v>0</v>
      </c>
    </row>
    <row r="308" customFormat="false" ht="15" hidden="false" customHeight="false" outlineLevel="0" collapsed="false">
      <c r="A308" s="3" t="s">
        <v>493</v>
      </c>
      <c r="B308" s="3" t="n">
        <v>495</v>
      </c>
      <c r="C308" s="11" t="str">
        <f aca="false">IF(M308&gt;=Assumptions!$B$17,"S+",IF(M308&gt;=Assumptions!$B$18,"S",IF(M308&gt;=Assumptions!$B$19,"A",IF(M308&gt;=Assumptions!$B$20,"B",IF(M308&gt;=Assumptions!$B$21,"C",IF(M308&gt;=Assumptions!$B$22,"D","F"))))))</f>
        <v>B</v>
      </c>
      <c r="D308" s="3" t="s">
        <v>253</v>
      </c>
      <c r="E308" s="3" t="n">
        <v>6</v>
      </c>
      <c r="F308" s="12" t="n">
        <v>0.7806</v>
      </c>
      <c r="G308" s="12" t="n">
        <v>0.4</v>
      </c>
      <c r="H308" s="12" t="n">
        <v>0.75</v>
      </c>
      <c r="I308" s="12" t="n">
        <v>0.5918</v>
      </c>
      <c r="J308" s="12" t="n">
        <v>0.4406</v>
      </c>
      <c r="K308" s="12" t="n">
        <v>0.6383</v>
      </c>
      <c r="L308" s="3" t="n">
        <v>5</v>
      </c>
      <c r="M308" s="12" t="n">
        <f aca="false">Z308-W308</f>
        <v>0.108014</v>
      </c>
      <c r="N308" s="12" t="n">
        <f aca="false">IFERROR((Z308-J308)/L308,"")</f>
        <v>0.0395428</v>
      </c>
      <c r="O308" s="3" t="n">
        <v>14</v>
      </c>
      <c r="P308" s="13" t="b">
        <f aca="false">FALSE()</f>
        <v>0</v>
      </c>
      <c r="Q308" s="3" t="s">
        <v>166</v>
      </c>
      <c r="R308" s="12" t="n">
        <v>0.7799</v>
      </c>
      <c r="S308" s="12" t="n">
        <v>0.6935</v>
      </c>
      <c r="T308" s="3" t="n">
        <v>0.1059</v>
      </c>
      <c r="U308" s="12" t="n">
        <v>0.6099</v>
      </c>
      <c r="V308" s="12" t="n">
        <v>0.5091</v>
      </c>
      <c r="W308" s="12" t="n">
        <v>0.5303</v>
      </c>
      <c r="X308" s="3" t="n">
        <v>0.8921</v>
      </c>
      <c r="Y308" s="3" t="n">
        <v>0.5908</v>
      </c>
      <c r="Z308" s="14" t="n">
        <f aca="false">Assumptions!$B$3*R308+Assumptions!$B$4*S308+IF(AA308=1,Assumptions!$B$11,Assumptions!$B$5)*X308+IF(AA308=1,Assumptions!$B$12,Assumptions!$B$6)*T308+Assumptions!$B$7*U308+Assumptions!$B$8*V308+Assumptions!$B$9*Y308</f>
        <v>0.638314</v>
      </c>
      <c r="AA308" s="3" t="n">
        <v>0</v>
      </c>
    </row>
    <row r="309" customFormat="false" ht="15" hidden="false" customHeight="false" outlineLevel="0" collapsed="false">
      <c r="A309" s="3" t="s">
        <v>494</v>
      </c>
      <c r="B309" s="3" t="n">
        <v>460</v>
      </c>
      <c r="C309" s="11" t="str">
        <f aca="false">IF(M309&gt;=Assumptions!$B$17,"S+",IF(M309&gt;=Assumptions!$B$18,"S",IF(M309&gt;=Assumptions!$B$19,"A",IF(M309&gt;=Assumptions!$B$20,"B",IF(M309&gt;=Assumptions!$B$21,"C",IF(M309&gt;=Assumptions!$B$22,"D","F"))))))</f>
        <v>B</v>
      </c>
      <c r="D309" s="3" t="s">
        <v>190</v>
      </c>
      <c r="E309" s="3" t="n">
        <v>1</v>
      </c>
      <c r="F309" s="12" t="n">
        <v>0.8012</v>
      </c>
      <c r="G309" s="12" t="n">
        <v>1</v>
      </c>
      <c r="H309" s="12" t="n">
        <v>0.75</v>
      </c>
      <c r="I309" s="12" t="n">
        <v>0.8744</v>
      </c>
      <c r="J309" s="12" t="n">
        <v>0.4294</v>
      </c>
      <c r="K309" s="12" t="n">
        <v>0.6057</v>
      </c>
      <c r="L309" s="3" t="n">
        <v>6.47</v>
      </c>
      <c r="M309" s="12" t="n">
        <f aca="false">Z309-W309</f>
        <v>0.108023</v>
      </c>
      <c r="N309" s="12" t="n">
        <f aca="false">IFERROR((Z309-J309)/L309,"")</f>
        <v>0.0272523956723339</v>
      </c>
      <c r="O309" s="3" t="n">
        <v>19</v>
      </c>
      <c r="P309" s="13" t="b">
        <f aca="false">FALSE()</f>
        <v>0</v>
      </c>
      <c r="Q309" s="3" t="s">
        <v>166</v>
      </c>
      <c r="R309" s="12" t="n">
        <v>0.9192</v>
      </c>
      <c r="S309" s="12" t="n">
        <v>0.5536</v>
      </c>
      <c r="T309" s="3" t="n">
        <v>0.461</v>
      </c>
      <c r="U309" s="12" t="n">
        <v>0.3724</v>
      </c>
      <c r="V309" s="12" t="n">
        <v>0.4905</v>
      </c>
      <c r="W309" s="12" t="n">
        <v>0.4977</v>
      </c>
      <c r="X309" s="3" t="n">
        <v>0.3126</v>
      </c>
      <c r="Y309" s="3" t="n">
        <v>0.8716</v>
      </c>
      <c r="Z309" s="14" t="n">
        <f aca="false">Assumptions!$B$3*R309+Assumptions!$B$4*S309+IF(AA309=1,Assumptions!$B$11,Assumptions!$B$5)*X309+IF(AA309=1,Assumptions!$B$12,Assumptions!$B$6)*T309+Assumptions!$B$7*U309+Assumptions!$B$8*V309+Assumptions!$B$9*Y309</f>
        <v>0.605723</v>
      </c>
      <c r="AA309" s="3" t="n">
        <v>0</v>
      </c>
    </row>
    <row r="310" customFormat="false" ht="15" hidden="false" customHeight="false" outlineLevel="0" collapsed="false">
      <c r="A310" s="3" t="s">
        <v>495</v>
      </c>
      <c r="B310" s="3" t="n">
        <v>534</v>
      </c>
      <c r="C310" s="11" t="str">
        <f aca="false">IF(M310&gt;=Assumptions!$B$17,"S+",IF(M310&gt;=Assumptions!$B$18,"S",IF(M310&gt;=Assumptions!$B$19,"A",IF(M310&gt;=Assumptions!$B$20,"B",IF(M310&gt;=Assumptions!$B$21,"C",IF(M310&gt;=Assumptions!$B$22,"D","F"))))))</f>
        <v>B</v>
      </c>
      <c r="D310" s="3" t="s">
        <v>208</v>
      </c>
      <c r="E310" s="3" t="n">
        <v>3</v>
      </c>
      <c r="F310" s="12" t="n">
        <v>0.7908</v>
      </c>
      <c r="G310" s="12" t="n">
        <v>0.45</v>
      </c>
      <c r="H310" s="12" t="n">
        <v>0.4762</v>
      </c>
      <c r="I310" s="12" t="n">
        <v>0.5745</v>
      </c>
      <c r="J310" s="12" t="n">
        <v>0.3195</v>
      </c>
      <c r="K310" s="12" t="n">
        <v>0.5404</v>
      </c>
      <c r="L310" s="3" t="n">
        <v>3.82</v>
      </c>
      <c r="M310" s="12" t="n">
        <f aca="false">Z310-W310</f>
        <v>0.107519</v>
      </c>
      <c r="N310" s="12" t="n">
        <f aca="false">IFERROR((Z310-J310)/L310,"")</f>
        <v>0.0578321989528796</v>
      </c>
      <c r="O310" s="3" t="n">
        <v>17</v>
      </c>
      <c r="P310" s="13" t="b">
        <f aca="false">FALSE()</f>
        <v>0</v>
      </c>
      <c r="Q310" s="3" t="s">
        <v>166</v>
      </c>
      <c r="R310" s="12" t="n">
        <v>0.594</v>
      </c>
      <c r="S310" s="12" t="n">
        <v>0.7595</v>
      </c>
      <c r="T310" s="3" t="n">
        <v>0.2096</v>
      </c>
      <c r="U310" s="12" t="n">
        <v>0.3348</v>
      </c>
      <c r="V310" s="12" t="n">
        <v>0.4584</v>
      </c>
      <c r="W310" s="12" t="n">
        <v>0.4329</v>
      </c>
      <c r="X310" s="3" t="n">
        <v>0.5224</v>
      </c>
      <c r="Y310" s="3" t="n">
        <v>0.5439</v>
      </c>
      <c r="Z310" s="14" t="n">
        <f aca="false">Assumptions!$B$3*R310+Assumptions!$B$4*S310+IF(AA310=1,Assumptions!$B$11,Assumptions!$B$5)*X310+IF(AA310=1,Assumptions!$B$12,Assumptions!$B$6)*T310+Assumptions!$B$7*U310+Assumptions!$B$8*V310+Assumptions!$B$9*Y310</f>
        <v>0.540419</v>
      </c>
      <c r="AA310" s="3" t="n">
        <v>1</v>
      </c>
    </row>
    <row r="311" customFormat="false" ht="15" hidden="false" customHeight="false" outlineLevel="0" collapsed="false">
      <c r="A311" s="3" t="s">
        <v>496</v>
      </c>
      <c r="B311" s="3" t="n">
        <v>420</v>
      </c>
      <c r="C311" s="11" t="str">
        <f aca="false">IF(M311&gt;=Assumptions!$B$17,"S+",IF(M311&gt;=Assumptions!$B$18,"S",IF(M311&gt;=Assumptions!$B$19,"A",IF(M311&gt;=Assumptions!$B$20,"B",IF(M311&gt;=Assumptions!$B$21,"C",IF(M311&gt;=Assumptions!$B$22,"D","F"))))))</f>
        <v>B</v>
      </c>
      <c r="D311" s="3" t="s">
        <v>208</v>
      </c>
      <c r="E311" s="3" t="n">
        <v>3</v>
      </c>
      <c r="F311" s="12" t="n">
        <v>0.7291</v>
      </c>
      <c r="G311" s="12" t="n">
        <v>0.3</v>
      </c>
      <c r="H311" s="12" t="n">
        <v>0.4325</v>
      </c>
      <c r="I311" s="12" t="n">
        <v>0.4767</v>
      </c>
      <c r="J311" s="12" t="n">
        <v>0.3803</v>
      </c>
      <c r="K311" s="12" t="n">
        <v>0.5537</v>
      </c>
      <c r="L311" s="3" t="n">
        <v>3.76</v>
      </c>
      <c r="M311" s="12" t="n">
        <f aca="false">Z311-W311</f>
        <v>0.107471</v>
      </c>
      <c r="N311" s="12" t="n">
        <f aca="false">IFERROR((Z311-J311)/L311,"")</f>
        <v>0.0461093085106383</v>
      </c>
      <c r="O311" s="3" t="n">
        <v>17</v>
      </c>
      <c r="P311" s="13" t="b">
        <f aca="false">FALSE()</f>
        <v>0</v>
      </c>
      <c r="Q311" s="3" t="s">
        <v>166</v>
      </c>
      <c r="R311" s="12" t="n">
        <v>0.6651</v>
      </c>
      <c r="S311" s="12" t="n">
        <v>0.565</v>
      </c>
      <c r="T311" s="3" t="n">
        <v>0.0845</v>
      </c>
      <c r="U311" s="12" t="n">
        <v>0.3258</v>
      </c>
      <c r="V311" s="12" t="n">
        <v>0.4791</v>
      </c>
      <c r="W311" s="12" t="n">
        <v>0.4462</v>
      </c>
      <c r="X311" s="3" t="n">
        <v>0.6586</v>
      </c>
      <c r="Y311" s="3" t="n">
        <v>0.4927</v>
      </c>
      <c r="Z311" s="14" t="n">
        <f aca="false">Assumptions!$B$3*R311+Assumptions!$B$4*S311+IF(AA311=1,Assumptions!$B$11,Assumptions!$B$5)*X311+IF(AA311=1,Assumptions!$B$12,Assumptions!$B$6)*T311+Assumptions!$B$7*U311+Assumptions!$B$8*V311+Assumptions!$B$9*Y311</f>
        <v>0.553671</v>
      </c>
      <c r="AA311" s="3" t="n">
        <v>1</v>
      </c>
    </row>
    <row r="312" customFormat="false" ht="15" hidden="false" customHeight="false" outlineLevel="0" collapsed="false">
      <c r="A312" s="3" t="s">
        <v>497</v>
      </c>
      <c r="B312" s="3" t="n">
        <v>510</v>
      </c>
      <c r="C312" s="11" t="str">
        <f aca="false">IF(M312&gt;=Assumptions!$B$17,"S+",IF(M312&gt;=Assumptions!$B$18,"S",IF(M312&gt;=Assumptions!$B$19,"A",IF(M312&gt;=Assumptions!$B$20,"B",IF(M312&gt;=Assumptions!$B$21,"C",IF(M312&gt;=Assumptions!$B$22,"D","F"))))))</f>
        <v>B</v>
      </c>
      <c r="D312" s="3" t="s">
        <v>218</v>
      </c>
      <c r="E312" s="3" t="n">
        <v>1</v>
      </c>
      <c r="F312" s="12" t="n">
        <v>0.8985</v>
      </c>
      <c r="G312" s="12" t="n">
        <v>1</v>
      </c>
      <c r="H312" s="12" t="n">
        <v>0.75</v>
      </c>
      <c r="I312" s="12" t="n">
        <v>0.9175</v>
      </c>
      <c r="J312" s="12" t="n">
        <v>0.468</v>
      </c>
      <c r="K312" s="12" t="n">
        <v>0.6159</v>
      </c>
      <c r="L312" s="3" t="n">
        <v>4.71</v>
      </c>
      <c r="M312" s="12" t="n">
        <f aca="false">Z312-W312</f>
        <v>0.107337</v>
      </c>
      <c r="N312" s="12" t="n">
        <f aca="false">IFERROR((Z312-J312)/L312,"")</f>
        <v>0.0314091295116773</v>
      </c>
      <c r="O312" s="3" t="n">
        <v>19</v>
      </c>
      <c r="P312" s="13" t="b">
        <f aca="false">FALSE()</f>
        <v>0</v>
      </c>
      <c r="Q312" s="3" t="s">
        <v>166</v>
      </c>
      <c r="R312" s="12" t="n">
        <v>0.8502</v>
      </c>
      <c r="S312" s="12" t="n">
        <v>0.6711</v>
      </c>
      <c r="T312" s="3" t="n">
        <v>0.3991</v>
      </c>
      <c r="U312" s="12" t="n">
        <v>0.4292</v>
      </c>
      <c r="V312" s="12" t="n">
        <v>0.4878</v>
      </c>
      <c r="W312" s="12" t="n">
        <v>0.5086</v>
      </c>
      <c r="X312" s="3" t="n">
        <v>0.3755</v>
      </c>
      <c r="Y312" s="3" t="n">
        <v>0.8967</v>
      </c>
      <c r="Z312" s="14" t="n">
        <f aca="false">Assumptions!$B$3*R312+Assumptions!$B$4*S312+IF(AA312=1,Assumptions!$B$11,Assumptions!$B$5)*X312+IF(AA312=1,Assumptions!$B$12,Assumptions!$B$6)*T312+Assumptions!$B$7*U312+Assumptions!$B$8*V312+Assumptions!$B$9*Y312</f>
        <v>0.615937</v>
      </c>
      <c r="AA312" s="3" t="n">
        <v>0</v>
      </c>
    </row>
    <row r="313" customFormat="false" ht="15" hidden="false" customHeight="false" outlineLevel="0" collapsed="false">
      <c r="A313" s="3" t="s">
        <v>498</v>
      </c>
      <c r="B313" s="3" t="n">
        <v>510</v>
      </c>
      <c r="C313" s="11" t="str">
        <f aca="false">IF(M313&gt;=Assumptions!$B$17,"S+",IF(M313&gt;=Assumptions!$B$18,"S",IF(M313&gt;=Assumptions!$B$19,"A",IF(M313&gt;=Assumptions!$B$20,"B",IF(M313&gt;=Assumptions!$B$21,"C",IF(M313&gt;=Assumptions!$B$22,"D","F"))))))</f>
        <v>B</v>
      </c>
      <c r="D313" s="3" t="s">
        <v>253</v>
      </c>
      <c r="E313" s="3" t="n">
        <v>4</v>
      </c>
      <c r="F313" s="12" t="n">
        <v>0.8985</v>
      </c>
      <c r="G313" s="12" t="n">
        <v>0.4</v>
      </c>
      <c r="H313" s="12" t="n">
        <v>0.75</v>
      </c>
      <c r="I313" s="12" t="n">
        <v>0.6295</v>
      </c>
      <c r="J313" s="12" t="n">
        <v>0.43</v>
      </c>
      <c r="K313" s="12" t="n">
        <v>0.6319</v>
      </c>
      <c r="L313" s="3" t="n">
        <v>3.88</v>
      </c>
      <c r="M313" s="12" t="n">
        <f aca="false">Z313-W313</f>
        <v>0.107093</v>
      </c>
      <c r="N313" s="12" t="n">
        <f aca="false">IFERROR((Z313-J313)/L313,"")</f>
        <v>0.0520342783505155</v>
      </c>
      <c r="O313" s="3" t="n">
        <v>16</v>
      </c>
      <c r="P313" s="13" t="b">
        <f aca="false">FALSE()</f>
        <v>0</v>
      </c>
      <c r="Q313" s="3" t="s">
        <v>166</v>
      </c>
      <c r="R313" s="12" t="n">
        <v>0.8336</v>
      </c>
      <c r="S313" s="12" t="n">
        <v>0.708</v>
      </c>
      <c r="T313" s="3" t="n">
        <v>0.1953</v>
      </c>
      <c r="U313" s="12" t="n">
        <v>0.399</v>
      </c>
      <c r="V313" s="12" t="n">
        <v>0.5075</v>
      </c>
      <c r="W313" s="12" t="n">
        <v>0.5248</v>
      </c>
      <c r="X313" s="3" t="n">
        <v>0.8021</v>
      </c>
      <c r="Y313" s="3" t="n">
        <v>0.6146</v>
      </c>
      <c r="Z313" s="14" t="n">
        <f aca="false">Assumptions!$B$3*R313+Assumptions!$B$4*S313+IF(AA313=1,Assumptions!$B$11,Assumptions!$B$5)*X313+IF(AA313=1,Assumptions!$B$12,Assumptions!$B$6)*T313+Assumptions!$B$7*U313+Assumptions!$B$8*V313+Assumptions!$B$9*Y313</f>
        <v>0.631893</v>
      </c>
      <c r="AA313" s="3" t="n">
        <v>0</v>
      </c>
    </row>
    <row r="314" customFormat="false" ht="15" hidden="false" customHeight="false" outlineLevel="0" collapsed="false">
      <c r="A314" s="3" t="s">
        <v>499</v>
      </c>
      <c r="B314" s="3" t="n">
        <v>464</v>
      </c>
      <c r="C314" s="11" t="str">
        <f aca="false">IF(M314&gt;=Assumptions!$B$17,"S+",IF(M314&gt;=Assumptions!$B$18,"S",IF(M314&gt;=Assumptions!$B$19,"A",IF(M314&gt;=Assumptions!$B$20,"B",IF(M314&gt;=Assumptions!$B$21,"C",IF(M314&gt;=Assumptions!$B$22,"D","F"))))))</f>
        <v>B</v>
      </c>
      <c r="D314" s="3" t="s">
        <v>183</v>
      </c>
      <c r="E314" s="3" t="n">
        <v>7</v>
      </c>
      <c r="F314" s="12" t="n">
        <v>0.9185</v>
      </c>
      <c r="G314" s="12" t="n">
        <v>0.64</v>
      </c>
      <c r="H314" s="12" t="n">
        <v>0.4315</v>
      </c>
      <c r="I314" s="12" t="n">
        <v>0.6659</v>
      </c>
      <c r="J314" s="12" t="n">
        <v>0.4447</v>
      </c>
      <c r="K314" s="12" t="n">
        <v>0.5908</v>
      </c>
      <c r="L314" s="3" t="n">
        <v>5</v>
      </c>
      <c r="M314" s="12" t="n">
        <f aca="false">Z314-W314</f>
        <v>0.106281</v>
      </c>
      <c r="N314" s="12" t="n">
        <f aca="false">IFERROR((Z314-J314)/L314,"")</f>
        <v>0.0292362</v>
      </c>
      <c r="O314" s="3" t="n">
        <v>13</v>
      </c>
      <c r="P314" s="13" t="b">
        <f aca="false">FALSE()</f>
        <v>0</v>
      </c>
      <c r="Q314" s="3" t="s">
        <v>166</v>
      </c>
      <c r="R314" s="12" t="n">
        <v>0.613</v>
      </c>
      <c r="S314" s="12" t="n">
        <v>0.6513</v>
      </c>
      <c r="T314" s="3" t="n">
        <v>0.0409</v>
      </c>
      <c r="U314" s="12" t="n">
        <v>0.3491</v>
      </c>
      <c r="V314" s="12" t="n">
        <v>0.4754</v>
      </c>
      <c r="W314" s="12" t="n">
        <v>0.4846</v>
      </c>
      <c r="X314" s="3" t="n">
        <v>0.7379</v>
      </c>
      <c r="Y314" s="3" t="n">
        <v>0.6787</v>
      </c>
      <c r="Z314" s="14" t="n">
        <f aca="false">Assumptions!$B$3*R314+Assumptions!$B$4*S314+IF(AA314=1,Assumptions!$B$11,Assumptions!$B$5)*X314+IF(AA314=1,Assumptions!$B$12,Assumptions!$B$6)*T314+Assumptions!$B$7*U314+Assumptions!$B$8*V314+Assumptions!$B$9*Y314</f>
        <v>0.590881</v>
      </c>
      <c r="AA314" s="3" t="n">
        <v>1</v>
      </c>
    </row>
    <row r="315" customFormat="false" ht="15" hidden="false" customHeight="false" outlineLevel="0" collapsed="false">
      <c r="A315" s="3" t="s">
        <v>500</v>
      </c>
      <c r="B315" s="3" t="n">
        <v>525</v>
      </c>
      <c r="C315" s="11" t="str">
        <f aca="false">IF(M315&gt;=Assumptions!$B$17,"S+",IF(M315&gt;=Assumptions!$B$18,"S",IF(M315&gt;=Assumptions!$B$19,"A",IF(M315&gt;=Assumptions!$B$20,"B",IF(M315&gt;=Assumptions!$B$21,"C",IF(M315&gt;=Assumptions!$B$22,"D","F"))))))</f>
        <v>B</v>
      </c>
      <c r="D315" s="3" t="s">
        <v>186</v>
      </c>
      <c r="E315" s="3" t="n">
        <v>6</v>
      </c>
      <c r="F315" s="12" t="n">
        <v>0.4721</v>
      </c>
      <c r="G315" s="12" t="n">
        <v>0.85</v>
      </c>
      <c r="H315" s="12" t="n">
        <v>0.75</v>
      </c>
      <c r="I315" s="12" t="n">
        <v>0.762</v>
      </c>
      <c r="J315" s="12" t="n">
        <v>0.4234</v>
      </c>
      <c r="K315" s="12" t="n">
        <v>0.547</v>
      </c>
      <c r="L315" s="3" t="n">
        <v>5</v>
      </c>
      <c r="M315" s="12" t="n">
        <f aca="false">Z315-W315</f>
        <v>0.106172</v>
      </c>
      <c r="N315" s="12" t="n">
        <f aca="false">IFERROR((Z315-J315)/L315,"")</f>
        <v>0.0247144</v>
      </c>
      <c r="O315" s="3" t="n">
        <v>14</v>
      </c>
      <c r="P315" s="13" t="b">
        <f aca="false">FALSE()</f>
        <v>0</v>
      </c>
      <c r="Q315" s="3" t="s">
        <v>166</v>
      </c>
      <c r="R315" s="12" t="n">
        <v>0.7555</v>
      </c>
      <c r="S315" s="12" t="n">
        <v>0.5364</v>
      </c>
      <c r="T315" s="3" t="n">
        <v>0.0514</v>
      </c>
      <c r="U315" s="12" t="n">
        <v>0.4945</v>
      </c>
      <c r="V315" s="12" t="n">
        <v>0.3512</v>
      </c>
      <c r="W315" s="12" t="n">
        <v>0.4408</v>
      </c>
      <c r="X315" s="3" t="n">
        <v>0.4681</v>
      </c>
      <c r="Y315" s="3" t="n">
        <v>0.676</v>
      </c>
      <c r="Z315" s="14" t="n">
        <f aca="false">Assumptions!$B$3*R315+Assumptions!$B$4*S315+IF(AA315=1,Assumptions!$B$11,Assumptions!$B$5)*X315+IF(AA315=1,Assumptions!$B$12,Assumptions!$B$6)*T315+Assumptions!$B$7*U315+Assumptions!$B$8*V315+Assumptions!$B$9*Y315</f>
        <v>0.546972</v>
      </c>
      <c r="AA315" s="3" t="n">
        <v>1</v>
      </c>
    </row>
    <row r="316" customFormat="false" ht="15" hidden="false" customHeight="false" outlineLevel="0" collapsed="false">
      <c r="A316" s="3" t="s">
        <v>501</v>
      </c>
      <c r="B316" s="3" t="n">
        <v>495</v>
      </c>
      <c r="C316" s="11" t="str">
        <f aca="false">IF(M316&gt;=Assumptions!$B$17,"S+",IF(M316&gt;=Assumptions!$B$18,"S",IF(M316&gt;=Assumptions!$B$19,"A",IF(M316&gt;=Assumptions!$B$20,"B",IF(M316&gt;=Assumptions!$B$21,"C",IF(M316&gt;=Assumptions!$B$22,"D","F"))))))</f>
        <v>B</v>
      </c>
      <c r="D316" s="3" t="s">
        <v>197</v>
      </c>
      <c r="E316" s="3" t="n">
        <v>6</v>
      </c>
      <c r="F316" s="12" t="n">
        <v>0.6059</v>
      </c>
      <c r="G316" s="12" t="n">
        <v>0.8</v>
      </c>
      <c r="H316" s="12" t="n">
        <v>0.75</v>
      </c>
      <c r="I316" s="12" t="n">
        <v>0.7162</v>
      </c>
      <c r="J316" s="12" t="n">
        <v>0.3643</v>
      </c>
      <c r="K316" s="12" t="n">
        <v>0.5948</v>
      </c>
      <c r="L316" s="3" t="n">
        <v>4</v>
      </c>
      <c r="M316" s="12" t="n">
        <f aca="false">Z316-W316</f>
        <v>0.105764</v>
      </c>
      <c r="N316" s="12" t="n">
        <f aca="false">IFERROR((Z316-J316)/L316,"")</f>
        <v>0.057616</v>
      </c>
      <c r="O316" s="3" t="n">
        <v>14</v>
      </c>
      <c r="P316" s="13" t="b">
        <f aca="false">FALSE()</f>
        <v>0</v>
      </c>
      <c r="Q316" s="3" t="s">
        <v>166</v>
      </c>
      <c r="R316" s="12" t="n">
        <v>0.8902</v>
      </c>
      <c r="S316" s="12" t="n">
        <v>0.428</v>
      </c>
      <c r="T316" s="3" t="n">
        <v>0.0697</v>
      </c>
      <c r="U316" s="12" t="n">
        <v>0.4505</v>
      </c>
      <c r="V316" s="12" t="n">
        <v>0.3678</v>
      </c>
      <c r="W316" s="12" t="n">
        <v>0.489</v>
      </c>
      <c r="X316" s="3" t="n">
        <v>0.8335</v>
      </c>
      <c r="Y316" s="3" t="n">
        <v>0.7188</v>
      </c>
      <c r="Z316" s="14" t="n">
        <f aca="false">Assumptions!$B$3*R316+Assumptions!$B$4*S316+IF(AA316=1,Assumptions!$B$11,Assumptions!$B$5)*X316+IF(AA316=1,Assumptions!$B$12,Assumptions!$B$6)*T316+Assumptions!$B$7*U316+Assumptions!$B$8*V316+Assumptions!$B$9*Y316</f>
        <v>0.594764</v>
      </c>
      <c r="AA316" s="3" t="n">
        <v>0</v>
      </c>
    </row>
    <row r="317" customFormat="false" ht="15" hidden="false" customHeight="false" outlineLevel="0" collapsed="false">
      <c r="A317" s="3" t="s">
        <v>502</v>
      </c>
      <c r="B317" s="3" t="n">
        <v>510</v>
      </c>
      <c r="C317" s="11" t="str">
        <f aca="false">IF(M317&gt;=Assumptions!$B$17,"S+",IF(M317&gt;=Assumptions!$B$18,"S",IF(M317&gt;=Assumptions!$B$19,"A",IF(M317&gt;=Assumptions!$B$20,"B",IF(M317&gt;=Assumptions!$B$21,"C",IF(M317&gt;=Assumptions!$B$22,"D","F"))))))</f>
        <v>B</v>
      </c>
      <c r="D317" s="3" t="s">
        <v>175</v>
      </c>
      <c r="E317" s="3" t="n">
        <v>4</v>
      </c>
      <c r="F317" s="12" t="n">
        <v>0.6703</v>
      </c>
      <c r="G317" s="12" t="n">
        <v>0.45</v>
      </c>
      <c r="H317" s="12" t="n">
        <v>0.75</v>
      </c>
      <c r="I317" s="12" t="n">
        <v>0.543</v>
      </c>
      <c r="J317" s="12" t="n">
        <v>0.3446</v>
      </c>
      <c r="K317" s="12" t="n">
        <v>0.5136</v>
      </c>
      <c r="L317" s="3" t="n">
        <v>5.84</v>
      </c>
      <c r="M317" s="12" t="n">
        <f aca="false">Z317-W317</f>
        <v>0.105331</v>
      </c>
      <c r="N317" s="12" t="n">
        <f aca="false">IFERROR((Z317-J317)/L317,"")</f>
        <v>0.0289265410958904</v>
      </c>
      <c r="O317" s="3" t="n">
        <v>16</v>
      </c>
      <c r="P317" s="13" t="b">
        <f aca="false">FALSE()</f>
        <v>0</v>
      </c>
      <c r="Q317" s="3" t="s">
        <v>166</v>
      </c>
      <c r="R317" s="12" t="n">
        <v>0.6627</v>
      </c>
      <c r="S317" s="12" t="n">
        <v>0.643</v>
      </c>
      <c r="T317" s="3" t="n">
        <v>0.3607</v>
      </c>
      <c r="U317" s="12" t="n">
        <v>0.3509</v>
      </c>
      <c r="V317" s="12" t="n">
        <v>0.4637</v>
      </c>
      <c r="W317" s="12" t="n">
        <v>0.4082</v>
      </c>
      <c r="X317" s="3" t="n">
        <v>0.3953</v>
      </c>
      <c r="Y317" s="3" t="n">
        <v>0.5215</v>
      </c>
      <c r="Z317" s="14" t="n">
        <f aca="false">Assumptions!$B$3*R317+Assumptions!$B$4*S317+IF(AA317=1,Assumptions!$B$11,Assumptions!$B$5)*X317+IF(AA317=1,Assumptions!$B$12,Assumptions!$B$6)*T317+Assumptions!$B$7*U317+Assumptions!$B$8*V317+Assumptions!$B$9*Y317</f>
        <v>0.513531</v>
      </c>
      <c r="AA317" s="3" t="n">
        <v>0</v>
      </c>
    </row>
    <row r="318" customFormat="false" ht="15" hidden="false" customHeight="false" outlineLevel="0" collapsed="false">
      <c r="A318" s="3" t="s">
        <v>503</v>
      </c>
      <c r="B318" s="3" t="n">
        <v>530</v>
      </c>
      <c r="C318" s="11" t="str">
        <f aca="false">IF(M318&gt;=Assumptions!$B$17,"S+",IF(M318&gt;=Assumptions!$B$18,"S",IF(M318&gt;=Assumptions!$B$19,"A",IF(M318&gt;=Assumptions!$B$20,"B",IF(M318&gt;=Assumptions!$B$21,"C",IF(M318&gt;=Assumptions!$B$22,"D","F"))))))</f>
        <v>B</v>
      </c>
      <c r="D318" s="3" t="s">
        <v>253</v>
      </c>
      <c r="E318" s="3" t="n">
        <v>4</v>
      </c>
      <c r="F318" s="12" t="n">
        <v>0.7285</v>
      </c>
      <c r="G318" s="12" t="n">
        <v>0.8</v>
      </c>
      <c r="H318" s="12" t="n">
        <v>0.75</v>
      </c>
      <c r="I318" s="12" t="n">
        <v>0.7671</v>
      </c>
      <c r="J318" s="12" t="n">
        <v>0.4704</v>
      </c>
      <c r="K318" s="12" t="n">
        <v>0.6354</v>
      </c>
      <c r="L318" s="3" t="n">
        <v>3.88</v>
      </c>
      <c r="M318" s="12" t="n">
        <f aca="false">Z318-W318</f>
        <v>0.105005</v>
      </c>
      <c r="N318" s="12" t="n">
        <f aca="false">IFERROR((Z318-J318)/L318,"")</f>
        <v>0.0425270618556701</v>
      </c>
      <c r="O318" s="3" t="n">
        <v>16</v>
      </c>
      <c r="P318" s="13" t="b">
        <f aca="false">FALSE()</f>
        <v>0</v>
      </c>
      <c r="Q318" s="3" t="s">
        <v>166</v>
      </c>
      <c r="R318" s="12" t="n">
        <v>0.9137</v>
      </c>
      <c r="S318" s="12" t="n">
        <v>0.682</v>
      </c>
      <c r="T318" s="3" t="n">
        <v>0.2489</v>
      </c>
      <c r="U318" s="12" t="n">
        <v>0.5433</v>
      </c>
      <c r="V318" s="12" t="n">
        <v>0.5391</v>
      </c>
      <c r="W318" s="12" t="n">
        <v>0.5304</v>
      </c>
      <c r="X318" s="3" t="n">
        <v>0.4739</v>
      </c>
      <c r="Y318" s="3" t="n">
        <v>0.7622</v>
      </c>
      <c r="Z318" s="14" t="n">
        <f aca="false">Assumptions!$B$3*R318+Assumptions!$B$4*S318+IF(AA318=1,Assumptions!$B$11,Assumptions!$B$5)*X318+IF(AA318=1,Assumptions!$B$12,Assumptions!$B$6)*T318+Assumptions!$B$7*U318+Assumptions!$B$8*V318+Assumptions!$B$9*Y318</f>
        <v>0.635405</v>
      </c>
      <c r="AA318" s="3" t="n">
        <v>0</v>
      </c>
    </row>
    <row r="319" customFormat="false" ht="15" hidden="false" customHeight="false" outlineLevel="0" collapsed="false">
      <c r="A319" s="3" t="s">
        <v>504</v>
      </c>
      <c r="B319" s="3" t="n">
        <v>510</v>
      </c>
      <c r="C319" s="11" t="str">
        <f aca="false">IF(M319&gt;=Assumptions!$B$17,"S+",IF(M319&gt;=Assumptions!$B$18,"S",IF(M319&gt;=Assumptions!$B$19,"A",IF(M319&gt;=Assumptions!$B$20,"B",IF(M319&gt;=Assumptions!$B$21,"C",IF(M319&gt;=Assumptions!$B$22,"D","F"))))))</f>
        <v>B</v>
      </c>
      <c r="D319" s="3" t="s">
        <v>253</v>
      </c>
      <c r="E319" s="3" t="n">
        <v>3</v>
      </c>
      <c r="F319" s="12" t="n">
        <v>0.8651</v>
      </c>
      <c r="G319" s="12" t="n">
        <v>1</v>
      </c>
      <c r="H319" s="12" t="n">
        <v>0.75</v>
      </c>
      <c r="I319" s="12" t="n">
        <v>0.9068</v>
      </c>
      <c r="J319" s="12" t="n">
        <v>0.4078</v>
      </c>
      <c r="K319" s="12" t="n">
        <v>0.6322</v>
      </c>
      <c r="L319" s="3" t="n">
        <v>4.82</v>
      </c>
      <c r="M319" s="12" t="n">
        <f aca="false">Z319-W319</f>
        <v>0.103897</v>
      </c>
      <c r="N319" s="12" t="n">
        <f aca="false">IFERROR((Z319-J319)/L319,"")</f>
        <v>0.0465553941908714</v>
      </c>
      <c r="O319" s="3" t="n">
        <v>17</v>
      </c>
      <c r="P319" s="13" t="b">
        <f aca="false">FALSE()</f>
        <v>0</v>
      </c>
      <c r="Q319" s="3" t="s">
        <v>166</v>
      </c>
      <c r="R319" s="12" t="n">
        <v>0.8053</v>
      </c>
      <c r="S319" s="12" t="n">
        <v>0.5807</v>
      </c>
      <c r="T319" s="3" t="n">
        <v>0.3154</v>
      </c>
      <c r="U319" s="12" t="n">
        <v>0.5023</v>
      </c>
      <c r="V319" s="12" t="n">
        <v>0.4648</v>
      </c>
      <c r="W319" s="12" t="n">
        <v>0.5283</v>
      </c>
      <c r="X319" s="3" t="n">
        <v>0.7008</v>
      </c>
      <c r="Y319" s="3" t="n">
        <v>0.8438</v>
      </c>
      <c r="Z319" s="14" t="n">
        <f aca="false">Assumptions!$B$3*R319+Assumptions!$B$4*S319+IF(AA319=1,Assumptions!$B$11,Assumptions!$B$5)*X319+IF(AA319=1,Assumptions!$B$12,Assumptions!$B$6)*T319+Assumptions!$B$7*U319+Assumptions!$B$8*V319+Assumptions!$B$9*Y319</f>
        <v>0.632197</v>
      </c>
      <c r="AA319" s="3" t="n">
        <v>0</v>
      </c>
    </row>
    <row r="320" customFormat="false" ht="15" hidden="false" customHeight="false" outlineLevel="0" collapsed="false">
      <c r="A320" s="3" t="s">
        <v>505</v>
      </c>
      <c r="B320" s="3" t="n">
        <v>485</v>
      </c>
      <c r="C320" s="11" t="str">
        <f aca="false">IF(M320&gt;=Assumptions!$B$17,"S+",IF(M320&gt;=Assumptions!$B$18,"S",IF(M320&gt;=Assumptions!$B$19,"A",IF(M320&gt;=Assumptions!$B$20,"B",IF(M320&gt;=Assumptions!$B$21,"C",IF(M320&gt;=Assumptions!$B$22,"D","F"))))))</f>
        <v>B</v>
      </c>
      <c r="D320" s="3" t="s">
        <v>197</v>
      </c>
      <c r="E320" s="3" t="n">
        <v>6</v>
      </c>
      <c r="F320" s="12" t="n">
        <v>0.8447</v>
      </c>
      <c r="G320" s="12" t="n">
        <v>0.6</v>
      </c>
      <c r="H320" s="12" t="n">
        <v>0.75</v>
      </c>
      <c r="I320" s="12" t="n">
        <v>0.723</v>
      </c>
      <c r="J320" s="12" t="n">
        <v>0.333</v>
      </c>
      <c r="K320" s="12" t="n">
        <v>0.5929</v>
      </c>
      <c r="L320" s="3" t="n">
        <v>5</v>
      </c>
      <c r="M320" s="12" t="n">
        <f aca="false">Z320-W320</f>
        <v>0.10392</v>
      </c>
      <c r="N320" s="12" t="n">
        <f aca="false">IFERROR((Z320-J320)/L320,"")</f>
        <v>0.051984</v>
      </c>
      <c r="O320" s="3" t="n">
        <v>14</v>
      </c>
      <c r="P320" s="13" t="b">
        <f aca="false">FALSE()</f>
        <v>0</v>
      </c>
      <c r="Q320" s="3" t="s">
        <v>166</v>
      </c>
      <c r="R320" s="12" t="n">
        <v>0.7838</v>
      </c>
      <c r="S320" s="12" t="n">
        <v>0.3845</v>
      </c>
      <c r="T320" s="3" t="n">
        <v>0.4621</v>
      </c>
      <c r="U320" s="12" t="n">
        <v>0.4945</v>
      </c>
      <c r="V320" s="12" t="n">
        <v>0.4837</v>
      </c>
      <c r="W320" s="12" t="n">
        <v>0.489</v>
      </c>
      <c r="X320" s="3" t="n">
        <v>0.6303</v>
      </c>
      <c r="Y320" s="3" t="n">
        <v>0.725</v>
      </c>
      <c r="Z320" s="14" t="n">
        <f aca="false">Assumptions!$B$3*R320+Assumptions!$B$4*S320+IF(AA320=1,Assumptions!$B$11,Assumptions!$B$5)*X320+IF(AA320=1,Assumptions!$B$12,Assumptions!$B$6)*T320+Assumptions!$B$7*U320+Assumptions!$B$8*V320+Assumptions!$B$9*Y320</f>
        <v>0.59292</v>
      </c>
      <c r="AA320" s="3" t="n">
        <v>0</v>
      </c>
    </row>
    <row r="321" customFormat="false" ht="15" hidden="false" customHeight="false" outlineLevel="0" collapsed="false">
      <c r="A321" s="3" t="s">
        <v>506</v>
      </c>
      <c r="B321" s="3" t="n">
        <v>499</v>
      </c>
      <c r="C321" s="11" t="str">
        <f aca="false">IF(M321&gt;=Assumptions!$B$17,"S+",IF(M321&gt;=Assumptions!$B$18,"S",IF(M321&gt;=Assumptions!$B$19,"A",IF(M321&gt;=Assumptions!$B$20,"B",IF(M321&gt;=Assumptions!$B$21,"C",IF(M321&gt;=Assumptions!$B$22,"D","F"))))))</f>
        <v>B</v>
      </c>
      <c r="D321" s="3" t="s">
        <v>228</v>
      </c>
      <c r="E321" s="3" t="n">
        <v>4</v>
      </c>
      <c r="F321" s="12" t="n">
        <v>0.7113</v>
      </c>
      <c r="G321" s="12" t="n">
        <v>0.6</v>
      </c>
      <c r="H321" s="12" t="n">
        <v>0.75</v>
      </c>
      <c r="I321" s="12" t="n">
        <v>0.6656</v>
      </c>
      <c r="J321" s="12" t="n">
        <v>0.4137</v>
      </c>
      <c r="K321" s="12" t="n">
        <v>0.5773</v>
      </c>
      <c r="L321" s="3" t="n">
        <v>3.88</v>
      </c>
      <c r="M321" s="12" t="n">
        <f aca="false">Z321-W321</f>
        <v>0.103823</v>
      </c>
      <c r="N321" s="12" t="n">
        <f aca="false">IFERROR((Z321-J321)/L321,"")</f>
        <v>0.0421708762886598</v>
      </c>
      <c r="O321" s="3" t="n">
        <v>16</v>
      </c>
      <c r="P321" s="13" t="b">
        <f aca="false">FALSE()</f>
        <v>0</v>
      </c>
      <c r="Q321" s="3" t="s">
        <v>166</v>
      </c>
      <c r="R321" s="12" t="n">
        <v>0.804</v>
      </c>
      <c r="S321" s="12" t="n">
        <v>0.647</v>
      </c>
      <c r="T321" s="3" t="n">
        <v>0.3573</v>
      </c>
      <c r="U321" s="12" t="n">
        <v>0.3029</v>
      </c>
      <c r="V321" s="12" t="n">
        <v>0.5487</v>
      </c>
      <c r="W321" s="12" t="n">
        <v>0.4735</v>
      </c>
      <c r="X321" s="3" t="n">
        <v>0.487</v>
      </c>
      <c r="Y321" s="3" t="n">
        <v>0.5979</v>
      </c>
      <c r="Z321" s="14" t="n">
        <f aca="false">Assumptions!$B$3*R321+Assumptions!$B$4*S321+IF(AA321=1,Assumptions!$B$11,Assumptions!$B$5)*X321+IF(AA321=1,Assumptions!$B$12,Assumptions!$B$6)*T321+Assumptions!$B$7*U321+Assumptions!$B$8*V321+Assumptions!$B$9*Y321</f>
        <v>0.577323</v>
      </c>
      <c r="AA321" s="3" t="n">
        <v>0</v>
      </c>
    </row>
    <row r="322" customFormat="false" ht="15" hidden="false" customHeight="false" outlineLevel="0" collapsed="false">
      <c r="A322" s="3" t="s">
        <v>507</v>
      </c>
      <c r="B322" s="3" t="n">
        <v>590</v>
      </c>
      <c r="C322" s="11" t="str">
        <f aca="false">IF(M322&gt;=Assumptions!$B$17,"S+",IF(M322&gt;=Assumptions!$B$18,"S",IF(M322&gt;=Assumptions!$B$19,"A",IF(M322&gt;=Assumptions!$B$20,"B",IF(M322&gt;=Assumptions!$B$21,"C",IF(M322&gt;=Assumptions!$B$22,"D","F"))))))</f>
        <v>B</v>
      </c>
      <c r="D322" s="3" t="s">
        <v>253</v>
      </c>
      <c r="E322" s="3" t="n">
        <v>7</v>
      </c>
      <c r="F322" s="12" t="n">
        <v>0.9417</v>
      </c>
      <c r="G322" s="12" t="n">
        <v>0.6</v>
      </c>
      <c r="H322" s="12" t="n">
        <v>0.75</v>
      </c>
      <c r="I322" s="12" t="n">
        <v>0.7394</v>
      </c>
      <c r="J322" s="12" t="n">
        <v>0.4303</v>
      </c>
      <c r="K322" s="12" t="n">
        <v>0.6332</v>
      </c>
      <c r="L322" s="3" t="n">
        <v>4</v>
      </c>
      <c r="M322" s="12" t="n">
        <f aca="false">Z322-W322</f>
        <v>0.103659</v>
      </c>
      <c r="N322" s="12" t="n">
        <f aca="false">IFERROR((Z322-J322)/L322,"")</f>
        <v>0.05071475</v>
      </c>
      <c r="O322" s="3" t="n">
        <v>13</v>
      </c>
      <c r="P322" s="13" t="b">
        <f aca="false">FALSE()</f>
        <v>0</v>
      </c>
      <c r="Q322" s="3" t="s">
        <v>166</v>
      </c>
      <c r="R322" s="12" t="n">
        <v>0.8298</v>
      </c>
      <c r="S322" s="12" t="n">
        <v>0.6259</v>
      </c>
      <c r="T322" s="3" t="n">
        <v>0.0746</v>
      </c>
      <c r="U322" s="12" t="n">
        <v>0.4911</v>
      </c>
      <c r="V322" s="12" t="n">
        <v>0.428</v>
      </c>
      <c r="W322" s="12" t="n">
        <v>0.5295</v>
      </c>
      <c r="X322" s="3" t="n">
        <v>0.9024</v>
      </c>
      <c r="Y322" s="3" t="n">
        <v>0.74</v>
      </c>
      <c r="Z322" s="14" t="n">
        <f aca="false">Assumptions!$B$3*R322+Assumptions!$B$4*S322+IF(AA322=1,Assumptions!$B$11,Assumptions!$B$5)*X322+IF(AA322=1,Assumptions!$B$12,Assumptions!$B$6)*T322+Assumptions!$B$7*U322+Assumptions!$B$8*V322+Assumptions!$B$9*Y322</f>
        <v>0.633159</v>
      </c>
      <c r="AA322" s="3" t="n">
        <v>0</v>
      </c>
    </row>
    <row r="323" customFormat="false" ht="15" hidden="false" customHeight="false" outlineLevel="0" collapsed="false">
      <c r="A323" s="3" t="s">
        <v>508</v>
      </c>
      <c r="B323" s="3" t="n">
        <v>503</v>
      </c>
      <c r="C323" s="11" t="str">
        <f aca="false">IF(M323&gt;=Assumptions!$B$17,"S+",IF(M323&gt;=Assumptions!$B$18,"S",IF(M323&gt;=Assumptions!$B$19,"A",IF(M323&gt;=Assumptions!$B$20,"B",IF(M323&gt;=Assumptions!$B$21,"C",IF(M323&gt;=Assumptions!$B$22,"D","F"))))))</f>
        <v>B</v>
      </c>
      <c r="D323" s="3" t="s">
        <v>218</v>
      </c>
      <c r="E323" s="3" t="n">
        <v>1</v>
      </c>
      <c r="F323" s="12" t="n">
        <v>0.7439</v>
      </c>
      <c r="G323" s="12" t="n">
        <v>1</v>
      </c>
      <c r="H323" s="12" t="n">
        <v>0.75</v>
      </c>
      <c r="I323" s="12" t="n">
        <v>0.868</v>
      </c>
      <c r="J323" s="12" t="n">
        <v>0.4252</v>
      </c>
      <c r="K323" s="12" t="n">
        <v>0.6029</v>
      </c>
      <c r="L323" s="3" t="n">
        <v>6.71</v>
      </c>
      <c r="M323" s="12" t="n">
        <f aca="false">Z323-W323</f>
        <v>0.103751</v>
      </c>
      <c r="N323" s="12" t="n">
        <f aca="false">IFERROR((Z323-J323)/L323,"")</f>
        <v>0.0264904619970194</v>
      </c>
      <c r="O323" s="3" t="n">
        <v>19</v>
      </c>
      <c r="P323" s="13" t="b">
        <f aca="false">FALSE()</f>
        <v>0</v>
      </c>
      <c r="Q323" s="3" t="s">
        <v>166</v>
      </c>
      <c r="R323" s="12" t="n">
        <v>0.8521</v>
      </c>
      <c r="S323" s="12" t="n">
        <v>0.6286</v>
      </c>
      <c r="T323" s="3" t="n">
        <v>0.2965</v>
      </c>
      <c r="U323" s="12" t="n">
        <v>0.3724</v>
      </c>
      <c r="V323" s="12" t="n">
        <v>0.4627</v>
      </c>
      <c r="W323" s="12" t="n">
        <v>0.4992</v>
      </c>
      <c r="X323" s="3" t="n">
        <v>0.5388</v>
      </c>
      <c r="Y323" s="3" t="n">
        <v>0.7719</v>
      </c>
      <c r="Z323" s="14" t="n">
        <f aca="false">Assumptions!$B$3*R323+Assumptions!$B$4*S323+IF(AA323=1,Assumptions!$B$11,Assumptions!$B$5)*X323+IF(AA323=1,Assumptions!$B$12,Assumptions!$B$6)*T323+Assumptions!$B$7*U323+Assumptions!$B$8*V323+Assumptions!$B$9*Y323</f>
        <v>0.602951</v>
      </c>
      <c r="AA323" s="3" t="n">
        <v>0</v>
      </c>
    </row>
    <row r="324" customFormat="false" ht="15" hidden="false" customHeight="false" outlineLevel="0" collapsed="false">
      <c r="A324" s="3" t="s">
        <v>509</v>
      </c>
      <c r="B324" s="3" t="n">
        <v>555</v>
      </c>
      <c r="C324" s="11" t="str">
        <f aca="false">IF(M324&gt;=Assumptions!$B$17,"S+",IF(M324&gt;=Assumptions!$B$18,"S",IF(M324&gt;=Assumptions!$B$19,"A",IF(M324&gt;=Assumptions!$B$20,"B",IF(M324&gt;=Assumptions!$B$21,"C",IF(M324&gt;=Assumptions!$B$22,"D","F"))))))</f>
        <v>B</v>
      </c>
      <c r="D324" s="3" t="s">
        <v>253</v>
      </c>
      <c r="E324" s="3" t="n">
        <v>7</v>
      </c>
      <c r="F324" s="12" t="n">
        <v>0.9391</v>
      </c>
      <c r="G324" s="12" t="n">
        <v>0.6</v>
      </c>
      <c r="H324" s="12" t="n">
        <v>0.75</v>
      </c>
      <c r="I324" s="12" t="n">
        <v>0.7385</v>
      </c>
      <c r="J324" s="12" t="n">
        <v>0.4038</v>
      </c>
      <c r="K324" s="12" t="n">
        <v>0.6329</v>
      </c>
      <c r="L324" s="3" t="n">
        <v>4</v>
      </c>
      <c r="M324" s="12" t="n">
        <f aca="false">Z324-W324</f>
        <v>0.103417</v>
      </c>
      <c r="N324" s="12" t="n">
        <f aca="false">IFERROR((Z324-J324)/L324,"")</f>
        <v>0.05727925</v>
      </c>
      <c r="O324" s="3" t="n">
        <v>13</v>
      </c>
      <c r="P324" s="13" t="b">
        <f aca="false">FALSE()</f>
        <v>0</v>
      </c>
      <c r="Q324" s="3" t="s">
        <v>166</v>
      </c>
      <c r="R324" s="12" t="n">
        <v>0.8427</v>
      </c>
      <c r="S324" s="12" t="n">
        <v>0.5196</v>
      </c>
      <c r="T324" s="3" t="n">
        <v>0.3879</v>
      </c>
      <c r="U324" s="12" t="n">
        <v>0.3846</v>
      </c>
      <c r="V324" s="12" t="n">
        <v>0.4845</v>
      </c>
      <c r="W324" s="12" t="n">
        <v>0.5295</v>
      </c>
      <c r="X324" s="3" t="n">
        <v>0.7727</v>
      </c>
      <c r="Y324" s="3" t="n">
        <v>0.7394</v>
      </c>
      <c r="Z324" s="14" t="n">
        <f aca="false">Assumptions!$B$3*R324+Assumptions!$B$4*S324+IF(AA324=1,Assumptions!$B$11,Assumptions!$B$5)*X324+IF(AA324=1,Assumptions!$B$12,Assumptions!$B$6)*T324+Assumptions!$B$7*U324+Assumptions!$B$8*V324+Assumptions!$B$9*Y324</f>
        <v>0.632917</v>
      </c>
      <c r="AA324" s="3" t="n">
        <v>0</v>
      </c>
    </row>
    <row r="325" customFormat="false" ht="15" hidden="false" customHeight="false" outlineLevel="0" collapsed="false">
      <c r="A325" s="3" t="s">
        <v>510</v>
      </c>
      <c r="B325" s="3" t="n">
        <v>489</v>
      </c>
      <c r="C325" s="11" t="str">
        <f aca="false">IF(M325&gt;=Assumptions!$B$17,"S+",IF(M325&gt;=Assumptions!$B$18,"S",IF(M325&gt;=Assumptions!$B$19,"A",IF(M325&gt;=Assumptions!$B$20,"B",IF(M325&gt;=Assumptions!$B$21,"C",IF(M325&gt;=Assumptions!$B$22,"D","F"))))))</f>
        <v>B</v>
      </c>
      <c r="D325" s="3" t="s">
        <v>173</v>
      </c>
      <c r="E325" s="3" t="n">
        <v>3</v>
      </c>
      <c r="F325" s="12" t="n">
        <v>0.6727</v>
      </c>
      <c r="G325" s="12" t="n">
        <v>0.6</v>
      </c>
      <c r="H325" s="12" t="n">
        <v>0.75</v>
      </c>
      <c r="I325" s="12" t="n">
        <v>0.6431</v>
      </c>
      <c r="J325" s="12" t="n">
        <v>0.3886</v>
      </c>
      <c r="K325" s="12" t="n">
        <v>0.5447</v>
      </c>
      <c r="L325" s="3" t="n">
        <v>3.88</v>
      </c>
      <c r="M325" s="12" t="n">
        <f aca="false">Z325-W325</f>
        <v>0.102919</v>
      </c>
      <c r="N325" s="12" t="n">
        <f aca="false">IFERROR((Z325-J325)/L325,"")</f>
        <v>0.0402368556701031</v>
      </c>
      <c r="O325" s="3" t="n">
        <v>17</v>
      </c>
      <c r="P325" s="13" t="b">
        <f aca="false">FALSE()</f>
        <v>0</v>
      </c>
      <c r="Q325" s="3" t="s">
        <v>166</v>
      </c>
      <c r="R325" s="12" t="n">
        <v>0.6476</v>
      </c>
      <c r="S325" s="12" t="n">
        <v>0.6051</v>
      </c>
      <c r="T325" s="3" t="n">
        <v>0.0943</v>
      </c>
      <c r="U325" s="12" t="n">
        <v>0.4615</v>
      </c>
      <c r="V325" s="12" t="n">
        <v>0.408</v>
      </c>
      <c r="W325" s="12" t="n">
        <v>0.4418</v>
      </c>
      <c r="X325" s="3" t="n">
        <v>0.5399</v>
      </c>
      <c r="Y325" s="3" t="n">
        <v>0.612</v>
      </c>
      <c r="Z325" s="14" t="n">
        <f aca="false">Assumptions!$B$3*R325+Assumptions!$B$4*S325+IF(AA325=1,Assumptions!$B$11,Assumptions!$B$5)*X325+IF(AA325=1,Assumptions!$B$12,Assumptions!$B$6)*T325+Assumptions!$B$7*U325+Assumptions!$B$8*V325+Assumptions!$B$9*Y325</f>
        <v>0.544719</v>
      </c>
      <c r="AA325" s="3" t="n">
        <v>1</v>
      </c>
    </row>
    <row r="326" customFormat="false" ht="15" hidden="false" customHeight="false" outlineLevel="0" collapsed="false">
      <c r="A326" s="3" t="s">
        <v>511</v>
      </c>
      <c r="B326" s="3" t="n">
        <v>600</v>
      </c>
      <c r="C326" s="11" t="str">
        <f aca="false">IF(M326&gt;=Assumptions!$B$17,"S+",IF(M326&gt;=Assumptions!$B$18,"S",IF(M326&gt;=Assumptions!$B$19,"A",IF(M326&gt;=Assumptions!$B$20,"B",IF(M326&gt;=Assumptions!$B$21,"C",IF(M326&gt;=Assumptions!$B$22,"D","F"))))))</f>
        <v>B</v>
      </c>
      <c r="D326" s="3" t="s">
        <v>190</v>
      </c>
      <c r="E326" s="3" t="n">
        <v>7</v>
      </c>
      <c r="F326" s="12" t="n">
        <v>0.9273</v>
      </c>
      <c r="G326" s="12" t="n">
        <v>0.6</v>
      </c>
      <c r="H326" s="12" t="n">
        <v>0.75</v>
      </c>
      <c r="I326" s="12" t="n">
        <v>0.7544</v>
      </c>
      <c r="J326" s="12" t="n">
        <v>0.4072</v>
      </c>
      <c r="K326" s="12" t="n">
        <v>0.5796</v>
      </c>
      <c r="L326" s="3" t="n">
        <v>6</v>
      </c>
      <c r="M326" s="12" t="n">
        <f aca="false">Z326-W326</f>
        <v>0.102727</v>
      </c>
      <c r="N326" s="12" t="n">
        <f aca="false">IFERROR((Z326-J326)/L326,"")</f>
        <v>0.0287378333333333</v>
      </c>
      <c r="O326" s="3" t="n">
        <v>13</v>
      </c>
      <c r="P326" s="13" t="b">
        <f aca="false">FALSE()</f>
        <v>0</v>
      </c>
      <c r="Q326" s="3" t="s">
        <v>166</v>
      </c>
      <c r="R326" s="12" t="n">
        <v>0.9014</v>
      </c>
      <c r="S326" s="12" t="n">
        <v>0.4947</v>
      </c>
      <c r="T326" s="3" t="n">
        <v>0.3558</v>
      </c>
      <c r="U326" s="12" t="n">
        <v>0.3905</v>
      </c>
      <c r="V326" s="12" t="n">
        <v>0.413</v>
      </c>
      <c r="W326" s="12" t="n">
        <v>0.4769</v>
      </c>
      <c r="X326" s="3" t="n">
        <v>0.4272</v>
      </c>
      <c r="Y326" s="3" t="n">
        <v>0.7553</v>
      </c>
      <c r="Z326" s="14" t="n">
        <f aca="false">Assumptions!$B$3*R326+Assumptions!$B$4*S326+IF(AA326=1,Assumptions!$B$11,Assumptions!$B$5)*X326+IF(AA326=1,Assumptions!$B$12,Assumptions!$B$6)*T326+Assumptions!$B$7*U326+Assumptions!$B$8*V326+Assumptions!$B$9*Y326</f>
        <v>0.579627</v>
      </c>
      <c r="AA326" s="3" t="n">
        <v>0</v>
      </c>
    </row>
    <row r="327" customFormat="false" ht="15" hidden="false" customHeight="false" outlineLevel="0" collapsed="false">
      <c r="A327" s="3" t="s">
        <v>512</v>
      </c>
      <c r="B327" s="3" t="n">
        <v>590</v>
      </c>
      <c r="C327" s="11" t="str">
        <f aca="false">IF(M327&gt;=Assumptions!$B$17,"S+",IF(M327&gt;=Assumptions!$B$18,"S",IF(M327&gt;=Assumptions!$B$19,"A",IF(M327&gt;=Assumptions!$B$20,"B",IF(M327&gt;=Assumptions!$B$21,"C",IF(M327&gt;=Assumptions!$B$22,"D","F"))))))</f>
        <v>B</v>
      </c>
      <c r="D327" s="3" t="s">
        <v>190</v>
      </c>
      <c r="E327" s="3" t="n">
        <v>1</v>
      </c>
      <c r="F327" s="12" t="n">
        <v>0.9435</v>
      </c>
      <c r="G327" s="12" t="n">
        <v>0.8</v>
      </c>
      <c r="H327" s="12" t="n">
        <v>0.75</v>
      </c>
      <c r="I327" s="12" t="n">
        <v>0.8445</v>
      </c>
      <c r="J327" s="12" t="n">
        <v>0.4256</v>
      </c>
      <c r="K327" s="12" t="n">
        <v>0.5814</v>
      </c>
      <c r="L327" s="3" t="n">
        <v>3.58</v>
      </c>
      <c r="M327" s="12" t="n">
        <f aca="false">Z327-W327</f>
        <v>0.102491</v>
      </c>
      <c r="N327" s="12" t="n">
        <f aca="false">IFERROR((Z327-J327)/L327,"")</f>
        <v>0.0435170391061453</v>
      </c>
      <c r="O327" s="3" t="n">
        <v>19</v>
      </c>
      <c r="P327" s="13" t="b">
        <f aca="false">FALSE()</f>
        <v>0</v>
      </c>
      <c r="Q327" s="3" t="s">
        <v>166</v>
      </c>
      <c r="R327" s="12" t="n">
        <v>0.8389</v>
      </c>
      <c r="S327" s="12" t="n">
        <v>0.5646</v>
      </c>
      <c r="T327" s="3" t="n">
        <v>0.6848</v>
      </c>
      <c r="U327" s="12" t="n">
        <v>0.3725</v>
      </c>
      <c r="V327" s="12" t="n">
        <v>0.4391</v>
      </c>
      <c r="W327" s="12" t="n">
        <v>0.4789</v>
      </c>
      <c r="X327" s="3" t="n">
        <v>0.2975</v>
      </c>
      <c r="Y327" s="3" t="n">
        <v>0.6326</v>
      </c>
      <c r="Z327" s="14" t="n">
        <f aca="false">Assumptions!$B$3*R327+Assumptions!$B$4*S327+IF(AA327=1,Assumptions!$B$11,Assumptions!$B$5)*X327+IF(AA327=1,Assumptions!$B$12,Assumptions!$B$6)*T327+Assumptions!$B$7*U327+Assumptions!$B$8*V327+Assumptions!$B$9*Y327</f>
        <v>0.581391</v>
      </c>
      <c r="AA327" s="3" t="n">
        <v>0</v>
      </c>
    </row>
    <row r="328" customFormat="false" ht="15" hidden="false" customHeight="false" outlineLevel="0" collapsed="false">
      <c r="A328" s="3" t="s">
        <v>513</v>
      </c>
      <c r="B328" s="3" t="n">
        <v>600</v>
      </c>
      <c r="C328" s="11" t="str">
        <f aca="false">IF(M328&gt;=Assumptions!$B$17,"S+",IF(M328&gt;=Assumptions!$B$18,"S",IF(M328&gt;=Assumptions!$B$19,"A",IF(M328&gt;=Assumptions!$B$20,"B",IF(M328&gt;=Assumptions!$B$21,"C",IF(M328&gt;=Assumptions!$B$22,"D","F"))))))</f>
        <v>B</v>
      </c>
      <c r="D328" s="3" t="s">
        <v>253</v>
      </c>
      <c r="E328" s="3" t="n">
        <v>7</v>
      </c>
      <c r="F328" s="12" t="n">
        <v>0.6818</v>
      </c>
      <c r="G328" s="12" t="n">
        <v>0.6</v>
      </c>
      <c r="H328" s="12" t="n">
        <v>0.75</v>
      </c>
      <c r="I328" s="12" t="n">
        <v>0.6562</v>
      </c>
      <c r="J328" s="12" t="n">
        <v>0.407</v>
      </c>
      <c r="K328" s="12" t="n">
        <v>0.6316</v>
      </c>
      <c r="L328" s="3" t="n">
        <v>4</v>
      </c>
      <c r="M328" s="12" t="n">
        <f aca="false">Z328-W328</f>
        <v>0.102107</v>
      </c>
      <c r="N328" s="12" t="n">
        <f aca="false">IFERROR((Z328-J328)/L328,"")</f>
        <v>0.05615175</v>
      </c>
      <c r="O328" s="3" t="n">
        <v>13</v>
      </c>
      <c r="P328" s="13" t="b">
        <f aca="false">FALSE()</f>
        <v>0</v>
      </c>
      <c r="Q328" s="3" t="s">
        <v>166</v>
      </c>
      <c r="R328" s="12" t="n">
        <v>0.8024</v>
      </c>
      <c r="S328" s="12" t="n">
        <v>0.6222</v>
      </c>
      <c r="T328" s="3" t="n">
        <v>0.3024</v>
      </c>
      <c r="U328" s="12" t="n">
        <v>0.4142</v>
      </c>
      <c r="V328" s="12" t="n">
        <v>0.4547</v>
      </c>
      <c r="W328" s="12" t="n">
        <v>0.5295</v>
      </c>
      <c r="X328" s="3" t="n">
        <v>0.8503</v>
      </c>
      <c r="Y328" s="3" t="n">
        <v>0.6588</v>
      </c>
      <c r="Z328" s="14" t="n">
        <f aca="false">Assumptions!$B$3*R328+Assumptions!$B$4*S328+IF(AA328=1,Assumptions!$B$11,Assumptions!$B$5)*X328+IF(AA328=1,Assumptions!$B$12,Assumptions!$B$6)*T328+Assumptions!$B$7*U328+Assumptions!$B$8*V328+Assumptions!$B$9*Y328</f>
        <v>0.631607</v>
      </c>
      <c r="AA328" s="3" t="n">
        <v>0</v>
      </c>
    </row>
    <row r="329" customFormat="false" ht="15" hidden="false" customHeight="false" outlineLevel="0" collapsed="false">
      <c r="A329" s="3" t="s">
        <v>514</v>
      </c>
      <c r="B329" s="3" t="n">
        <v>530</v>
      </c>
      <c r="C329" s="11" t="str">
        <f aca="false">IF(M329&gt;=Assumptions!$B$17,"S+",IF(M329&gt;=Assumptions!$B$18,"S",IF(M329&gt;=Assumptions!$B$19,"A",IF(M329&gt;=Assumptions!$B$20,"B",IF(M329&gt;=Assumptions!$B$21,"C",IF(M329&gt;=Assumptions!$B$22,"D","F"))))))</f>
        <v>B</v>
      </c>
      <c r="D329" s="3" t="s">
        <v>218</v>
      </c>
      <c r="E329" s="3" t="n">
        <v>7</v>
      </c>
      <c r="F329" s="12" t="n">
        <v>0.7416</v>
      </c>
      <c r="G329" s="12" t="n">
        <v>1</v>
      </c>
      <c r="H329" s="12" t="n">
        <v>0.75</v>
      </c>
      <c r="I329" s="12" t="n">
        <v>0.8673</v>
      </c>
      <c r="J329" s="12" t="n">
        <v>0.4098</v>
      </c>
      <c r="K329" s="12" t="n">
        <v>0.6128</v>
      </c>
      <c r="L329" s="3" t="n">
        <v>4</v>
      </c>
      <c r="M329" s="12" t="n">
        <f aca="false">Z329-W329</f>
        <v>0.102047</v>
      </c>
      <c r="N329" s="12" t="n">
        <f aca="false">IFERROR((Z329-J329)/L329,"")</f>
        <v>0.05073675</v>
      </c>
      <c r="O329" s="3" t="n">
        <v>13</v>
      </c>
      <c r="P329" s="13" t="b">
        <f aca="false">FALSE()</f>
        <v>0</v>
      </c>
      <c r="Q329" s="3" t="s">
        <v>166</v>
      </c>
      <c r="R329" s="12" t="n">
        <v>0.8211</v>
      </c>
      <c r="S329" s="12" t="n">
        <v>0.622</v>
      </c>
      <c r="T329" s="3" t="n">
        <v>0.2269</v>
      </c>
      <c r="U329" s="12" t="n">
        <v>0.5207</v>
      </c>
      <c r="V329" s="12" t="n">
        <v>0.4981</v>
      </c>
      <c r="W329" s="12" t="n">
        <v>0.5107</v>
      </c>
      <c r="X329" s="3" t="n">
        <v>0.5307</v>
      </c>
      <c r="Y329" s="3" t="n">
        <v>0.8696</v>
      </c>
      <c r="Z329" s="14" t="n">
        <f aca="false">Assumptions!$B$3*R329+Assumptions!$B$4*S329+IF(AA329=1,Assumptions!$B$11,Assumptions!$B$5)*X329+IF(AA329=1,Assumptions!$B$12,Assumptions!$B$6)*T329+Assumptions!$B$7*U329+Assumptions!$B$8*V329+Assumptions!$B$9*Y329</f>
        <v>0.612747</v>
      </c>
      <c r="AA329" s="3" t="n">
        <v>0</v>
      </c>
    </row>
    <row r="330" customFormat="false" ht="15" hidden="false" customHeight="false" outlineLevel="0" collapsed="false">
      <c r="A330" s="3" t="s">
        <v>515</v>
      </c>
      <c r="B330" s="3" t="n">
        <v>540</v>
      </c>
      <c r="C330" s="11" t="str">
        <f aca="false">IF(M330&gt;=Assumptions!$B$17,"S+",IF(M330&gt;=Assumptions!$B$18,"S",IF(M330&gt;=Assumptions!$B$19,"A",IF(M330&gt;=Assumptions!$B$20,"B",IF(M330&gt;=Assumptions!$B$21,"C",IF(M330&gt;=Assumptions!$B$22,"D","F"))))))</f>
        <v>B</v>
      </c>
      <c r="D330" s="3" t="s">
        <v>197</v>
      </c>
      <c r="E330" s="3" t="n">
        <v>7</v>
      </c>
      <c r="F330" s="12" t="n">
        <v>0.8815</v>
      </c>
      <c r="G330" s="12" t="n">
        <v>0.4</v>
      </c>
      <c r="H330" s="12" t="n">
        <v>0.75</v>
      </c>
      <c r="I330" s="12" t="n">
        <v>0.653</v>
      </c>
      <c r="J330" s="12" t="n">
        <v>0.4246</v>
      </c>
      <c r="K330" s="12" t="n">
        <v>0.5882</v>
      </c>
      <c r="L330" s="3" t="n">
        <v>4</v>
      </c>
      <c r="M330" s="12" t="n">
        <f aca="false">Z330-W330</f>
        <v>0.1017</v>
      </c>
      <c r="N330" s="12" t="n">
        <f aca="false">IFERROR((Z330-J330)/L330,"")</f>
        <v>0.0409</v>
      </c>
      <c r="O330" s="3" t="n">
        <v>13</v>
      </c>
      <c r="P330" s="13" t="b">
        <f aca="false">FALSE()</f>
        <v>0</v>
      </c>
      <c r="Q330" s="3" t="s">
        <v>166</v>
      </c>
      <c r="R330" s="12" t="n">
        <v>0.8245</v>
      </c>
      <c r="S330" s="12" t="n">
        <v>0.5046</v>
      </c>
      <c r="T330" s="3" t="n">
        <v>0.5923</v>
      </c>
      <c r="U330" s="12" t="n">
        <v>0.4911</v>
      </c>
      <c r="V330" s="12" t="n">
        <v>0.4958</v>
      </c>
      <c r="W330" s="12" t="n">
        <v>0.4865</v>
      </c>
      <c r="X330" s="3" t="n">
        <v>0.3626</v>
      </c>
      <c r="Y330" s="3" t="n">
        <v>0.654</v>
      </c>
      <c r="Z330" s="14" t="n">
        <f aca="false">Assumptions!$B$3*R330+Assumptions!$B$4*S330+IF(AA330=1,Assumptions!$B$11,Assumptions!$B$5)*X330+IF(AA330=1,Assumptions!$B$12,Assumptions!$B$6)*T330+Assumptions!$B$7*U330+Assumptions!$B$8*V330+Assumptions!$B$9*Y330</f>
        <v>0.5882</v>
      </c>
      <c r="AA330" s="3" t="n">
        <v>0</v>
      </c>
    </row>
    <row r="331" customFormat="false" ht="15" hidden="false" customHeight="false" outlineLevel="0" collapsed="false">
      <c r="A331" s="3" t="s">
        <v>516</v>
      </c>
      <c r="B331" s="3" t="n">
        <v>535</v>
      </c>
      <c r="C331" s="11" t="str">
        <f aca="false">IF(M331&gt;=Assumptions!$B$17,"S+",IF(M331&gt;=Assumptions!$B$18,"S",IF(M331&gt;=Assumptions!$B$19,"A",IF(M331&gt;=Assumptions!$B$20,"B",IF(M331&gt;=Assumptions!$B$21,"C",IF(M331&gt;=Assumptions!$B$22,"D","F"))))))</f>
        <v>B</v>
      </c>
      <c r="D331" s="3" t="s">
        <v>206</v>
      </c>
      <c r="E331" s="3" t="n">
        <v>7</v>
      </c>
      <c r="F331" s="12" t="n">
        <v>0.9696</v>
      </c>
      <c r="G331" s="12" t="n">
        <v>0.76</v>
      </c>
      <c r="H331" s="12" t="n">
        <v>0.2768</v>
      </c>
      <c r="I331" s="12" t="n">
        <v>0.6979</v>
      </c>
      <c r="J331" s="12" t="n">
        <v>0.3707</v>
      </c>
      <c r="K331" s="12" t="n">
        <v>0.5407</v>
      </c>
      <c r="L331" s="3" t="n">
        <v>5</v>
      </c>
      <c r="M331" s="12" t="n">
        <f aca="false">Z331-W331</f>
        <v>0.100789</v>
      </c>
      <c r="N331" s="12" t="n">
        <f aca="false">IFERROR((Z331-J331)/L331,"")</f>
        <v>0.0339978</v>
      </c>
      <c r="O331" s="3" t="n">
        <v>13</v>
      </c>
      <c r="P331" s="13" t="b">
        <f aca="false">FALSE()</f>
        <v>0</v>
      </c>
      <c r="Q331" s="3" t="s">
        <v>201</v>
      </c>
      <c r="R331" s="12" t="n">
        <v>0.8808</v>
      </c>
      <c r="S331" s="12" t="n">
        <v>0.5645</v>
      </c>
      <c r="T331" s="3" t="n">
        <v>0.0554</v>
      </c>
      <c r="U331" s="12" t="n">
        <v>0.3432</v>
      </c>
      <c r="V331" s="12" t="n">
        <v>0.2894</v>
      </c>
      <c r="W331" s="12" t="n">
        <v>0.4399</v>
      </c>
      <c r="X331" s="3" t="n">
        <v>0.5269</v>
      </c>
      <c r="Y331" s="3" t="n">
        <v>0.699</v>
      </c>
      <c r="Z331" s="14" t="n">
        <f aca="false">Assumptions!$B$3*R331+Assumptions!$B$4*S331+IF(AA331=1,Assumptions!$B$11,Assumptions!$B$5)*X331+IF(AA331=1,Assumptions!$B$12,Assumptions!$B$6)*T331+Assumptions!$B$7*U331+Assumptions!$B$8*V331+Assumptions!$B$9*Y331</f>
        <v>0.540689</v>
      </c>
      <c r="AA331" s="3" t="n">
        <v>0</v>
      </c>
    </row>
    <row r="332" customFormat="false" ht="15" hidden="false" customHeight="false" outlineLevel="0" collapsed="false">
      <c r="A332" s="3" t="s">
        <v>517</v>
      </c>
      <c r="B332" s="3" t="n">
        <v>600</v>
      </c>
      <c r="C332" s="11" t="str">
        <f aca="false">IF(M332&gt;=Assumptions!$B$17,"S+",IF(M332&gt;=Assumptions!$B$18,"S",IF(M332&gt;=Assumptions!$B$19,"A",IF(M332&gt;=Assumptions!$B$20,"B",IF(M332&gt;=Assumptions!$B$21,"C",IF(M332&gt;=Assumptions!$B$22,"D","F"))))))</f>
        <v>B</v>
      </c>
      <c r="D332" s="3" t="s">
        <v>197</v>
      </c>
      <c r="E332" s="3" t="n">
        <v>11</v>
      </c>
      <c r="F332" s="12" t="n">
        <v>0.9146</v>
      </c>
      <c r="G332" s="12" t="n">
        <v>0.6</v>
      </c>
      <c r="H332" s="12" t="n">
        <v>0.75</v>
      </c>
      <c r="I332" s="12" t="n">
        <v>0.7495</v>
      </c>
      <c r="J332" s="12" t="n">
        <v>0.3684</v>
      </c>
      <c r="K332" s="12" t="n">
        <v>0.5982</v>
      </c>
      <c r="L332" s="3" t="n">
        <v>4</v>
      </c>
      <c r="M332" s="12" t="n">
        <f aca="false">Z332-W332</f>
        <v>0.100516</v>
      </c>
      <c r="N332" s="12" t="n">
        <f aca="false">IFERROR((Z332-J332)/L332,"")</f>
        <v>0.057454</v>
      </c>
      <c r="O332" s="3" t="n">
        <v>9</v>
      </c>
      <c r="P332" s="13" t="b">
        <f aca="false">FALSE()</f>
        <v>0</v>
      </c>
      <c r="Q332" s="3" t="s">
        <v>166</v>
      </c>
      <c r="R332" s="12" t="n">
        <v>0.8876</v>
      </c>
      <c r="S332" s="12" t="n">
        <v>0.3939</v>
      </c>
      <c r="T332" s="3" t="n">
        <v>0.7346</v>
      </c>
      <c r="U332" s="12" t="n">
        <v>0.4102</v>
      </c>
      <c r="V332" s="12" t="n">
        <v>0.4251</v>
      </c>
      <c r="W332" s="12" t="n">
        <v>0.4977</v>
      </c>
      <c r="X332" s="3" t="n">
        <v>0.3652</v>
      </c>
      <c r="Y332" s="3" t="n">
        <v>0.7399</v>
      </c>
      <c r="Z332" s="14" t="n">
        <f aca="false">Assumptions!$B$3*R332+Assumptions!$B$4*S332+IF(AA332=1,Assumptions!$B$11,Assumptions!$B$5)*X332+IF(AA332=1,Assumptions!$B$12,Assumptions!$B$6)*T332+Assumptions!$B$7*U332+Assumptions!$B$8*V332+Assumptions!$B$9*Y332</f>
        <v>0.598216</v>
      </c>
      <c r="AA332" s="3" t="n">
        <v>0</v>
      </c>
    </row>
    <row r="333" customFormat="false" ht="15" hidden="false" customHeight="false" outlineLevel="0" collapsed="false">
      <c r="A333" s="3" t="s">
        <v>518</v>
      </c>
      <c r="B333" s="3" t="n">
        <v>490</v>
      </c>
      <c r="C333" s="11" t="str">
        <f aca="false">IF(M333&gt;=Assumptions!$B$17,"S+",IF(M333&gt;=Assumptions!$B$18,"S",IF(M333&gt;=Assumptions!$B$19,"A",IF(M333&gt;=Assumptions!$B$20,"B",IF(M333&gt;=Assumptions!$B$21,"C",IF(M333&gt;=Assumptions!$B$22,"D","F"))))))</f>
        <v>B</v>
      </c>
      <c r="D333" s="3" t="s">
        <v>197</v>
      </c>
      <c r="E333" s="3" t="n">
        <v>7</v>
      </c>
      <c r="F333" s="12" t="n">
        <v>0.5617</v>
      </c>
      <c r="G333" s="12" t="n">
        <v>0.8</v>
      </c>
      <c r="H333" s="12" t="n">
        <v>0.75</v>
      </c>
      <c r="I333" s="12" t="n">
        <v>0.6994</v>
      </c>
      <c r="J333" s="12" t="n">
        <v>0.3364</v>
      </c>
      <c r="K333" s="12" t="n">
        <v>0.5868</v>
      </c>
      <c r="L333" s="3" t="n">
        <v>5</v>
      </c>
      <c r="M333" s="12" t="n">
        <f aca="false">Z333-W333</f>
        <v>0.100325</v>
      </c>
      <c r="N333" s="12" t="n">
        <f aca="false">IFERROR((Z333-J333)/L333,"")</f>
        <v>0.050085</v>
      </c>
      <c r="O333" s="3" t="n">
        <v>13</v>
      </c>
      <c r="P333" s="13" t="b">
        <f aca="false">FALSE()</f>
        <v>0</v>
      </c>
      <c r="Q333" s="3" t="s">
        <v>166</v>
      </c>
      <c r="R333" s="12" t="n">
        <v>0.7103</v>
      </c>
      <c r="S333" s="12" t="n">
        <v>0.6268</v>
      </c>
      <c r="T333" s="3" t="n">
        <v>0.1561</v>
      </c>
      <c r="U333" s="12" t="n">
        <v>0.3491</v>
      </c>
      <c r="V333" s="12" t="n">
        <v>0.4757</v>
      </c>
      <c r="W333" s="12" t="n">
        <v>0.4865</v>
      </c>
      <c r="X333" s="3" t="n">
        <v>0.8248</v>
      </c>
      <c r="Y333" s="3" t="n">
        <v>0.7019</v>
      </c>
      <c r="Z333" s="14" t="n">
        <f aca="false">Assumptions!$B$3*R333+Assumptions!$B$4*S333+IF(AA333=1,Assumptions!$B$11,Assumptions!$B$5)*X333+IF(AA333=1,Assumptions!$B$12,Assumptions!$B$6)*T333+Assumptions!$B$7*U333+Assumptions!$B$8*V333+Assumptions!$B$9*Y333</f>
        <v>0.586825</v>
      </c>
      <c r="AA333" s="3" t="n">
        <v>0</v>
      </c>
    </row>
    <row r="334" customFormat="false" ht="15" hidden="false" customHeight="false" outlineLevel="0" collapsed="false">
      <c r="A334" s="3" t="s">
        <v>519</v>
      </c>
      <c r="B334" s="3" t="n">
        <v>315</v>
      </c>
      <c r="C334" s="11" t="str">
        <f aca="false">IF(M334&gt;=Assumptions!$B$17,"S+",IF(M334&gt;=Assumptions!$B$18,"S",IF(M334&gt;=Assumptions!$B$19,"A",IF(M334&gt;=Assumptions!$B$20,"B",IF(M334&gt;=Assumptions!$B$21,"C",IF(M334&gt;=Assumptions!$B$22,"D","F"))))))</f>
        <v>B</v>
      </c>
      <c r="D334" s="3" t="s">
        <v>206</v>
      </c>
      <c r="E334" s="3" t="n">
        <v>1</v>
      </c>
      <c r="F334" s="12" t="n">
        <v>0.7662</v>
      </c>
      <c r="G334" s="12" t="n">
        <v>0.76</v>
      </c>
      <c r="H334" s="12" t="n">
        <v>0.5198</v>
      </c>
      <c r="I334" s="12" t="n">
        <v>0.7017</v>
      </c>
      <c r="J334" s="12" t="n">
        <v>0.3448</v>
      </c>
      <c r="K334" s="12" t="n">
        <v>0.5389</v>
      </c>
      <c r="L334" s="3" t="n">
        <v>6.74</v>
      </c>
      <c r="M334" s="12" t="n">
        <f aca="false">Z334-W334</f>
        <v>0.100122</v>
      </c>
      <c r="N334" s="12" t="n">
        <f aca="false">IFERROR((Z334-J334)/L334,"")</f>
        <v>0.0288014836795252</v>
      </c>
      <c r="O334" s="3" t="n">
        <v>19</v>
      </c>
      <c r="P334" s="13" t="b">
        <f aca="false">FALSE()</f>
        <v>0</v>
      </c>
      <c r="Q334" s="3" t="s">
        <v>166</v>
      </c>
      <c r="R334" s="12" t="n">
        <v>0.5866</v>
      </c>
      <c r="S334" s="12" t="n">
        <v>0.5199</v>
      </c>
      <c r="T334" s="3" t="n">
        <v>0.0687</v>
      </c>
      <c r="U334" s="12" t="n">
        <v>0.4373</v>
      </c>
      <c r="V334" s="12" t="n">
        <v>0.4627</v>
      </c>
      <c r="W334" s="12" t="n">
        <v>0.4388</v>
      </c>
      <c r="X334" s="3" t="n">
        <v>0.6189</v>
      </c>
      <c r="Y334" s="3" t="n">
        <v>0.6251</v>
      </c>
      <c r="Z334" s="14" t="n">
        <f aca="false">Assumptions!$B$3*R334+Assumptions!$B$4*S334+IF(AA334=1,Assumptions!$B$11,Assumptions!$B$5)*X334+IF(AA334=1,Assumptions!$B$12,Assumptions!$B$6)*T334+Assumptions!$B$7*U334+Assumptions!$B$8*V334+Assumptions!$B$9*Y334</f>
        <v>0.538922</v>
      </c>
      <c r="AA334" s="3" t="n">
        <v>1</v>
      </c>
    </row>
    <row r="335" customFormat="false" ht="15" hidden="false" customHeight="false" outlineLevel="0" collapsed="false">
      <c r="A335" s="3" t="s">
        <v>520</v>
      </c>
      <c r="B335" s="3" t="n">
        <v>515</v>
      </c>
      <c r="C335" s="11" t="str">
        <f aca="false">IF(M335&gt;=Assumptions!$B$17,"S+",IF(M335&gt;=Assumptions!$B$18,"S",IF(M335&gt;=Assumptions!$B$19,"A",IF(M335&gt;=Assumptions!$B$20,"B",IF(M335&gt;=Assumptions!$B$21,"C",IF(M335&gt;=Assumptions!$B$22,"D","F"))))))</f>
        <v>B</v>
      </c>
      <c r="D335" s="3" t="s">
        <v>197</v>
      </c>
      <c r="E335" s="3" t="n">
        <v>6</v>
      </c>
      <c r="F335" s="12" t="n">
        <v>0.8502</v>
      </c>
      <c r="G335" s="12" t="n">
        <v>0.4</v>
      </c>
      <c r="H335" s="12" t="n">
        <v>0.75</v>
      </c>
      <c r="I335" s="12" t="n">
        <v>0.6411</v>
      </c>
      <c r="J335" s="12" t="n">
        <v>0.3613</v>
      </c>
      <c r="K335" s="12" t="n">
        <v>0.5891</v>
      </c>
      <c r="L335" s="3" t="n">
        <v>5</v>
      </c>
      <c r="M335" s="12" t="n">
        <f aca="false">Z335-W335</f>
        <v>0.10012</v>
      </c>
      <c r="N335" s="12" t="n">
        <f aca="false">IFERROR((Z335-J335)/L335,"")</f>
        <v>0.045564</v>
      </c>
      <c r="O335" s="3" t="n">
        <v>14</v>
      </c>
      <c r="P335" s="13" t="b">
        <f aca="false">FALSE()</f>
        <v>0</v>
      </c>
      <c r="Q335" s="3" t="s">
        <v>166</v>
      </c>
      <c r="R335" s="12" t="n">
        <v>0.7582</v>
      </c>
      <c r="S335" s="12" t="n">
        <v>0.6456</v>
      </c>
      <c r="T335" s="3" t="n">
        <v>0.3614</v>
      </c>
      <c r="U335" s="12" t="n">
        <v>0.2692</v>
      </c>
      <c r="V335" s="12" t="n">
        <v>0.5796</v>
      </c>
      <c r="W335" s="12" t="n">
        <v>0.489</v>
      </c>
      <c r="X335" s="3" t="n">
        <v>0.6049</v>
      </c>
      <c r="Y335" s="3" t="n">
        <v>0.6432</v>
      </c>
      <c r="Z335" s="14" t="n">
        <f aca="false">Assumptions!$B$3*R335+Assumptions!$B$4*S335+IF(AA335=1,Assumptions!$B$11,Assumptions!$B$5)*X335+IF(AA335=1,Assumptions!$B$12,Assumptions!$B$6)*T335+Assumptions!$B$7*U335+Assumptions!$B$8*V335+Assumptions!$B$9*Y335</f>
        <v>0.58912</v>
      </c>
      <c r="AA335" s="3" t="n">
        <v>0</v>
      </c>
    </row>
    <row r="336" customFormat="false" ht="15" hidden="false" customHeight="false" outlineLevel="0" collapsed="false">
      <c r="A336" s="3" t="s">
        <v>521</v>
      </c>
      <c r="B336" s="3" t="n">
        <v>460</v>
      </c>
      <c r="C336" s="11" t="str">
        <f aca="false">IF(M336&gt;=Assumptions!$B$17,"S+",IF(M336&gt;=Assumptions!$B$18,"S",IF(M336&gt;=Assumptions!$B$19,"A",IF(M336&gt;=Assumptions!$B$20,"B",IF(M336&gt;=Assumptions!$B$21,"C",IF(M336&gt;=Assumptions!$B$22,"D","F"))))))</f>
        <v>B</v>
      </c>
      <c r="D336" s="3" t="s">
        <v>200</v>
      </c>
      <c r="E336" s="3" t="n">
        <v>3</v>
      </c>
      <c r="F336" s="12" t="n">
        <v>0.7114</v>
      </c>
      <c r="G336" s="12" t="n">
        <v>0.85</v>
      </c>
      <c r="H336" s="12" t="n">
        <v>0.5516</v>
      </c>
      <c r="I336" s="12" t="n">
        <v>0.7557</v>
      </c>
      <c r="J336" s="12" t="n">
        <v>0.4485</v>
      </c>
      <c r="K336" s="12" t="n">
        <v>0.5915</v>
      </c>
      <c r="L336" s="3" t="n">
        <v>3.85</v>
      </c>
      <c r="M336" s="12" t="n">
        <f aca="false">Z336-W336</f>
        <v>0.099999</v>
      </c>
      <c r="N336" s="12" t="n">
        <f aca="false">IFERROR((Z336-J336)/L336,"")</f>
        <v>0.0371425974025974</v>
      </c>
      <c r="O336" s="3" t="n">
        <v>17</v>
      </c>
      <c r="P336" s="13" t="b">
        <f aca="false">FALSE()</f>
        <v>0</v>
      </c>
      <c r="Q336" s="3" t="s">
        <v>166</v>
      </c>
      <c r="R336" s="12" t="n">
        <v>0.6469</v>
      </c>
      <c r="S336" s="12" t="n">
        <v>0.7214</v>
      </c>
      <c r="T336" s="3" t="n">
        <v>0.1902</v>
      </c>
      <c r="U336" s="12" t="n">
        <v>0.4072</v>
      </c>
      <c r="V336" s="12" t="n">
        <v>0.5119</v>
      </c>
      <c r="W336" s="12" t="n">
        <v>0.4915</v>
      </c>
      <c r="X336" s="3" t="n">
        <v>0.5702</v>
      </c>
      <c r="Y336" s="3" t="n">
        <v>0.7361</v>
      </c>
      <c r="Z336" s="14" t="n">
        <f aca="false">Assumptions!$B$3*R336+Assumptions!$B$4*S336+IF(AA336=1,Assumptions!$B$11,Assumptions!$B$5)*X336+IF(AA336=1,Assumptions!$B$12,Assumptions!$B$6)*T336+Assumptions!$B$7*U336+Assumptions!$B$8*V336+Assumptions!$B$9*Y336</f>
        <v>0.591499</v>
      </c>
      <c r="AA336" s="3" t="n">
        <v>1</v>
      </c>
    </row>
    <row r="337" customFormat="false" ht="15" hidden="false" customHeight="false" outlineLevel="0" collapsed="false">
      <c r="A337" s="3" t="s">
        <v>522</v>
      </c>
      <c r="B337" s="3" t="n">
        <v>628</v>
      </c>
      <c r="C337" s="11" t="str">
        <f aca="false">IF(M337&gt;=Assumptions!$B$17,"S+",IF(M337&gt;=Assumptions!$B$18,"S",IF(M337&gt;=Assumptions!$B$19,"A",IF(M337&gt;=Assumptions!$B$20,"B",IF(M337&gt;=Assumptions!$B$21,"C",IF(M337&gt;=Assumptions!$B$22,"D","F"))))))</f>
        <v>B</v>
      </c>
      <c r="D337" s="3" t="s">
        <v>218</v>
      </c>
      <c r="E337" s="3" t="n">
        <v>7</v>
      </c>
      <c r="F337" s="12" t="n">
        <v>0.9045</v>
      </c>
      <c r="G337" s="12" t="n">
        <v>0.6</v>
      </c>
      <c r="H337" s="12" t="n">
        <v>0.75</v>
      </c>
      <c r="I337" s="12" t="n">
        <v>0.7274</v>
      </c>
      <c r="J337" s="12" t="n">
        <v>0.4862</v>
      </c>
      <c r="K337" s="12" t="n">
        <v>0.6103</v>
      </c>
      <c r="L337" s="3" t="n">
        <v>4</v>
      </c>
      <c r="M337" s="12" t="n">
        <f aca="false">Z337-W337</f>
        <v>0.099602</v>
      </c>
      <c r="N337" s="12" t="n">
        <f aca="false">IFERROR((Z337-J337)/L337,"")</f>
        <v>0.0310255</v>
      </c>
      <c r="O337" s="3" t="n">
        <v>13</v>
      </c>
      <c r="P337" s="13" t="b">
        <f aca="false">FALSE()</f>
        <v>0</v>
      </c>
      <c r="Q337" s="3" t="s">
        <v>166</v>
      </c>
      <c r="R337" s="12" t="n">
        <v>0.8845</v>
      </c>
      <c r="S337" s="12" t="n">
        <v>0.6854</v>
      </c>
      <c r="T337" s="3" t="n">
        <v>0.2012</v>
      </c>
      <c r="U337" s="12" t="n">
        <v>0.426</v>
      </c>
      <c r="V337" s="12" t="n">
        <v>0.5096</v>
      </c>
      <c r="W337" s="12" t="n">
        <v>0.5107</v>
      </c>
      <c r="X337" s="3" t="n">
        <v>0.5207</v>
      </c>
      <c r="Y337" s="3" t="n">
        <v>0.7141</v>
      </c>
      <c r="Z337" s="14" t="n">
        <f aca="false">Assumptions!$B$3*R337+Assumptions!$B$4*S337+IF(AA337=1,Assumptions!$B$11,Assumptions!$B$5)*X337+IF(AA337=1,Assumptions!$B$12,Assumptions!$B$6)*T337+Assumptions!$B$7*U337+Assumptions!$B$8*V337+Assumptions!$B$9*Y337</f>
        <v>0.610302</v>
      </c>
      <c r="AA337" s="3" t="n">
        <v>0</v>
      </c>
    </row>
    <row r="338" customFormat="false" ht="15" hidden="false" customHeight="false" outlineLevel="0" collapsed="false">
      <c r="A338" s="3" t="s">
        <v>523</v>
      </c>
      <c r="B338" s="3" t="n">
        <v>481</v>
      </c>
      <c r="C338" s="11" t="str">
        <f aca="false">IF(M338&gt;=Assumptions!$B$17,"S+",IF(M338&gt;=Assumptions!$B$18,"S",IF(M338&gt;=Assumptions!$B$19,"A",IF(M338&gt;=Assumptions!$B$20,"B",IF(M338&gt;=Assumptions!$B$21,"C",IF(M338&gt;=Assumptions!$B$22,"D","F"))))))</f>
        <v>B</v>
      </c>
      <c r="D338" s="3" t="s">
        <v>197</v>
      </c>
      <c r="E338" s="3" t="n">
        <v>7</v>
      </c>
      <c r="F338" s="12" t="n">
        <v>0.8644</v>
      </c>
      <c r="G338" s="12" t="n">
        <v>0.8</v>
      </c>
      <c r="H338" s="12" t="n">
        <v>0.75</v>
      </c>
      <c r="I338" s="12" t="n">
        <v>0.8145</v>
      </c>
      <c r="J338" s="12" t="n">
        <v>0.3634</v>
      </c>
      <c r="K338" s="12" t="n">
        <v>0.5861</v>
      </c>
      <c r="L338" s="3" t="n">
        <v>4</v>
      </c>
      <c r="M338" s="12" t="n">
        <f aca="false">Z338-W338</f>
        <v>0.09957</v>
      </c>
      <c r="N338" s="12" t="n">
        <f aca="false">IFERROR((Z338-J338)/L338,"")</f>
        <v>0.0556675</v>
      </c>
      <c r="O338" s="3" t="n">
        <v>13</v>
      </c>
      <c r="P338" s="13" t="b">
        <f aca="false">FALSE()</f>
        <v>0</v>
      </c>
      <c r="Q338" s="3" t="s">
        <v>166</v>
      </c>
      <c r="R338" s="12" t="n">
        <v>0.7061</v>
      </c>
      <c r="S338" s="12" t="n">
        <v>0.4711</v>
      </c>
      <c r="T338" s="3" t="n">
        <v>0.3665</v>
      </c>
      <c r="U338" s="12" t="n">
        <v>0.4556</v>
      </c>
      <c r="V338" s="12" t="n">
        <v>0.4757</v>
      </c>
      <c r="W338" s="12" t="n">
        <v>0.4865</v>
      </c>
      <c r="X338" s="3" t="n">
        <v>0.6772</v>
      </c>
      <c r="Y338" s="3" t="n">
        <v>0.816</v>
      </c>
      <c r="Z338" s="14" t="n">
        <f aca="false">Assumptions!$B$3*R338+Assumptions!$B$4*S338+IF(AA338=1,Assumptions!$B$11,Assumptions!$B$5)*X338+IF(AA338=1,Assumptions!$B$12,Assumptions!$B$6)*T338+Assumptions!$B$7*U338+Assumptions!$B$8*V338+Assumptions!$B$9*Y338</f>
        <v>0.58607</v>
      </c>
      <c r="AA338" s="3" t="n">
        <v>0</v>
      </c>
    </row>
    <row r="339" customFormat="false" ht="15" hidden="false" customHeight="false" outlineLevel="0" collapsed="false">
      <c r="A339" s="3" t="s">
        <v>524</v>
      </c>
      <c r="B339" s="3" t="n">
        <v>525</v>
      </c>
      <c r="C339" s="11" t="str">
        <f aca="false">IF(M339&gt;=Assumptions!$B$17,"S+",IF(M339&gt;=Assumptions!$B$18,"S",IF(M339&gt;=Assumptions!$B$19,"A",IF(M339&gt;=Assumptions!$B$20,"B",IF(M339&gt;=Assumptions!$B$21,"C",IF(M339&gt;=Assumptions!$B$22,"D","F"))))))</f>
        <v>B</v>
      </c>
      <c r="D339" s="3" t="s">
        <v>253</v>
      </c>
      <c r="E339" s="3" t="n">
        <v>6</v>
      </c>
      <c r="F339" s="12" t="n">
        <v>0.9327</v>
      </c>
      <c r="G339" s="12" t="n">
        <v>0.6</v>
      </c>
      <c r="H339" s="12" t="n">
        <v>0.75</v>
      </c>
      <c r="I339" s="12" t="n">
        <v>0.7365</v>
      </c>
      <c r="J339" s="12" t="n">
        <v>0.3688</v>
      </c>
      <c r="K339" s="12" t="n">
        <v>0.6261</v>
      </c>
      <c r="L339" s="3" t="n">
        <v>5</v>
      </c>
      <c r="M339" s="12" t="n">
        <f aca="false">Z339-W339</f>
        <v>0.0994660000000002</v>
      </c>
      <c r="N339" s="12" t="n">
        <f aca="false">IFERROR((Z339-J339)/L339,"")</f>
        <v>0.0514532</v>
      </c>
      <c r="O339" s="3" t="n">
        <v>14</v>
      </c>
      <c r="P339" s="13" t="b">
        <f aca="false">FALSE()</f>
        <v>0</v>
      </c>
      <c r="Q339" s="3" t="s">
        <v>166</v>
      </c>
      <c r="R339" s="12" t="n">
        <v>0.8774</v>
      </c>
      <c r="S339" s="12" t="n">
        <v>0.5247</v>
      </c>
      <c r="T339" s="3" t="n">
        <v>0.2035</v>
      </c>
      <c r="U339" s="12" t="n">
        <v>0.3352</v>
      </c>
      <c r="V339" s="12" t="n">
        <v>0.4617</v>
      </c>
      <c r="W339" s="12" t="n">
        <v>0.5266</v>
      </c>
      <c r="X339" s="3" t="n">
        <v>0.8545</v>
      </c>
      <c r="Y339" s="3" t="n">
        <v>0.7379</v>
      </c>
      <c r="Z339" s="14" t="n">
        <f aca="false">Assumptions!$B$3*R339+Assumptions!$B$4*S339+IF(AA339=1,Assumptions!$B$11,Assumptions!$B$5)*X339+IF(AA339=1,Assumptions!$B$12,Assumptions!$B$6)*T339+Assumptions!$B$7*U339+Assumptions!$B$8*V339+Assumptions!$B$9*Y339</f>
        <v>0.626066</v>
      </c>
      <c r="AA339" s="3" t="n">
        <v>0</v>
      </c>
    </row>
    <row r="340" customFormat="false" ht="15" hidden="false" customHeight="false" outlineLevel="0" collapsed="false">
      <c r="A340" s="3" t="s">
        <v>525</v>
      </c>
      <c r="B340" s="3" t="n">
        <v>540</v>
      </c>
      <c r="C340" s="11" t="str">
        <f aca="false">IF(M340&gt;=Assumptions!$B$17,"S+",IF(M340&gt;=Assumptions!$B$18,"S",IF(M340&gt;=Assumptions!$B$19,"A",IF(M340&gt;=Assumptions!$B$20,"B",IF(M340&gt;=Assumptions!$B$21,"C",IF(M340&gt;=Assumptions!$B$22,"D","F"))))))</f>
        <v>C</v>
      </c>
      <c r="D340" s="3" t="s">
        <v>197</v>
      </c>
      <c r="E340" s="3" t="n">
        <v>1</v>
      </c>
      <c r="F340" s="12" t="n">
        <v>0.953</v>
      </c>
      <c r="G340" s="12" t="n">
        <v>0.8</v>
      </c>
      <c r="H340" s="12" t="n">
        <v>0.75</v>
      </c>
      <c r="I340" s="12" t="n">
        <v>0.8481</v>
      </c>
      <c r="J340" s="12" t="n">
        <v>0.4077</v>
      </c>
      <c r="K340" s="12" t="n">
        <v>0.5887</v>
      </c>
      <c r="L340" s="3" t="n">
        <v>3.71</v>
      </c>
      <c r="M340" s="12" t="n">
        <f aca="false">Z340-W340</f>
        <v>0.0986650000000001</v>
      </c>
      <c r="N340" s="12" t="n">
        <f aca="false">IFERROR((Z340-J340)/L340,"")</f>
        <v>0.048777628032345</v>
      </c>
      <c r="O340" s="3" t="n">
        <v>19</v>
      </c>
      <c r="P340" s="13" t="b">
        <f aca="false">FALSE()</f>
        <v>0</v>
      </c>
      <c r="Q340" s="3" t="s">
        <v>166</v>
      </c>
      <c r="R340" s="12" t="n">
        <v>0.7941</v>
      </c>
      <c r="S340" s="12" t="n">
        <v>0.547</v>
      </c>
      <c r="T340" s="3" t="n">
        <v>0.7263</v>
      </c>
      <c r="U340" s="12" t="n">
        <v>0.332</v>
      </c>
      <c r="V340" s="12" t="n">
        <v>0.5133</v>
      </c>
      <c r="W340" s="12" t="n">
        <v>0.49</v>
      </c>
      <c r="X340" s="3" t="n">
        <v>0.356</v>
      </c>
      <c r="Y340" s="3" t="n">
        <v>0.6637</v>
      </c>
      <c r="Z340" s="14" t="n">
        <f aca="false">Assumptions!$B$3*R340+Assumptions!$B$4*S340+IF(AA340=1,Assumptions!$B$11,Assumptions!$B$5)*X340+IF(AA340=1,Assumptions!$B$12,Assumptions!$B$6)*T340+Assumptions!$B$7*U340+Assumptions!$B$8*V340+Assumptions!$B$9*Y340</f>
        <v>0.588665</v>
      </c>
      <c r="AA340" s="3" t="n">
        <v>0</v>
      </c>
    </row>
    <row r="341" customFormat="false" ht="15" hidden="false" customHeight="false" outlineLevel="0" collapsed="false">
      <c r="A341" s="3" t="s">
        <v>526</v>
      </c>
      <c r="B341" s="3" t="n">
        <v>520</v>
      </c>
      <c r="C341" s="11" t="str">
        <f aca="false">IF(M341&gt;=Assumptions!$B$17,"S+",IF(M341&gt;=Assumptions!$B$18,"S",IF(M341&gt;=Assumptions!$B$19,"A",IF(M341&gt;=Assumptions!$B$20,"B",IF(M341&gt;=Assumptions!$B$21,"C",IF(M341&gt;=Assumptions!$B$22,"D","F"))))))</f>
        <v>C</v>
      </c>
      <c r="D341" s="3" t="s">
        <v>247</v>
      </c>
      <c r="E341" s="3" t="n">
        <v>6</v>
      </c>
      <c r="F341" s="12" t="n">
        <v>0.8798</v>
      </c>
      <c r="G341" s="12" t="n">
        <v>0.6</v>
      </c>
      <c r="H341" s="12" t="n">
        <v>0.75</v>
      </c>
      <c r="I341" s="12" t="n">
        <v>0.7195</v>
      </c>
      <c r="J341" s="12" t="n">
        <v>0.3822</v>
      </c>
      <c r="K341" s="12" t="n">
        <v>0.5515</v>
      </c>
      <c r="L341" s="3" t="n">
        <v>4</v>
      </c>
      <c r="M341" s="12" t="n">
        <f aca="false">Z341-W341</f>
        <v>0.098451</v>
      </c>
      <c r="N341" s="12" t="n">
        <f aca="false">IFERROR((Z341-J341)/L341,"")</f>
        <v>0.04231275</v>
      </c>
      <c r="O341" s="3" t="n">
        <v>14</v>
      </c>
      <c r="P341" s="13" t="b">
        <f aca="false">FALSE()</f>
        <v>0</v>
      </c>
      <c r="Q341" s="3" t="s">
        <v>166</v>
      </c>
      <c r="R341" s="12" t="n">
        <v>0.8512</v>
      </c>
      <c r="S341" s="12" t="n">
        <v>0.5713</v>
      </c>
      <c r="T341" s="3" t="n">
        <v>0.0657</v>
      </c>
      <c r="U341" s="12" t="n">
        <v>0.2692</v>
      </c>
      <c r="V341" s="12" t="n">
        <v>0.5198</v>
      </c>
      <c r="W341" s="12" t="n">
        <v>0.453</v>
      </c>
      <c r="X341" s="3" t="n">
        <v>0.5022</v>
      </c>
      <c r="Y341" s="3" t="n">
        <v>0.7211</v>
      </c>
      <c r="Z341" s="14" t="n">
        <f aca="false">Assumptions!$B$3*R341+Assumptions!$B$4*S341+IF(AA341=1,Assumptions!$B$11,Assumptions!$B$5)*X341+IF(AA341=1,Assumptions!$B$12,Assumptions!$B$6)*T341+Assumptions!$B$7*U341+Assumptions!$B$8*V341+Assumptions!$B$9*Y341</f>
        <v>0.551451</v>
      </c>
      <c r="AA341" s="3" t="n">
        <v>0</v>
      </c>
    </row>
    <row r="342" customFormat="false" ht="15" hidden="false" customHeight="false" outlineLevel="0" collapsed="false">
      <c r="A342" s="3" t="s">
        <v>527</v>
      </c>
      <c r="B342" s="3" t="n">
        <v>567</v>
      </c>
      <c r="C342" s="11" t="str">
        <f aca="false">IF(M342&gt;=Assumptions!$B$17,"S+",IF(M342&gt;=Assumptions!$B$18,"S",IF(M342&gt;=Assumptions!$B$19,"A",IF(M342&gt;=Assumptions!$B$20,"B",IF(M342&gt;=Assumptions!$B$21,"C",IF(M342&gt;=Assumptions!$B$22,"D","F"))))))</f>
        <v>C</v>
      </c>
      <c r="D342" s="3" t="s">
        <v>190</v>
      </c>
      <c r="E342" s="3" t="n">
        <v>6</v>
      </c>
      <c r="F342" s="12" t="n">
        <v>0.938</v>
      </c>
      <c r="G342" s="12" t="n">
        <v>0.6</v>
      </c>
      <c r="H342" s="12" t="n">
        <v>0.75</v>
      </c>
      <c r="I342" s="12" t="n">
        <v>0.7584</v>
      </c>
      <c r="J342" s="12" t="n">
        <v>0.3795</v>
      </c>
      <c r="K342" s="12" t="n">
        <v>0.5759</v>
      </c>
      <c r="L342" s="3" t="n">
        <v>4</v>
      </c>
      <c r="M342" s="12" t="n">
        <f aca="false">Z342-W342</f>
        <v>0.09856</v>
      </c>
      <c r="N342" s="12" t="n">
        <f aca="false">IFERROR((Z342-J342)/L342,"")</f>
        <v>0.04909</v>
      </c>
      <c r="O342" s="3" t="n">
        <v>14</v>
      </c>
      <c r="P342" s="13" t="b">
        <f aca="false">FALSE()</f>
        <v>0</v>
      </c>
      <c r="Q342" s="3" t="s">
        <v>166</v>
      </c>
      <c r="R342" s="12" t="n">
        <v>0.9089</v>
      </c>
      <c r="S342" s="12" t="n">
        <v>0.3851</v>
      </c>
      <c r="T342" s="3" t="n">
        <v>0.4368</v>
      </c>
      <c r="U342" s="12" t="n">
        <v>0.5605</v>
      </c>
      <c r="V342" s="12" t="n">
        <v>0.4597</v>
      </c>
      <c r="W342" s="12" t="n">
        <v>0.4773</v>
      </c>
      <c r="X342" s="3" t="n">
        <v>0.2923</v>
      </c>
      <c r="Y342" s="3" t="n">
        <v>0.7598</v>
      </c>
      <c r="Z342" s="14" t="n">
        <f aca="false">Assumptions!$B$3*R342+Assumptions!$B$4*S342+IF(AA342=1,Assumptions!$B$11,Assumptions!$B$5)*X342+IF(AA342=1,Assumptions!$B$12,Assumptions!$B$6)*T342+Assumptions!$B$7*U342+Assumptions!$B$8*V342+Assumptions!$B$9*Y342</f>
        <v>0.57586</v>
      </c>
      <c r="AA342" s="3" t="n">
        <v>0</v>
      </c>
    </row>
    <row r="343" customFormat="false" ht="15" hidden="false" customHeight="false" outlineLevel="0" collapsed="false">
      <c r="A343" s="3" t="s">
        <v>528</v>
      </c>
      <c r="B343" s="3" t="n">
        <v>570</v>
      </c>
      <c r="C343" s="11" t="str">
        <f aca="false">IF(M343&gt;=Assumptions!$B$17,"S+",IF(M343&gt;=Assumptions!$B$18,"S",IF(M343&gt;=Assumptions!$B$19,"A",IF(M343&gt;=Assumptions!$B$20,"B",IF(M343&gt;=Assumptions!$B$21,"C",IF(M343&gt;=Assumptions!$B$22,"D","F"))))))</f>
        <v>C</v>
      </c>
      <c r="D343" s="3" t="s">
        <v>190</v>
      </c>
      <c r="E343" s="3" t="n">
        <v>4</v>
      </c>
      <c r="F343" s="12" t="n">
        <v>0.9682</v>
      </c>
      <c r="G343" s="12" t="n">
        <v>1</v>
      </c>
      <c r="H343" s="12" t="n">
        <v>0.75</v>
      </c>
      <c r="I343" s="12" t="n">
        <v>0.9379</v>
      </c>
      <c r="J343" s="12" t="n">
        <v>0.495</v>
      </c>
      <c r="K343" s="12" t="n">
        <v>0.5904</v>
      </c>
      <c r="L343" s="3" t="n">
        <v>3.88</v>
      </c>
      <c r="M343" s="12" t="n">
        <f aca="false">Z343-W343</f>
        <v>0.0984370000000001</v>
      </c>
      <c r="N343" s="12" t="n">
        <f aca="false">IFERROR((Z343-J343)/L343,"")</f>
        <v>0.0245971649484536</v>
      </c>
      <c r="O343" s="3" t="n">
        <v>16</v>
      </c>
      <c r="P343" s="13" t="b">
        <f aca="false">FALSE()</f>
        <v>0</v>
      </c>
      <c r="Q343" s="3" t="s">
        <v>166</v>
      </c>
      <c r="R343" s="12" t="n">
        <v>0.8599</v>
      </c>
      <c r="S343" s="12" t="n">
        <v>0.4512</v>
      </c>
      <c r="T343" s="3" t="n">
        <v>0.5071</v>
      </c>
      <c r="U343" s="12" t="n">
        <v>0.399</v>
      </c>
      <c r="V343" s="12" t="n">
        <v>0.5033</v>
      </c>
      <c r="W343" s="12" t="n">
        <v>0.492</v>
      </c>
      <c r="X343" s="3" t="n">
        <v>0.3658</v>
      </c>
      <c r="Y343" s="3" t="n">
        <v>0.8454</v>
      </c>
      <c r="Z343" s="14" t="n">
        <f aca="false">Assumptions!$B$3*R343+Assumptions!$B$4*S343+IF(AA343=1,Assumptions!$B$11,Assumptions!$B$5)*X343+IF(AA343=1,Assumptions!$B$12,Assumptions!$B$6)*T343+Assumptions!$B$7*U343+Assumptions!$B$8*V343+Assumptions!$B$9*Y343</f>
        <v>0.590437</v>
      </c>
      <c r="AA343" s="3" t="n">
        <v>0</v>
      </c>
    </row>
    <row r="344" customFormat="false" ht="15" hidden="false" customHeight="false" outlineLevel="0" collapsed="false">
      <c r="A344" s="3" t="s">
        <v>529</v>
      </c>
      <c r="B344" s="3" t="n">
        <v>570</v>
      </c>
      <c r="C344" s="11" t="str">
        <f aca="false">IF(M344&gt;=Assumptions!$B$17,"S+",IF(M344&gt;=Assumptions!$B$18,"S",IF(M344&gt;=Assumptions!$B$19,"A",IF(M344&gt;=Assumptions!$B$20,"B",IF(M344&gt;=Assumptions!$B$21,"C",IF(M344&gt;=Assumptions!$B$22,"D","F"))))))</f>
        <v>C</v>
      </c>
      <c r="D344" s="3" t="s">
        <v>190</v>
      </c>
      <c r="E344" s="3" t="n">
        <v>1</v>
      </c>
      <c r="F344" s="12" t="n">
        <v>0.5647</v>
      </c>
      <c r="G344" s="12" t="n">
        <v>1</v>
      </c>
      <c r="H344" s="12" t="n">
        <v>0.75</v>
      </c>
      <c r="I344" s="12" t="n">
        <v>0.7846</v>
      </c>
      <c r="J344" s="12" t="n">
        <v>0.4219</v>
      </c>
      <c r="K344" s="12" t="n">
        <v>0.6072</v>
      </c>
      <c r="L344" s="3" t="n">
        <v>3.55</v>
      </c>
      <c r="M344" s="12" t="n">
        <f aca="false">Z344-W344</f>
        <v>0.098186</v>
      </c>
      <c r="N344" s="12" t="n">
        <f aca="false">IFERROR((Z344-J344)/L344,"")</f>
        <v>0.0521932394366197</v>
      </c>
      <c r="O344" s="3" t="n">
        <v>19</v>
      </c>
      <c r="P344" s="13" t="b">
        <f aca="false">FALSE()</f>
        <v>0</v>
      </c>
      <c r="Q344" s="3" t="s">
        <v>166</v>
      </c>
      <c r="R344" s="12" t="n">
        <v>0.8309</v>
      </c>
      <c r="S344" s="12" t="n">
        <v>0.8045</v>
      </c>
      <c r="T344" s="3" t="n">
        <v>0.2166</v>
      </c>
      <c r="U344" s="12" t="n">
        <v>0.4454</v>
      </c>
      <c r="V344" s="12" t="n">
        <v>0.4805</v>
      </c>
      <c r="W344" s="12" t="n">
        <v>0.509</v>
      </c>
      <c r="X344" s="3" t="n">
        <v>0.498</v>
      </c>
      <c r="Y344" s="3" t="n">
        <v>0.6741</v>
      </c>
      <c r="Z344" s="14" t="n">
        <f aca="false">Assumptions!$B$3*R344+Assumptions!$B$4*S344+IF(AA344=1,Assumptions!$B$11,Assumptions!$B$5)*X344+IF(AA344=1,Assumptions!$B$12,Assumptions!$B$6)*T344+Assumptions!$B$7*U344+Assumptions!$B$8*V344+Assumptions!$B$9*Y344</f>
        <v>0.607186</v>
      </c>
      <c r="AA344" s="3" t="n">
        <v>0</v>
      </c>
    </row>
    <row r="345" customFormat="false" ht="15" hidden="false" customHeight="false" outlineLevel="0" collapsed="false">
      <c r="A345" s="3" t="s">
        <v>530</v>
      </c>
      <c r="B345" s="3" t="n">
        <v>488</v>
      </c>
      <c r="C345" s="11" t="str">
        <f aca="false">IF(M345&gt;=Assumptions!$B$17,"S+",IF(M345&gt;=Assumptions!$B$18,"S",IF(M345&gt;=Assumptions!$B$19,"A",IF(M345&gt;=Assumptions!$B$20,"B",IF(M345&gt;=Assumptions!$B$21,"C",IF(M345&gt;=Assumptions!$B$22,"D","F"))))))</f>
        <v>C</v>
      </c>
      <c r="D345" s="3" t="s">
        <v>190</v>
      </c>
      <c r="E345" s="3" t="n">
        <v>7</v>
      </c>
      <c r="F345" s="12" t="n">
        <v>0.4447</v>
      </c>
      <c r="G345" s="12" t="n">
        <v>0.8</v>
      </c>
      <c r="H345" s="12" t="n">
        <v>0.75</v>
      </c>
      <c r="I345" s="12" t="n">
        <v>0.655</v>
      </c>
      <c r="J345" s="12" t="n">
        <v>0.3419</v>
      </c>
      <c r="K345" s="12" t="n">
        <v>0.5376</v>
      </c>
      <c r="L345" s="3" t="n">
        <v>5</v>
      </c>
      <c r="M345" s="12" t="n">
        <f aca="false">Z345-W345</f>
        <v>0.098204</v>
      </c>
      <c r="N345" s="12" t="n">
        <f aca="false">IFERROR((Z345-J345)/L345,"")</f>
        <v>0.0391408</v>
      </c>
      <c r="O345" s="3" t="n">
        <v>13</v>
      </c>
      <c r="P345" s="13" t="b">
        <f aca="false">FALSE()</f>
        <v>0</v>
      </c>
      <c r="Q345" s="3" t="s">
        <v>166</v>
      </c>
      <c r="R345" s="12" t="n">
        <v>0.8241</v>
      </c>
      <c r="S345" s="12" t="n">
        <v>0.5139</v>
      </c>
      <c r="T345" s="3" t="n">
        <v>0.1318</v>
      </c>
      <c r="U345" s="12" t="n">
        <v>0.3491</v>
      </c>
      <c r="V345" s="12" t="n">
        <v>0.4367</v>
      </c>
      <c r="W345" s="12" t="n">
        <v>0.4394</v>
      </c>
      <c r="X345" s="3" t="n">
        <v>0.51</v>
      </c>
      <c r="Y345" s="3" t="n">
        <v>0.6589</v>
      </c>
      <c r="Z345" s="14" t="n">
        <f aca="false">Assumptions!$B$3*R345+Assumptions!$B$4*S345+IF(AA345=1,Assumptions!$B$11,Assumptions!$B$5)*X345+IF(AA345=1,Assumptions!$B$12,Assumptions!$B$6)*T345+Assumptions!$B$7*U345+Assumptions!$B$8*V345+Assumptions!$B$9*Y345</f>
        <v>0.537604</v>
      </c>
      <c r="AA345" s="3" t="n">
        <v>0</v>
      </c>
    </row>
    <row r="346" customFormat="false" ht="15" hidden="false" customHeight="false" outlineLevel="0" collapsed="false">
      <c r="A346" s="3" t="s">
        <v>531</v>
      </c>
      <c r="B346" s="3" t="n">
        <v>420</v>
      </c>
      <c r="C346" s="11" t="str">
        <f aca="false">IF(M346&gt;=Assumptions!$B$17,"S+",IF(M346&gt;=Assumptions!$B$18,"S",IF(M346&gt;=Assumptions!$B$19,"A",IF(M346&gt;=Assumptions!$B$20,"B",IF(M346&gt;=Assumptions!$B$21,"C",IF(M346&gt;=Assumptions!$B$22,"D","F"))))))</f>
        <v>C</v>
      </c>
      <c r="D346" s="3" t="s">
        <v>190</v>
      </c>
      <c r="E346" s="3" t="n">
        <v>2</v>
      </c>
      <c r="F346" s="12" t="n">
        <v>0.8524</v>
      </c>
      <c r="G346" s="12" t="n">
        <v>0.6</v>
      </c>
      <c r="H346" s="12" t="n">
        <v>0.75</v>
      </c>
      <c r="I346" s="12" t="n">
        <v>0.7259</v>
      </c>
      <c r="J346" s="12" t="n">
        <v>0.3705</v>
      </c>
      <c r="K346" s="12" t="n">
        <v>0.5852</v>
      </c>
      <c r="L346" s="3" t="n">
        <v>6.78</v>
      </c>
      <c r="M346" s="12" t="n">
        <f aca="false">Z346-W346</f>
        <v>0.097841</v>
      </c>
      <c r="N346" s="12" t="n">
        <f aca="false">IFERROR((Z346-J346)/L346,"")</f>
        <v>0.0316727138643068</v>
      </c>
      <c r="O346" s="3" t="n">
        <v>18</v>
      </c>
      <c r="P346" s="13" t="b">
        <f aca="false">FALSE()</f>
        <v>0</v>
      </c>
      <c r="Q346" s="3" t="s">
        <v>166</v>
      </c>
      <c r="R346" s="12" t="n">
        <v>0.6269</v>
      </c>
      <c r="S346" s="12" t="n">
        <v>0.5128</v>
      </c>
      <c r="T346" s="3" t="n">
        <v>0.5147</v>
      </c>
      <c r="U346" s="12" t="n">
        <v>0.5299</v>
      </c>
      <c r="V346" s="12" t="n">
        <v>0.5081</v>
      </c>
      <c r="W346" s="12" t="n">
        <v>0.4874</v>
      </c>
      <c r="X346" s="3" t="n">
        <v>0.6677</v>
      </c>
      <c r="Y346" s="3" t="n">
        <v>0.6785</v>
      </c>
      <c r="Z346" s="14" t="n">
        <f aca="false">Assumptions!$B$3*R346+Assumptions!$B$4*S346+IF(AA346=1,Assumptions!$B$11,Assumptions!$B$5)*X346+IF(AA346=1,Assumptions!$B$12,Assumptions!$B$6)*T346+Assumptions!$B$7*U346+Assumptions!$B$8*V346+Assumptions!$B$9*Y346</f>
        <v>0.585241</v>
      </c>
      <c r="AA346" s="3" t="n">
        <v>0</v>
      </c>
    </row>
    <row r="347" customFormat="false" ht="15" hidden="false" customHeight="false" outlineLevel="0" collapsed="false">
      <c r="A347" s="3" t="s">
        <v>532</v>
      </c>
      <c r="B347" s="3" t="n">
        <v>570</v>
      </c>
      <c r="C347" s="11" t="str">
        <f aca="false">IF(M347&gt;=Assumptions!$B$17,"S+",IF(M347&gt;=Assumptions!$B$18,"S",IF(M347&gt;=Assumptions!$B$19,"A",IF(M347&gt;=Assumptions!$B$20,"B",IF(M347&gt;=Assumptions!$B$21,"C",IF(M347&gt;=Assumptions!$B$22,"D","F"))))))</f>
        <v>C</v>
      </c>
      <c r="D347" s="3" t="s">
        <v>190</v>
      </c>
      <c r="E347" s="3" t="n">
        <v>1</v>
      </c>
      <c r="F347" s="12" t="n">
        <v>0.7746</v>
      </c>
      <c r="G347" s="12" t="n">
        <v>0.8</v>
      </c>
      <c r="H347" s="12" t="n">
        <v>0.75</v>
      </c>
      <c r="I347" s="12" t="n">
        <v>0.7804</v>
      </c>
      <c r="J347" s="12" t="n">
        <v>0.4226</v>
      </c>
      <c r="K347" s="12" t="n">
        <v>0.5857</v>
      </c>
      <c r="L347" s="3" t="n">
        <v>4.42</v>
      </c>
      <c r="M347" s="12" t="n">
        <f aca="false">Z347-W347</f>
        <v>0.0971590000000001</v>
      </c>
      <c r="N347" s="12" t="n">
        <f aca="false">IFERROR((Z347-J347)/L347,"")</f>
        <v>0.0368911764705883</v>
      </c>
      <c r="O347" s="3" t="n">
        <v>19</v>
      </c>
      <c r="P347" s="13" t="b">
        <f aca="false">FALSE()</f>
        <v>0</v>
      </c>
      <c r="Q347" s="3" t="s">
        <v>166</v>
      </c>
      <c r="R347" s="12" t="n">
        <v>0.7333</v>
      </c>
      <c r="S347" s="12" t="n">
        <v>0.8321</v>
      </c>
      <c r="T347" s="3" t="n">
        <v>0.3377</v>
      </c>
      <c r="U347" s="12" t="n">
        <v>0.3725</v>
      </c>
      <c r="V347" s="12" t="n">
        <v>0.421</v>
      </c>
      <c r="W347" s="12" t="n">
        <v>0.4885</v>
      </c>
      <c r="X347" s="3" t="n">
        <v>0.4962</v>
      </c>
      <c r="Y347" s="3" t="n">
        <v>0.6671</v>
      </c>
      <c r="Z347" s="14" t="n">
        <f aca="false">Assumptions!$B$3*R347+Assumptions!$B$4*S347+IF(AA347=1,Assumptions!$B$11,Assumptions!$B$5)*X347+IF(AA347=1,Assumptions!$B$12,Assumptions!$B$6)*T347+Assumptions!$B$7*U347+Assumptions!$B$8*V347+Assumptions!$B$9*Y347</f>
        <v>0.585659</v>
      </c>
      <c r="AA347" s="3" t="n">
        <v>0</v>
      </c>
    </row>
    <row r="348" customFormat="false" ht="15" hidden="false" customHeight="false" outlineLevel="0" collapsed="false">
      <c r="A348" s="3" t="s">
        <v>533</v>
      </c>
      <c r="B348" s="3" t="n">
        <v>580</v>
      </c>
      <c r="C348" s="11" t="str">
        <f aca="false">IF(M348&gt;=Assumptions!$B$17,"S+",IF(M348&gt;=Assumptions!$B$18,"S",IF(M348&gt;=Assumptions!$B$19,"A",IF(M348&gt;=Assumptions!$B$20,"B",IF(M348&gt;=Assumptions!$B$21,"C",IF(M348&gt;=Assumptions!$B$22,"D","F"))))))</f>
        <v>C</v>
      </c>
      <c r="D348" s="3" t="s">
        <v>253</v>
      </c>
      <c r="E348" s="3" t="n">
        <v>13</v>
      </c>
      <c r="F348" s="12" t="n">
        <v>0.6968</v>
      </c>
      <c r="G348" s="12" t="n">
        <v>0.6</v>
      </c>
      <c r="H348" s="12" t="n">
        <v>0.75</v>
      </c>
      <c r="I348" s="12" t="n">
        <v>0.661</v>
      </c>
      <c r="J348" s="12" t="n">
        <v>0.4021</v>
      </c>
      <c r="K348" s="12" t="n">
        <v>0.6251</v>
      </c>
      <c r="L348" s="3" t="n">
        <v>4</v>
      </c>
      <c r="M348" s="12" t="n">
        <f aca="false">Z348-W348</f>
        <v>0.097081</v>
      </c>
      <c r="N348" s="12" t="n">
        <f aca="false">IFERROR((Z348-J348)/L348,"")</f>
        <v>0.05574525</v>
      </c>
      <c r="O348" s="3" t="n">
        <v>7</v>
      </c>
      <c r="P348" s="13" t="b">
        <f aca="false">FALSE()</f>
        <v>0</v>
      </c>
      <c r="Q348" s="3" t="s">
        <v>166</v>
      </c>
      <c r="R348" s="12" t="n">
        <v>0.7531</v>
      </c>
      <c r="S348" s="12" t="n">
        <v>0.6847</v>
      </c>
      <c r="T348" s="3" t="n">
        <v>0.1945</v>
      </c>
      <c r="U348" s="12" t="n">
        <v>0.5385</v>
      </c>
      <c r="V348" s="12" t="n">
        <v>0.5036</v>
      </c>
      <c r="W348" s="12" t="n">
        <v>0.528</v>
      </c>
      <c r="X348" s="3" t="n">
        <v>0.7989</v>
      </c>
      <c r="Y348" s="3" t="n">
        <v>0.6616</v>
      </c>
      <c r="Z348" s="14" t="n">
        <f aca="false">Assumptions!$B$3*R348+Assumptions!$B$4*S348+IF(AA348=1,Assumptions!$B$11,Assumptions!$B$5)*X348+IF(AA348=1,Assumptions!$B$12,Assumptions!$B$6)*T348+Assumptions!$B$7*U348+Assumptions!$B$8*V348+Assumptions!$B$9*Y348</f>
        <v>0.625081</v>
      </c>
      <c r="AA348" s="3" t="n">
        <v>0</v>
      </c>
    </row>
    <row r="349" customFormat="false" ht="15" hidden="false" customHeight="false" outlineLevel="0" collapsed="false">
      <c r="A349" s="3" t="s">
        <v>534</v>
      </c>
      <c r="B349" s="3" t="n">
        <v>470</v>
      </c>
      <c r="C349" s="11" t="str">
        <f aca="false">IF(M349&gt;=Assumptions!$B$17,"S+",IF(M349&gt;=Assumptions!$B$18,"S",IF(M349&gt;=Assumptions!$B$19,"A",IF(M349&gt;=Assumptions!$B$20,"B",IF(M349&gt;=Assumptions!$B$21,"C",IF(M349&gt;=Assumptions!$B$22,"D","F"))))))</f>
        <v>C</v>
      </c>
      <c r="D349" s="3" t="s">
        <v>208</v>
      </c>
      <c r="E349" s="3" t="n">
        <v>3</v>
      </c>
      <c r="F349" s="12" t="n">
        <v>0.7883</v>
      </c>
      <c r="G349" s="12" t="n">
        <v>0.45</v>
      </c>
      <c r="H349" s="12" t="n">
        <v>0.496</v>
      </c>
      <c r="I349" s="12" t="n">
        <v>0.5776</v>
      </c>
      <c r="J349" s="12" t="n">
        <v>0.3232</v>
      </c>
      <c r="K349" s="12" t="n">
        <v>0.5643</v>
      </c>
      <c r="L349" s="3" t="n">
        <v>5.76</v>
      </c>
      <c r="M349" s="12" t="n">
        <f aca="false">Z349-W349</f>
        <v>0.0969499999999999</v>
      </c>
      <c r="N349" s="12" t="n">
        <f aca="false">IFERROR((Z349-J349)/L349,"")</f>
        <v>0.0418489583333333</v>
      </c>
      <c r="O349" s="3" t="n">
        <v>17</v>
      </c>
      <c r="P349" s="13" t="b">
        <f aca="false">FALSE()</f>
        <v>0</v>
      </c>
      <c r="Q349" s="3" t="s">
        <v>166</v>
      </c>
      <c r="R349" s="12" t="n">
        <v>0.807</v>
      </c>
      <c r="S349" s="12" t="n">
        <v>0.6394</v>
      </c>
      <c r="T349" s="3" t="n">
        <v>0.0477</v>
      </c>
      <c r="U349" s="12" t="n">
        <v>0.3484</v>
      </c>
      <c r="V349" s="12" t="n">
        <v>0.4718</v>
      </c>
      <c r="W349" s="12" t="n">
        <v>0.4673</v>
      </c>
      <c r="X349" s="3" t="n">
        <v>0.4686</v>
      </c>
      <c r="Y349" s="3" t="n">
        <v>0.5741</v>
      </c>
      <c r="Z349" s="14" t="n">
        <f aca="false">Assumptions!$B$3*R349+Assumptions!$B$4*S349+IF(AA349=1,Assumptions!$B$11,Assumptions!$B$5)*X349+IF(AA349=1,Assumptions!$B$12,Assumptions!$B$6)*T349+Assumptions!$B$7*U349+Assumptions!$B$8*V349+Assumptions!$B$9*Y349</f>
        <v>0.56425</v>
      </c>
      <c r="AA349" s="3" t="n">
        <v>1</v>
      </c>
    </row>
    <row r="350" customFormat="false" ht="15" hidden="false" customHeight="false" outlineLevel="0" collapsed="false">
      <c r="A350" s="3" t="s">
        <v>535</v>
      </c>
      <c r="B350" s="3" t="n">
        <v>530</v>
      </c>
      <c r="C350" s="11" t="str">
        <f aca="false">IF(M350&gt;=Assumptions!$B$17,"S+",IF(M350&gt;=Assumptions!$B$18,"S",IF(M350&gt;=Assumptions!$B$19,"A",IF(M350&gt;=Assumptions!$B$20,"B",IF(M350&gt;=Assumptions!$B$21,"C",IF(M350&gt;=Assumptions!$B$22,"D","F"))))))</f>
        <v>C</v>
      </c>
      <c r="D350" s="3" t="s">
        <v>190</v>
      </c>
      <c r="E350" s="3" t="n">
        <v>7</v>
      </c>
      <c r="F350" s="12" t="n">
        <v>0.7794</v>
      </c>
      <c r="G350" s="12" t="n">
        <v>1</v>
      </c>
      <c r="H350" s="12" t="n">
        <v>0.75</v>
      </c>
      <c r="I350" s="12" t="n">
        <v>0.8662</v>
      </c>
      <c r="J350" s="12" t="n">
        <v>0.3744</v>
      </c>
      <c r="K350" s="12" t="n">
        <v>0.5739</v>
      </c>
      <c r="L350" s="3" t="n">
        <v>5</v>
      </c>
      <c r="M350" s="12" t="n">
        <f aca="false">Z350-W350</f>
        <v>0.096992</v>
      </c>
      <c r="N350" s="12" t="n">
        <f aca="false">IFERROR((Z350-J350)/L350,"")</f>
        <v>0.0398984</v>
      </c>
      <c r="O350" s="3" t="n">
        <v>13</v>
      </c>
      <c r="P350" s="13" t="b">
        <f aca="false">FALSE()</f>
        <v>0</v>
      </c>
      <c r="Q350" s="3" t="s">
        <v>166</v>
      </c>
      <c r="R350" s="12" t="n">
        <v>0.8843</v>
      </c>
      <c r="S350" s="12" t="n">
        <v>0.475</v>
      </c>
      <c r="T350" s="3" t="n">
        <v>0.244</v>
      </c>
      <c r="U350" s="12" t="n">
        <v>0.503</v>
      </c>
      <c r="V350" s="12" t="n">
        <v>0.457</v>
      </c>
      <c r="W350" s="12" t="n">
        <v>0.4769</v>
      </c>
      <c r="X350" s="3" t="n">
        <v>0.3504</v>
      </c>
      <c r="Y350" s="3" t="n">
        <v>0.8681</v>
      </c>
      <c r="Z350" s="14" t="n">
        <f aca="false">Assumptions!$B$3*R350+Assumptions!$B$4*S350+IF(AA350=1,Assumptions!$B$11,Assumptions!$B$5)*X350+IF(AA350=1,Assumptions!$B$12,Assumptions!$B$6)*T350+Assumptions!$B$7*U350+Assumptions!$B$8*V350+Assumptions!$B$9*Y350</f>
        <v>0.573892</v>
      </c>
      <c r="AA350" s="3" t="n">
        <v>0</v>
      </c>
    </row>
    <row r="351" customFormat="false" ht="15" hidden="false" customHeight="false" outlineLevel="0" collapsed="false">
      <c r="A351" s="3" t="s">
        <v>536</v>
      </c>
      <c r="B351" s="3" t="n">
        <v>500</v>
      </c>
      <c r="C351" s="11" t="str">
        <f aca="false">IF(M351&gt;=Assumptions!$B$17,"S+",IF(M351&gt;=Assumptions!$B$18,"S",IF(M351&gt;=Assumptions!$B$19,"A",IF(M351&gt;=Assumptions!$B$20,"B",IF(M351&gt;=Assumptions!$B$21,"C",IF(M351&gt;=Assumptions!$B$22,"D","F"))))))</f>
        <v>C</v>
      </c>
      <c r="D351" s="3" t="s">
        <v>218</v>
      </c>
      <c r="E351" s="3" t="n">
        <v>1</v>
      </c>
      <c r="F351" s="12" t="n">
        <v>0.7532</v>
      </c>
      <c r="G351" s="12" t="n">
        <v>0.6</v>
      </c>
      <c r="H351" s="12" t="n">
        <v>0.75</v>
      </c>
      <c r="I351" s="12" t="n">
        <v>0.679</v>
      </c>
      <c r="J351" s="12" t="n">
        <v>0.3825</v>
      </c>
      <c r="K351" s="12" t="n">
        <v>0.6083</v>
      </c>
      <c r="L351" s="3" t="n">
        <v>5.71</v>
      </c>
      <c r="M351" s="12" t="n">
        <f aca="false">Z351-W351</f>
        <v>0.096679</v>
      </c>
      <c r="N351" s="12" t="n">
        <f aca="false">IFERROR((Z351-J351)/L351,"")</f>
        <v>0.0395409807355517</v>
      </c>
      <c r="O351" s="3" t="n">
        <v>19</v>
      </c>
      <c r="P351" s="13" t="b">
        <f aca="false">FALSE()</f>
        <v>0</v>
      </c>
      <c r="Q351" s="3" t="s">
        <v>166</v>
      </c>
      <c r="R351" s="12" t="n">
        <v>0.8203</v>
      </c>
      <c r="S351" s="12" t="n">
        <v>0.6498</v>
      </c>
      <c r="T351" s="3" t="n">
        <v>0.3932</v>
      </c>
      <c r="U351" s="12" t="n">
        <v>0.4899</v>
      </c>
      <c r="V351" s="12" t="n">
        <v>0.4953</v>
      </c>
      <c r="W351" s="12" t="n">
        <v>0.5116</v>
      </c>
      <c r="X351" s="3" t="n">
        <v>0.5314</v>
      </c>
      <c r="Y351" s="3" t="n">
        <v>0.6185</v>
      </c>
      <c r="Z351" s="14" t="n">
        <f aca="false">Assumptions!$B$3*R351+Assumptions!$B$4*S351+IF(AA351=1,Assumptions!$B$11,Assumptions!$B$5)*X351+IF(AA351=1,Assumptions!$B$12,Assumptions!$B$6)*T351+Assumptions!$B$7*U351+Assumptions!$B$8*V351+Assumptions!$B$9*Y351</f>
        <v>0.608279</v>
      </c>
      <c r="AA351" s="3" t="n">
        <v>0</v>
      </c>
    </row>
    <row r="352" customFormat="false" ht="15" hidden="false" customHeight="false" outlineLevel="0" collapsed="false">
      <c r="A352" s="3" t="s">
        <v>537</v>
      </c>
      <c r="B352" s="3" t="n">
        <v>520</v>
      </c>
      <c r="C352" s="11" t="str">
        <f aca="false">IF(M352&gt;=Assumptions!$B$17,"S+",IF(M352&gt;=Assumptions!$B$18,"S",IF(M352&gt;=Assumptions!$B$19,"A",IF(M352&gt;=Assumptions!$B$20,"B",IF(M352&gt;=Assumptions!$B$21,"C",IF(M352&gt;=Assumptions!$B$22,"D","F"))))))</f>
        <v>C</v>
      </c>
      <c r="D352" s="3" t="s">
        <v>197</v>
      </c>
      <c r="E352" s="3" t="n">
        <v>1</v>
      </c>
      <c r="F352" s="12" t="n">
        <v>0.797</v>
      </c>
      <c r="G352" s="12" t="n">
        <v>1</v>
      </c>
      <c r="H352" s="12" t="n">
        <v>0.75</v>
      </c>
      <c r="I352" s="12" t="n">
        <v>0.8729</v>
      </c>
      <c r="J352" s="12" t="n">
        <v>0.4134</v>
      </c>
      <c r="K352" s="12" t="n">
        <v>0.6063</v>
      </c>
      <c r="L352" s="3" t="n">
        <v>3.55</v>
      </c>
      <c r="M352" s="12" t="n">
        <f aca="false">Z352-W352</f>
        <v>0.096635</v>
      </c>
      <c r="N352" s="12" t="n">
        <f aca="false">IFERROR((Z352-J352)/L352,"")</f>
        <v>0.0543478873239437</v>
      </c>
      <c r="O352" s="3" t="n">
        <v>19</v>
      </c>
      <c r="P352" s="13" t="b">
        <f aca="false">FALSE()</f>
        <v>0</v>
      </c>
      <c r="Q352" s="3" t="s">
        <v>166</v>
      </c>
      <c r="R352" s="12" t="n">
        <v>0.8194</v>
      </c>
      <c r="S352" s="12" t="n">
        <v>0.5474</v>
      </c>
      <c r="T352" s="3" t="n">
        <v>0.5136</v>
      </c>
      <c r="U352" s="12" t="n">
        <v>0.4292</v>
      </c>
      <c r="V352" s="12" t="n">
        <v>0.4627</v>
      </c>
      <c r="W352" s="12" t="n">
        <v>0.5097</v>
      </c>
      <c r="X352" s="3" t="n">
        <v>0.4802</v>
      </c>
      <c r="Y352" s="3" t="n">
        <v>0.789</v>
      </c>
      <c r="Z352" s="14" t="n">
        <f aca="false">Assumptions!$B$3*R352+Assumptions!$B$4*S352+IF(AA352=1,Assumptions!$B$11,Assumptions!$B$5)*X352+IF(AA352=1,Assumptions!$B$12,Assumptions!$B$6)*T352+Assumptions!$B$7*U352+Assumptions!$B$8*V352+Assumptions!$B$9*Y352</f>
        <v>0.606335</v>
      </c>
      <c r="AA352" s="3" t="n">
        <v>0</v>
      </c>
    </row>
    <row r="353" customFormat="false" ht="15" hidden="false" customHeight="false" outlineLevel="0" collapsed="false">
      <c r="A353" s="3" t="s">
        <v>538</v>
      </c>
      <c r="B353" s="3" t="n">
        <v>480</v>
      </c>
      <c r="C353" s="11" t="str">
        <f aca="false">IF(M353&gt;=Assumptions!$B$17,"S+",IF(M353&gt;=Assumptions!$B$18,"S",IF(M353&gt;=Assumptions!$B$19,"A",IF(M353&gt;=Assumptions!$B$20,"B",IF(M353&gt;=Assumptions!$B$21,"C",IF(M353&gt;=Assumptions!$B$22,"D","F"))))))</f>
        <v>C</v>
      </c>
      <c r="D353" s="3" t="s">
        <v>247</v>
      </c>
      <c r="E353" s="3" t="n">
        <v>6</v>
      </c>
      <c r="F353" s="12" t="n">
        <v>0.8718</v>
      </c>
      <c r="G353" s="12" t="n">
        <v>0.6</v>
      </c>
      <c r="H353" s="12" t="n">
        <v>0.75</v>
      </c>
      <c r="I353" s="12" t="n">
        <v>0.717</v>
      </c>
      <c r="J353" s="12" t="n">
        <v>0.4076</v>
      </c>
      <c r="K353" s="12" t="n">
        <v>0.5495</v>
      </c>
      <c r="L353" s="3" t="n">
        <v>5</v>
      </c>
      <c r="M353" s="12" t="n">
        <f aca="false">Z353-W353</f>
        <v>0.096523</v>
      </c>
      <c r="N353" s="12" t="n">
        <f aca="false">IFERROR((Z353-J353)/L353,"")</f>
        <v>0.0283846</v>
      </c>
      <c r="O353" s="3" t="n">
        <v>14</v>
      </c>
      <c r="P353" s="13" t="b">
        <f aca="false">FALSE()</f>
        <v>0</v>
      </c>
      <c r="Q353" s="3" t="s">
        <v>166</v>
      </c>
      <c r="R353" s="12" t="n">
        <v>0.8468</v>
      </c>
      <c r="S353" s="12" t="n">
        <v>0.5866</v>
      </c>
      <c r="T353" s="3" t="n">
        <v>0.0563</v>
      </c>
      <c r="U353" s="12" t="n">
        <v>0.3352</v>
      </c>
      <c r="V353" s="12" t="n">
        <v>0.4661</v>
      </c>
      <c r="W353" s="12" t="n">
        <v>0.453</v>
      </c>
      <c r="X353" s="3" t="n">
        <v>0.4873</v>
      </c>
      <c r="Y353" s="3" t="n">
        <v>0.7185</v>
      </c>
      <c r="Z353" s="14" t="n">
        <f aca="false">Assumptions!$B$3*R353+Assumptions!$B$4*S353+IF(AA353=1,Assumptions!$B$11,Assumptions!$B$5)*X353+IF(AA353=1,Assumptions!$B$12,Assumptions!$B$6)*T353+Assumptions!$B$7*U353+Assumptions!$B$8*V353+Assumptions!$B$9*Y353</f>
        <v>0.549523</v>
      </c>
      <c r="AA353" s="3" t="n">
        <v>0</v>
      </c>
    </row>
    <row r="354" customFormat="false" ht="15" hidden="false" customHeight="false" outlineLevel="0" collapsed="false">
      <c r="A354" s="3" t="s">
        <v>539</v>
      </c>
      <c r="B354" s="3" t="n">
        <v>543</v>
      </c>
      <c r="C354" s="11" t="str">
        <f aca="false">IF(M354&gt;=Assumptions!$B$17,"S+",IF(M354&gt;=Assumptions!$B$18,"S",IF(M354&gt;=Assumptions!$B$19,"A",IF(M354&gt;=Assumptions!$B$20,"B",IF(M354&gt;=Assumptions!$B$21,"C",IF(M354&gt;=Assumptions!$B$22,"D","F"))))))</f>
        <v>C</v>
      </c>
      <c r="D354" s="3" t="s">
        <v>190</v>
      </c>
      <c r="E354" s="3" t="n">
        <v>7</v>
      </c>
      <c r="F354" s="12" t="n">
        <v>0.7211</v>
      </c>
      <c r="G354" s="12" t="n">
        <v>1</v>
      </c>
      <c r="H354" s="12" t="n">
        <v>0.75</v>
      </c>
      <c r="I354" s="12" t="n">
        <v>0.844</v>
      </c>
      <c r="J354" s="12" t="n">
        <v>0.3906</v>
      </c>
      <c r="K354" s="12" t="n">
        <v>0.5632</v>
      </c>
      <c r="L354" s="3" t="n">
        <v>5</v>
      </c>
      <c r="M354" s="12" t="n">
        <f aca="false">Z354-W354</f>
        <v>0.096372</v>
      </c>
      <c r="N354" s="12" t="n">
        <f aca="false">IFERROR((Z354-J354)/L354,"")</f>
        <v>0.0345144</v>
      </c>
      <c r="O354" s="3" t="n">
        <v>13</v>
      </c>
      <c r="P354" s="13" t="b">
        <f aca="false">FALSE()</f>
        <v>0</v>
      </c>
      <c r="Q354" s="3" t="s">
        <v>166</v>
      </c>
      <c r="R354" s="12" t="n">
        <v>0.8765</v>
      </c>
      <c r="S354" s="12" t="n">
        <v>0.4258</v>
      </c>
      <c r="T354" s="3" t="n">
        <v>0.3413</v>
      </c>
      <c r="U354" s="12" t="n">
        <v>0.5326</v>
      </c>
      <c r="V354" s="12" t="n">
        <v>0.4708</v>
      </c>
      <c r="W354" s="12" t="n">
        <v>0.4668</v>
      </c>
      <c r="X354" s="3" t="n">
        <v>0.2748</v>
      </c>
      <c r="Y354" s="3" t="n">
        <v>0.8144</v>
      </c>
      <c r="Z354" s="14" t="n">
        <f aca="false">Assumptions!$B$3*R354+Assumptions!$B$4*S354+IF(AA354=1,Assumptions!$B$11,Assumptions!$B$5)*X354+IF(AA354=1,Assumptions!$B$12,Assumptions!$B$6)*T354+Assumptions!$B$7*U354+Assumptions!$B$8*V354+Assumptions!$B$9*Y354</f>
        <v>0.563172</v>
      </c>
      <c r="AA354" s="3" t="n">
        <v>0</v>
      </c>
    </row>
    <row r="355" customFormat="false" ht="15" hidden="false" customHeight="false" outlineLevel="0" collapsed="false">
      <c r="A355" s="3" t="s">
        <v>540</v>
      </c>
      <c r="B355" s="3" t="n">
        <v>455</v>
      </c>
      <c r="C355" s="11" t="str">
        <f aca="false">IF(M355&gt;=Assumptions!$B$17,"S+",IF(M355&gt;=Assumptions!$B$18,"S",IF(M355&gt;=Assumptions!$B$19,"A",IF(M355&gt;=Assumptions!$B$20,"B",IF(M355&gt;=Assumptions!$B$21,"C",IF(M355&gt;=Assumptions!$B$22,"D","F"))))))</f>
        <v>C</v>
      </c>
      <c r="D355" s="3" t="s">
        <v>175</v>
      </c>
      <c r="E355" s="3" t="n">
        <v>4</v>
      </c>
      <c r="F355" s="12" t="n">
        <v>0.4255</v>
      </c>
      <c r="G355" s="12" t="n">
        <v>0.6</v>
      </c>
      <c r="H355" s="12" t="n">
        <v>0.75</v>
      </c>
      <c r="I355" s="12" t="n">
        <v>0.6038</v>
      </c>
      <c r="J355" s="12" t="n">
        <v>0.2984</v>
      </c>
      <c r="K355" s="12" t="n">
        <v>0.559</v>
      </c>
      <c r="L355" s="3" t="n">
        <v>5.94</v>
      </c>
      <c r="M355" s="12" t="n">
        <f aca="false">Z355-W355</f>
        <v>0.09641</v>
      </c>
      <c r="N355" s="12" t="n">
        <f aca="false">IFERROR((Z355-J355)/L355,"")</f>
        <v>0.0438737373737374</v>
      </c>
      <c r="O355" s="3" t="n">
        <v>16</v>
      </c>
      <c r="P355" s="13" t="b">
        <f aca="false">FALSE()</f>
        <v>0</v>
      </c>
      <c r="Q355" s="3" t="s">
        <v>166</v>
      </c>
      <c r="R355" s="12" t="n">
        <v>0.6963</v>
      </c>
      <c r="S355" s="12" t="n">
        <v>0.5139</v>
      </c>
      <c r="T355" s="3" t="n">
        <v>0.3062</v>
      </c>
      <c r="U355" s="12" t="n">
        <v>0.5529</v>
      </c>
      <c r="V355" s="12" t="n">
        <v>0.4691</v>
      </c>
      <c r="W355" s="12" t="n">
        <v>0.4626</v>
      </c>
      <c r="X355" s="3" t="n">
        <v>0.6077</v>
      </c>
      <c r="Y355" s="3" t="n">
        <v>0.6002</v>
      </c>
      <c r="Z355" s="14" t="n">
        <f aca="false">Assumptions!$B$3*R355+Assumptions!$B$4*S355+IF(AA355=1,Assumptions!$B$11,Assumptions!$B$5)*X355+IF(AA355=1,Assumptions!$B$12,Assumptions!$B$6)*T355+Assumptions!$B$7*U355+Assumptions!$B$8*V355+Assumptions!$B$9*Y355</f>
        <v>0.55901</v>
      </c>
      <c r="AA355" s="3" t="n">
        <v>0</v>
      </c>
    </row>
    <row r="356" customFormat="false" ht="15" hidden="false" customHeight="false" outlineLevel="0" collapsed="false">
      <c r="A356" s="3" t="s">
        <v>541</v>
      </c>
      <c r="B356" s="3" t="n">
        <v>525</v>
      </c>
      <c r="C356" s="11" t="str">
        <f aca="false">IF(M356&gt;=Assumptions!$B$17,"S+",IF(M356&gt;=Assumptions!$B$18,"S",IF(M356&gt;=Assumptions!$B$19,"A",IF(M356&gt;=Assumptions!$B$20,"B",IF(M356&gt;=Assumptions!$B$21,"C",IF(M356&gt;=Assumptions!$B$22,"D","F"))))))</f>
        <v>C</v>
      </c>
      <c r="D356" s="3" t="s">
        <v>218</v>
      </c>
      <c r="E356" s="3" t="n">
        <v>6</v>
      </c>
      <c r="F356" s="12" t="n">
        <v>0.9314</v>
      </c>
      <c r="G356" s="12" t="n">
        <v>0.6</v>
      </c>
      <c r="H356" s="12" t="n">
        <v>0.75</v>
      </c>
      <c r="I356" s="12" t="n">
        <v>0.736</v>
      </c>
      <c r="J356" s="12" t="n">
        <v>0.3732</v>
      </c>
      <c r="K356" s="12" t="n">
        <v>0.6088</v>
      </c>
      <c r="L356" s="3" t="n">
        <v>5</v>
      </c>
      <c r="M356" s="12" t="n">
        <f aca="false">Z356-W356</f>
        <v>0.096035</v>
      </c>
      <c r="N356" s="12" t="n">
        <f aca="false">IFERROR((Z356-J356)/L356,"")</f>
        <v>0.047127</v>
      </c>
      <c r="O356" s="3" t="n">
        <v>14</v>
      </c>
      <c r="P356" s="13" t="b">
        <f aca="false">FALSE()</f>
        <v>0</v>
      </c>
      <c r="Q356" s="3" t="s">
        <v>166</v>
      </c>
      <c r="R356" s="12" t="n">
        <v>0.7917</v>
      </c>
      <c r="S356" s="12" t="n">
        <v>0.515</v>
      </c>
      <c r="T356" s="3" t="n">
        <v>0.3376</v>
      </c>
      <c r="U356" s="12" t="n">
        <v>0.3462</v>
      </c>
      <c r="V356" s="12" t="n">
        <v>0.4809</v>
      </c>
      <c r="W356" s="12" t="n">
        <v>0.5128</v>
      </c>
      <c r="X356" s="3" t="n">
        <v>0.7812</v>
      </c>
      <c r="Y356" s="3" t="n">
        <v>0.7272</v>
      </c>
      <c r="Z356" s="14" t="n">
        <f aca="false">Assumptions!$B$3*R356+Assumptions!$B$4*S356+IF(AA356=1,Assumptions!$B$11,Assumptions!$B$5)*X356+IF(AA356=1,Assumptions!$B$12,Assumptions!$B$6)*T356+Assumptions!$B$7*U356+Assumptions!$B$8*V356+Assumptions!$B$9*Y356</f>
        <v>0.608835</v>
      </c>
      <c r="AA356" s="3" t="n">
        <v>0</v>
      </c>
    </row>
    <row r="357" customFormat="false" ht="15" hidden="false" customHeight="false" outlineLevel="0" collapsed="false">
      <c r="A357" s="3" t="s">
        <v>542</v>
      </c>
      <c r="B357" s="3" t="n">
        <v>430</v>
      </c>
      <c r="C357" s="11" t="str">
        <f aca="false">IF(M357&gt;=Assumptions!$B$17,"S+",IF(M357&gt;=Assumptions!$B$18,"S",IF(M357&gt;=Assumptions!$B$19,"A",IF(M357&gt;=Assumptions!$B$20,"B",IF(M357&gt;=Assumptions!$B$21,"C",IF(M357&gt;=Assumptions!$B$22,"D","F"))))))</f>
        <v>C</v>
      </c>
      <c r="D357" s="3" t="s">
        <v>186</v>
      </c>
      <c r="E357" s="3" t="n">
        <v>1</v>
      </c>
      <c r="F357" s="12" t="n">
        <v>0.7895</v>
      </c>
      <c r="G357" s="12" t="n">
        <v>0.6</v>
      </c>
      <c r="H357" s="12" t="n">
        <v>0.75</v>
      </c>
      <c r="I357" s="12" t="n">
        <v>0.6641</v>
      </c>
      <c r="J357" s="12" t="n">
        <v>0.3477</v>
      </c>
      <c r="K357" s="12" t="n">
        <v>0.5649</v>
      </c>
      <c r="L357" s="3" t="n">
        <v>5.68</v>
      </c>
      <c r="M357" s="12" t="n">
        <f aca="false">Z357-W357</f>
        <v>0.0960330000000002</v>
      </c>
      <c r="N357" s="12" t="n">
        <f aca="false">IFERROR((Z357-J357)/L357,"")</f>
        <v>0.0382452464788733</v>
      </c>
      <c r="O357" s="3" t="n">
        <v>19</v>
      </c>
      <c r="P357" s="13" t="b">
        <f aca="false">FALSE()</f>
        <v>0</v>
      </c>
      <c r="Q357" s="3" t="s">
        <v>166</v>
      </c>
      <c r="R357" s="12" t="n">
        <v>0.6997</v>
      </c>
      <c r="S357" s="12" t="n">
        <v>0.6246</v>
      </c>
      <c r="T357" s="3" t="n">
        <v>0.4377</v>
      </c>
      <c r="U357" s="12" t="n">
        <v>0.498</v>
      </c>
      <c r="V357" s="12" t="n">
        <v>0.5257</v>
      </c>
      <c r="W357" s="12" t="n">
        <v>0.4689</v>
      </c>
      <c r="X357" s="3" t="n">
        <v>0.4154</v>
      </c>
      <c r="Y357" s="3" t="n">
        <v>0.6449</v>
      </c>
      <c r="Z357" s="14" t="n">
        <f aca="false">Assumptions!$B$3*R357+Assumptions!$B$4*S357+IF(AA357=1,Assumptions!$B$11,Assumptions!$B$5)*X357+IF(AA357=1,Assumptions!$B$12,Assumptions!$B$6)*T357+Assumptions!$B$7*U357+Assumptions!$B$8*V357+Assumptions!$B$9*Y357</f>
        <v>0.564933</v>
      </c>
      <c r="AA357" s="3" t="n">
        <v>1</v>
      </c>
    </row>
    <row r="358" customFormat="false" ht="15" hidden="false" customHeight="false" outlineLevel="0" collapsed="false">
      <c r="A358" s="3" t="s">
        <v>543</v>
      </c>
      <c r="B358" s="3" t="n">
        <v>405</v>
      </c>
      <c r="C358" s="11" t="str">
        <f aca="false">IF(M358&gt;=Assumptions!$B$17,"S+",IF(M358&gt;=Assumptions!$B$18,"S",IF(M358&gt;=Assumptions!$B$19,"A",IF(M358&gt;=Assumptions!$B$20,"B",IF(M358&gt;=Assumptions!$B$21,"C",IF(M358&gt;=Assumptions!$B$22,"D","F"))))))</f>
        <v>C</v>
      </c>
      <c r="D358" s="3" t="s">
        <v>186</v>
      </c>
      <c r="E358" s="3" t="n">
        <v>2</v>
      </c>
      <c r="F358" s="12" t="n">
        <v>0.6176</v>
      </c>
      <c r="G358" s="12" t="n">
        <v>0.6</v>
      </c>
      <c r="H358" s="12" t="n">
        <v>0.75</v>
      </c>
      <c r="I358" s="12" t="n">
        <v>0.6332</v>
      </c>
      <c r="J358" s="12" t="n">
        <v>0.2942</v>
      </c>
      <c r="K358" s="12" t="n">
        <v>0.5513</v>
      </c>
      <c r="L358" s="3" t="n">
        <v>3.83</v>
      </c>
      <c r="M358" s="12" t="n">
        <f aca="false">Z358-W358</f>
        <v>0.0957380000000001</v>
      </c>
      <c r="N358" s="12" t="n">
        <f aca="false">IFERROR((Z358-J358)/L358,"")</f>
        <v>0.0671378590078329</v>
      </c>
      <c r="O358" s="3" t="n">
        <v>18</v>
      </c>
      <c r="P358" s="13" t="b">
        <f aca="false">FALSE()</f>
        <v>0</v>
      </c>
      <c r="Q358" s="3" t="s">
        <v>166</v>
      </c>
      <c r="R358" s="12" t="n">
        <v>0.6893</v>
      </c>
      <c r="S358" s="12" t="n">
        <v>0.4894</v>
      </c>
      <c r="T358" s="3" t="n">
        <v>0.1971</v>
      </c>
      <c r="U358" s="12" t="n">
        <v>0.4616</v>
      </c>
      <c r="V358" s="12" t="n">
        <v>0.4458</v>
      </c>
      <c r="W358" s="12" t="n">
        <v>0.4556</v>
      </c>
      <c r="X358" s="3" t="n">
        <v>0.5767</v>
      </c>
      <c r="Y358" s="3" t="n">
        <v>0.5722</v>
      </c>
      <c r="Z358" s="14" t="n">
        <f aca="false">Assumptions!$B$3*R358+Assumptions!$B$4*S358+IF(AA358=1,Assumptions!$B$11,Assumptions!$B$5)*X358+IF(AA358=1,Assumptions!$B$12,Assumptions!$B$6)*T358+Assumptions!$B$7*U358+Assumptions!$B$8*V358+Assumptions!$B$9*Y358</f>
        <v>0.551338</v>
      </c>
      <c r="AA358" s="3" t="n">
        <v>1</v>
      </c>
    </row>
    <row r="359" customFormat="false" ht="15" hidden="false" customHeight="false" outlineLevel="0" collapsed="false">
      <c r="A359" s="3" t="s">
        <v>544</v>
      </c>
      <c r="B359" s="3" t="n">
        <v>475</v>
      </c>
      <c r="C359" s="11" t="str">
        <f aca="false">IF(M359&gt;=Assumptions!$B$17,"S+",IF(M359&gt;=Assumptions!$B$18,"S",IF(M359&gt;=Assumptions!$B$19,"A",IF(M359&gt;=Assumptions!$B$20,"B",IF(M359&gt;=Assumptions!$B$21,"C",IF(M359&gt;=Assumptions!$B$22,"D","F"))))))</f>
        <v>C</v>
      </c>
      <c r="D359" s="3" t="s">
        <v>200</v>
      </c>
      <c r="E359" s="3" t="n">
        <v>3</v>
      </c>
      <c r="F359" s="12" t="n">
        <v>0.5366</v>
      </c>
      <c r="G359" s="12" t="n">
        <v>0.85</v>
      </c>
      <c r="H359" s="12" t="n">
        <v>0.5972</v>
      </c>
      <c r="I359" s="12" t="n">
        <v>0.7211</v>
      </c>
      <c r="J359" s="12" t="n">
        <v>0.3857</v>
      </c>
      <c r="K359" s="12" t="n">
        <v>0.5924</v>
      </c>
      <c r="L359" s="3" t="n">
        <v>4.76</v>
      </c>
      <c r="M359" s="12" t="n">
        <f aca="false">Z359-W359</f>
        <v>0.095594</v>
      </c>
      <c r="N359" s="12" t="n">
        <f aca="false">IFERROR((Z359-J359)/L359,"")</f>
        <v>0.0434231092436975</v>
      </c>
      <c r="O359" s="3" t="n">
        <v>17</v>
      </c>
      <c r="P359" s="13" t="b">
        <f aca="false">FALSE()</f>
        <v>0</v>
      </c>
      <c r="Q359" s="3" t="s">
        <v>166</v>
      </c>
      <c r="R359" s="12" t="n">
        <v>0.7154</v>
      </c>
      <c r="S359" s="12" t="n">
        <v>0.6216</v>
      </c>
      <c r="T359" s="3" t="n">
        <v>0.1146</v>
      </c>
      <c r="U359" s="12" t="n">
        <v>0.4072</v>
      </c>
      <c r="V359" s="12" t="n">
        <v>0.5368</v>
      </c>
      <c r="W359" s="12" t="n">
        <v>0.4968</v>
      </c>
      <c r="X359" s="3" t="n">
        <v>0.5912</v>
      </c>
      <c r="Y359" s="3" t="n">
        <v>0.6691</v>
      </c>
      <c r="Z359" s="14" t="n">
        <f aca="false">Assumptions!$B$3*R359+Assumptions!$B$4*S359+IF(AA359=1,Assumptions!$B$11,Assumptions!$B$5)*X359+IF(AA359=1,Assumptions!$B$12,Assumptions!$B$6)*T359+Assumptions!$B$7*U359+Assumptions!$B$8*V359+Assumptions!$B$9*Y359</f>
        <v>0.592394</v>
      </c>
      <c r="AA359" s="3" t="n">
        <v>1</v>
      </c>
    </row>
    <row r="360" customFormat="false" ht="15" hidden="false" customHeight="false" outlineLevel="0" collapsed="false">
      <c r="A360" s="3" t="s">
        <v>545</v>
      </c>
      <c r="B360" s="3" t="n">
        <v>500</v>
      </c>
      <c r="C360" s="11" t="str">
        <f aca="false">IF(M360&gt;=Assumptions!$B$17,"S+",IF(M360&gt;=Assumptions!$B$18,"S",IF(M360&gt;=Assumptions!$B$19,"A",IF(M360&gt;=Assumptions!$B$20,"B",IF(M360&gt;=Assumptions!$B$21,"C",IF(M360&gt;=Assumptions!$B$22,"D","F"))))))</f>
        <v>C</v>
      </c>
      <c r="D360" s="3" t="s">
        <v>190</v>
      </c>
      <c r="E360" s="3" t="n">
        <v>7</v>
      </c>
      <c r="F360" s="12" t="n">
        <v>0.6989</v>
      </c>
      <c r="G360" s="12" t="n">
        <v>0.6</v>
      </c>
      <c r="H360" s="12" t="n">
        <v>0.75</v>
      </c>
      <c r="I360" s="12" t="n">
        <v>0.6676</v>
      </c>
      <c r="J360" s="12" t="n">
        <v>0.3946</v>
      </c>
      <c r="K360" s="12" t="n">
        <v>0.5724</v>
      </c>
      <c r="L360" s="3" t="n">
        <v>4</v>
      </c>
      <c r="M360" s="12" t="n">
        <f aca="false">Z360-W360</f>
        <v>0.0955280000000001</v>
      </c>
      <c r="N360" s="12" t="n">
        <f aca="false">IFERROR((Z360-J360)/L360,"")</f>
        <v>0.044457</v>
      </c>
      <c r="O360" s="3" t="n">
        <v>13</v>
      </c>
      <c r="P360" s="13" t="b">
        <f aca="false">FALSE()</f>
        <v>0</v>
      </c>
      <c r="Q360" s="3" t="s">
        <v>166</v>
      </c>
      <c r="R360" s="12" t="n">
        <v>0.7712</v>
      </c>
      <c r="S360" s="12" t="n">
        <v>0.5498</v>
      </c>
      <c r="T360" s="3" t="n">
        <v>0.3494</v>
      </c>
      <c r="U360" s="12" t="n">
        <v>0.503</v>
      </c>
      <c r="V360" s="12" t="n">
        <v>0.5498</v>
      </c>
      <c r="W360" s="12" t="n">
        <v>0.4769</v>
      </c>
      <c r="X360" s="3" t="n">
        <v>0.436</v>
      </c>
      <c r="Y360" s="3" t="n">
        <v>0.6698</v>
      </c>
      <c r="Z360" s="14" t="n">
        <f aca="false">Assumptions!$B$3*R360+Assumptions!$B$4*S360+IF(AA360=1,Assumptions!$B$11,Assumptions!$B$5)*X360+IF(AA360=1,Assumptions!$B$12,Assumptions!$B$6)*T360+Assumptions!$B$7*U360+Assumptions!$B$8*V360+Assumptions!$B$9*Y360</f>
        <v>0.572428</v>
      </c>
      <c r="AA360" s="3" t="n">
        <v>0</v>
      </c>
    </row>
    <row r="361" customFormat="false" ht="15" hidden="false" customHeight="false" outlineLevel="0" collapsed="false">
      <c r="A361" s="3" t="s">
        <v>546</v>
      </c>
      <c r="B361" s="3" t="n">
        <v>460</v>
      </c>
      <c r="C361" s="11" t="str">
        <f aca="false">IF(M361&gt;=Assumptions!$B$17,"S+",IF(M361&gt;=Assumptions!$B$18,"S",IF(M361&gt;=Assumptions!$B$19,"A",IF(M361&gt;=Assumptions!$B$20,"B",IF(M361&gt;=Assumptions!$B$21,"C",IF(M361&gt;=Assumptions!$B$22,"D","F"))))))</f>
        <v>C</v>
      </c>
      <c r="D361" s="3" t="s">
        <v>197</v>
      </c>
      <c r="E361" s="3" t="n">
        <v>6</v>
      </c>
      <c r="F361" s="12" t="n">
        <v>0.8008</v>
      </c>
      <c r="G361" s="12" t="n">
        <v>0.6</v>
      </c>
      <c r="H361" s="12" t="n">
        <v>0.75</v>
      </c>
      <c r="I361" s="12" t="n">
        <v>0.7063</v>
      </c>
      <c r="J361" s="12" t="n">
        <v>0.3587</v>
      </c>
      <c r="K361" s="12" t="n">
        <v>0.5843</v>
      </c>
      <c r="L361" s="3" t="n">
        <v>7</v>
      </c>
      <c r="M361" s="12" t="n">
        <f aca="false">Z361-W361</f>
        <v>0.0953050000000001</v>
      </c>
      <c r="N361" s="12" t="n">
        <f aca="false">IFERROR((Z361-J361)/L361,"")</f>
        <v>0.0322292857142857</v>
      </c>
      <c r="O361" s="3" t="n">
        <v>14</v>
      </c>
      <c r="P361" s="13" t="b">
        <f aca="false">FALSE()</f>
        <v>0</v>
      </c>
      <c r="Q361" s="3" t="s">
        <v>166</v>
      </c>
      <c r="R361" s="12" t="n">
        <v>0.7729</v>
      </c>
      <c r="S361" s="12" t="n">
        <v>0.3253</v>
      </c>
      <c r="T361" s="3" t="n">
        <v>0.3427</v>
      </c>
      <c r="U361" s="12" t="n">
        <v>0.8132</v>
      </c>
      <c r="V361" s="12" t="n">
        <v>0.384</v>
      </c>
      <c r="W361" s="12" t="n">
        <v>0.489</v>
      </c>
      <c r="X361" s="3" t="n">
        <v>0.6187</v>
      </c>
      <c r="Y361" s="3" t="n">
        <v>0.7088</v>
      </c>
      <c r="Z361" s="14" t="n">
        <f aca="false">Assumptions!$B$3*R361+Assumptions!$B$4*S361+IF(AA361=1,Assumptions!$B$11,Assumptions!$B$5)*X361+IF(AA361=1,Assumptions!$B$12,Assumptions!$B$6)*T361+Assumptions!$B$7*U361+Assumptions!$B$8*V361+Assumptions!$B$9*Y361</f>
        <v>0.584305</v>
      </c>
      <c r="AA361" s="3" t="n">
        <v>0</v>
      </c>
    </row>
    <row r="362" customFormat="false" ht="15" hidden="false" customHeight="false" outlineLevel="0" collapsed="false">
      <c r="A362" s="3" t="s">
        <v>547</v>
      </c>
      <c r="B362" s="3" t="n">
        <v>501</v>
      </c>
      <c r="C362" s="11" t="str">
        <f aca="false">IF(M362&gt;=Assumptions!$B$17,"S+",IF(M362&gt;=Assumptions!$B$18,"S",IF(M362&gt;=Assumptions!$B$19,"A",IF(M362&gt;=Assumptions!$B$20,"B",IF(M362&gt;=Assumptions!$B$21,"C",IF(M362&gt;=Assumptions!$B$22,"D","F"))))))</f>
        <v>C</v>
      </c>
      <c r="D362" s="3" t="s">
        <v>190</v>
      </c>
      <c r="E362" s="3" t="n">
        <v>7</v>
      </c>
      <c r="F362" s="12" t="n">
        <v>0.7704</v>
      </c>
      <c r="G362" s="12" t="n">
        <v>0.6</v>
      </c>
      <c r="H362" s="12" t="n">
        <v>0.75</v>
      </c>
      <c r="I362" s="12" t="n">
        <v>0.6948</v>
      </c>
      <c r="J362" s="12" t="n">
        <v>0.414</v>
      </c>
      <c r="K362" s="12" t="n">
        <v>0.566</v>
      </c>
      <c r="L362" s="3" t="n">
        <v>4</v>
      </c>
      <c r="M362" s="12" t="n">
        <f aca="false">Z362-W362</f>
        <v>0.0953369999999999</v>
      </c>
      <c r="N362" s="12" t="n">
        <f aca="false">IFERROR((Z362-J362)/L362,"")</f>
        <v>0.03800925</v>
      </c>
      <c r="O362" s="3" t="n">
        <v>13</v>
      </c>
      <c r="P362" s="13" t="b">
        <f aca="false">FALSE()</f>
        <v>0</v>
      </c>
      <c r="Q362" s="3" t="s">
        <v>166</v>
      </c>
      <c r="R362" s="12" t="n">
        <v>0.7575</v>
      </c>
      <c r="S362" s="12" t="n">
        <v>0.5412</v>
      </c>
      <c r="T362" s="3" t="n">
        <v>0.4819</v>
      </c>
      <c r="U362" s="12" t="n">
        <v>0.426</v>
      </c>
      <c r="V362" s="12" t="n">
        <v>0.4619</v>
      </c>
      <c r="W362" s="12" t="n">
        <v>0.4707</v>
      </c>
      <c r="X362" s="3" t="n">
        <v>0.419</v>
      </c>
      <c r="Y362" s="3" t="n">
        <v>0.6963</v>
      </c>
      <c r="Z362" s="14" t="n">
        <f aca="false">Assumptions!$B$3*R362+Assumptions!$B$4*S362+IF(AA362=1,Assumptions!$B$11,Assumptions!$B$5)*X362+IF(AA362=1,Assumptions!$B$12,Assumptions!$B$6)*T362+Assumptions!$B$7*U362+Assumptions!$B$8*V362+Assumptions!$B$9*Y362</f>
        <v>0.566037</v>
      </c>
      <c r="AA362" s="3" t="n">
        <v>0</v>
      </c>
    </row>
    <row r="363" customFormat="false" ht="15" hidden="false" customHeight="false" outlineLevel="0" collapsed="false">
      <c r="A363" s="3" t="s">
        <v>548</v>
      </c>
      <c r="B363" s="3" t="n">
        <v>488</v>
      </c>
      <c r="C363" s="11" t="str">
        <f aca="false">IF(M363&gt;=Assumptions!$B$17,"S+",IF(M363&gt;=Assumptions!$B$18,"S",IF(M363&gt;=Assumptions!$B$19,"A",IF(M363&gt;=Assumptions!$B$20,"B",IF(M363&gt;=Assumptions!$B$21,"C",IF(M363&gt;=Assumptions!$B$22,"D","F"))))))</f>
        <v>C</v>
      </c>
      <c r="D363" s="3" t="s">
        <v>190</v>
      </c>
      <c r="E363" s="3" t="n">
        <v>3</v>
      </c>
      <c r="F363" s="12" t="n">
        <v>0.8817</v>
      </c>
      <c r="G363" s="12" t="n">
        <v>0.6</v>
      </c>
      <c r="H363" s="12" t="n">
        <v>0.75</v>
      </c>
      <c r="I363" s="12" t="n">
        <v>0.737</v>
      </c>
      <c r="J363" s="12" t="n">
        <v>0.3991</v>
      </c>
      <c r="K363" s="12" t="n">
        <v>0.5893</v>
      </c>
      <c r="L363" s="3" t="n">
        <v>6</v>
      </c>
      <c r="M363" s="12" t="n">
        <f aca="false">Z363-W363</f>
        <v>0.095272</v>
      </c>
      <c r="N363" s="12" t="n">
        <f aca="false">IFERROR((Z363-J363)/L363,"")</f>
        <v>0.0316953333333333</v>
      </c>
      <c r="O363" s="3" t="n">
        <v>17</v>
      </c>
      <c r="P363" s="13" t="b">
        <f aca="false">FALSE()</f>
        <v>0</v>
      </c>
      <c r="Q363" s="3" t="s">
        <v>166</v>
      </c>
      <c r="R363" s="12" t="n">
        <v>0.9012</v>
      </c>
      <c r="S363" s="12" t="n">
        <v>0.5506</v>
      </c>
      <c r="T363" s="3" t="n">
        <v>0.4665</v>
      </c>
      <c r="U363" s="12" t="n">
        <v>0.3755</v>
      </c>
      <c r="V363" s="12" t="n">
        <v>0.4584</v>
      </c>
      <c r="W363" s="12" t="n">
        <v>0.494</v>
      </c>
      <c r="X363" s="3" t="n">
        <v>0.3396</v>
      </c>
      <c r="Y363" s="3" t="n">
        <v>0.7408</v>
      </c>
      <c r="Z363" s="14" t="n">
        <f aca="false">Assumptions!$B$3*R363+Assumptions!$B$4*S363+IF(AA363=1,Assumptions!$B$11,Assumptions!$B$5)*X363+IF(AA363=1,Assumptions!$B$12,Assumptions!$B$6)*T363+Assumptions!$B$7*U363+Assumptions!$B$8*V363+Assumptions!$B$9*Y363</f>
        <v>0.589272</v>
      </c>
      <c r="AA363" s="3" t="n">
        <v>0</v>
      </c>
    </row>
    <row r="364" customFormat="false" ht="15" hidden="false" customHeight="false" outlineLevel="0" collapsed="false">
      <c r="A364" s="3" t="s">
        <v>549</v>
      </c>
      <c r="B364" s="3" t="n">
        <v>410</v>
      </c>
      <c r="C364" s="11" t="str">
        <f aca="false">IF(M364&gt;=Assumptions!$B$17,"S+",IF(M364&gt;=Assumptions!$B$18,"S",IF(M364&gt;=Assumptions!$B$19,"A",IF(M364&gt;=Assumptions!$B$20,"B",IF(M364&gt;=Assumptions!$B$21,"C",IF(M364&gt;=Assumptions!$B$22,"D","F"))))))</f>
        <v>C</v>
      </c>
      <c r="D364" s="3" t="s">
        <v>165</v>
      </c>
      <c r="E364" s="3" t="n">
        <v>1</v>
      </c>
      <c r="F364" s="12" t="n">
        <v>0.8445</v>
      </c>
      <c r="G364" s="12" t="n">
        <v>0.64</v>
      </c>
      <c r="H364" s="12" t="n">
        <v>0.5476</v>
      </c>
      <c r="I364" s="12" t="n">
        <v>0.6742</v>
      </c>
      <c r="J364" s="12" t="n">
        <v>0.255</v>
      </c>
      <c r="K364" s="12" t="n">
        <v>0.502</v>
      </c>
      <c r="L364" s="3" t="n">
        <v>6.42</v>
      </c>
      <c r="M364" s="12" t="n">
        <f aca="false">Z364-W364</f>
        <v>0.094836</v>
      </c>
      <c r="N364" s="12" t="n">
        <f aca="false">IFERROR((Z364-J364)/L364,"")</f>
        <v>0.0384791277258567</v>
      </c>
      <c r="O364" s="3" t="n">
        <v>19</v>
      </c>
      <c r="P364" s="13" t="b">
        <f aca="false">FALSE()</f>
        <v>0</v>
      </c>
      <c r="Q364" s="3" t="s">
        <v>166</v>
      </c>
      <c r="R364" s="12" t="n">
        <v>0.1227</v>
      </c>
      <c r="S364" s="12" t="n">
        <v>0.8323</v>
      </c>
      <c r="T364" s="3" t="n">
        <v>0.0395</v>
      </c>
      <c r="U364" s="12" t="n">
        <v>0.2308</v>
      </c>
      <c r="V364" s="12" t="n">
        <v>0.4905</v>
      </c>
      <c r="W364" s="12" t="n">
        <v>0.4072</v>
      </c>
      <c r="X364" s="3" t="n">
        <v>0.8596</v>
      </c>
      <c r="Y364" s="3" t="n">
        <v>0.6037</v>
      </c>
      <c r="Z364" s="14" t="n">
        <f aca="false">Assumptions!$B$3*R364+Assumptions!$B$4*S364+IF(AA364=1,Assumptions!$B$11,Assumptions!$B$5)*X364+IF(AA364=1,Assumptions!$B$12,Assumptions!$B$6)*T364+Assumptions!$B$7*U364+Assumptions!$B$8*V364+Assumptions!$B$9*Y364</f>
        <v>0.502036</v>
      </c>
      <c r="AA364" s="3" t="n">
        <v>1</v>
      </c>
    </row>
    <row r="365" customFormat="false" ht="15" hidden="false" customHeight="false" outlineLevel="0" collapsed="false">
      <c r="A365" s="3" t="s">
        <v>550</v>
      </c>
      <c r="B365" s="3" t="n">
        <v>525</v>
      </c>
      <c r="C365" s="11" t="str">
        <f aca="false">IF(M365&gt;=Assumptions!$B$17,"S+",IF(M365&gt;=Assumptions!$B$18,"S",IF(M365&gt;=Assumptions!$B$19,"A",IF(M365&gt;=Assumptions!$B$20,"B",IF(M365&gt;=Assumptions!$B$21,"C",IF(M365&gt;=Assumptions!$B$22,"D","F"))))))</f>
        <v>C</v>
      </c>
      <c r="D365" s="3" t="s">
        <v>253</v>
      </c>
      <c r="E365" s="3" t="n">
        <v>3</v>
      </c>
      <c r="F365" s="12" t="n">
        <v>0.8159</v>
      </c>
      <c r="G365" s="12" t="n">
        <v>0.6</v>
      </c>
      <c r="H365" s="12" t="n">
        <v>0.75</v>
      </c>
      <c r="I365" s="12" t="n">
        <v>0.6991</v>
      </c>
      <c r="J365" s="12" t="n">
        <v>0.4095</v>
      </c>
      <c r="K365" s="12" t="n">
        <v>0.6135</v>
      </c>
      <c r="L365" s="3" t="n">
        <v>3.65</v>
      </c>
      <c r="M365" s="12" t="n">
        <f aca="false">Z365-W365</f>
        <v>0.0944889999999999</v>
      </c>
      <c r="N365" s="12" t="n">
        <f aca="false">IFERROR((Z365-J365)/L365,"")</f>
        <v>0.055887397260274</v>
      </c>
      <c r="O365" s="3" t="n">
        <v>17</v>
      </c>
      <c r="P365" s="13" t="b">
        <f aca="false">FALSE()</f>
        <v>0</v>
      </c>
      <c r="Q365" s="3" t="s">
        <v>201</v>
      </c>
      <c r="R365" s="12" t="n">
        <v>0.7115</v>
      </c>
      <c r="S365" s="12" t="n">
        <v>0.7146</v>
      </c>
      <c r="T365" s="3" t="n">
        <v>0.2783</v>
      </c>
      <c r="U365" s="12" t="n">
        <v>0.4434</v>
      </c>
      <c r="V365" s="12" t="n">
        <v>0.5367</v>
      </c>
      <c r="W365" s="12" t="n">
        <v>0.519</v>
      </c>
      <c r="X365" s="3" t="n">
        <v>0.7471</v>
      </c>
      <c r="Y365" s="3" t="n">
        <v>0.65</v>
      </c>
      <c r="Z365" s="14" t="n">
        <f aca="false">Assumptions!$B$3*R365+Assumptions!$B$4*S365+IF(AA365=1,Assumptions!$B$11,Assumptions!$B$5)*X365+IF(AA365=1,Assumptions!$B$12,Assumptions!$B$6)*T365+Assumptions!$B$7*U365+Assumptions!$B$8*V365+Assumptions!$B$9*Y365</f>
        <v>0.613489</v>
      </c>
      <c r="AA365" s="3" t="n">
        <v>0</v>
      </c>
    </row>
    <row r="366" customFormat="false" ht="15" hidden="false" customHeight="false" outlineLevel="0" collapsed="false">
      <c r="A366" s="3" t="s">
        <v>551</v>
      </c>
      <c r="B366" s="3" t="n">
        <v>580</v>
      </c>
      <c r="C366" s="11" t="str">
        <f aca="false">IF(M366&gt;=Assumptions!$B$17,"S+",IF(M366&gt;=Assumptions!$B$18,"S",IF(M366&gt;=Assumptions!$B$19,"A",IF(M366&gt;=Assumptions!$B$20,"B",IF(M366&gt;=Assumptions!$B$21,"C",IF(M366&gt;=Assumptions!$B$22,"D","F"))))))</f>
        <v>C</v>
      </c>
      <c r="D366" s="3" t="s">
        <v>218</v>
      </c>
      <c r="E366" s="3" t="n">
        <v>8</v>
      </c>
      <c r="F366" s="12" t="n">
        <v>0.9198</v>
      </c>
      <c r="G366" s="12" t="n">
        <v>0.6</v>
      </c>
      <c r="H366" s="12" t="n">
        <v>0.75</v>
      </c>
      <c r="I366" s="12" t="n">
        <v>0.7323</v>
      </c>
      <c r="J366" s="12" t="n">
        <v>0.4301</v>
      </c>
      <c r="K366" s="12" t="n">
        <v>0.6041</v>
      </c>
      <c r="L366" s="3" t="n">
        <v>4</v>
      </c>
      <c r="M366" s="12" t="n">
        <f aca="false">Z366-W366</f>
        <v>0.094548</v>
      </c>
      <c r="N366" s="12" t="n">
        <f aca="false">IFERROR((Z366-J366)/L366,"")</f>
        <v>0.043512</v>
      </c>
      <c r="O366" s="3" t="n">
        <v>12</v>
      </c>
      <c r="P366" s="13" t="b">
        <f aca="false">FALSE()</f>
        <v>0</v>
      </c>
      <c r="Q366" s="3" t="s">
        <v>166</v>
      </c>
      <c r="R366" s="12" t="n">
        <v>0.914</v>
      </c>
      <c r="S366" s="12" t="n">
        <v>0.418</v>
      </c>
      <c r="T366" s="3" t="n">
        <v>0.6855</v>
      </c>
      <c r="U366" s="12" t="n">
        <v>0.5064</v>
      </c>
      <c r="V366" s="12" t="n">
        <v>0.4162</v>
      </c>
      <c r="W366" s="12" t="n">
        <v>0.5096</v>
      </c>
      <c r="X366" s="3" t="n">
        <v>0.3236</v>
      </c>
      <c r="Y366" s="3" t="n">
        <v>0.7335</v>
      </c>
      <c r="Z366" s="14" t="n">
        <f aca="false">Assumptions!$B$3*R366+Assumptions!$B$4*S366+IF(AA366=1,Assumptions!$B$11,Assumptions!$B$5)*X366+IF(AA366=1,Assumptions!$B$12,Assumptions!$B$6)*T366+Assumptions!$B$7*U366+Assumptions!$B$8*V366+Assumptions!$B$9*Y366</f>
        <v>0.604148</v>
      </c>
      <c r="AA366" s="3" t="n">
        <v>0</v>
      </c>
    </row>
    <row r="367" customFormat="false" ht="15" hidden="false" customHeight="false" outlineLevel="0" collapsed="false">
      <c r="A367" s="3" t="s">
        <v>552</v>
      </c>
      <c r="B367" s="3" t="n">
        <v>471</v>
      </c>
      <c r="C367" s="11" t="str">
        <f aca="false">IF(M367&gt;=Assumptions!$B$17,"S+",IF(M367&gt;=Assumptions!$B$18,"S",IF(M367&gt;=Assumptions!$B$19,"A",IF(M367&gt;=Assumptions!$B$20,"B",IF(M367&gt;=Assumptions!$B$21,"C",IF(M367&gt;=Assumptions!$B$22,"D","F"))))))</f>
        <v>C</v>
      </c>
      <c r="D367" s="3" t="s">
        <v>200</v>
      </c>
      <c r="E367" s="3" t="n">
        <v>2</v>
      </c>
      <c r="F367" s="12" t="n">
        <v>0.8655</v>
      </c>
      <c r="G367" s="12" t="n">
        <v>1</v>
      </c>
      <c r="H367" s="12" t="n">
        <v>0.4544</v>
      </c>
      <c r="I367" s="12" t="n">
        <v>0.8573</v>
      </c>
      <c r="J367" s="12" t="n">
        <v>0.3382</v>
      </c>
      <c r="K367" s="12" t="n">
        <v>0.5954</v>
      </c>
      <c r="L367" s="3" t="n">
        <v>6.72</v>
      </c>
      <c r="M367" s="12" t="n">
        <f aca="false">Z367-W367</f>
        <v>0.094291</v>
      </c>
      <c r="N367" s="12" t="n">
        <f aca="false">IFERROR((Z367-J367)/L367,"")</f>
        <v>0.0382724702380952</v>
      </c>
      <c r="O367" s="3" t="n">
        <v>18</v>
      </c>
      <c r="P367" s="13" t="b">
        <f aca="false">FALSE()</f>
        <v>0</v>
      </c>
      <c r="Q367" s="3" t="s">
        <v>166</v>
      </c>
      <c r="R367" s="12" t="n">
        <v>0.7101</v>
      </c>
      <c r="S367" s="12" t="n">
        <v>0.7895</v>
      </c>
      <c r="T367" s="3" t="n">
        <v>0.0965</v>
      </c>
      <c r="U367" s="12" t="n">
        <v>0.3504</v>
      </c>
      <c r="V367" s="12" t="n">
        <v>0.4646</v>
      </c>
      <c r="W367" s="12" t="n">
        <v>0.5011</v>
      </c>
      <c r="X367" s="3" t="n">
        <v>0.5321</v>
      </c>
      <c r="Y367" s="3" t="n">
        <v>0.7463</v>
      </c>
      <c r="Z367" s="14" t="n">
        <f aca="false">Assumptions!$B$3*R367+Assumptions!$B$4*S367+IF(AA367=1,Assumptions!$B$11,Assumptions!$B$5)*X367+IF(AA367=1,Assumptions!$B$12,Assumptions!$B$6)*T367+Assumptions!$B$7*U367+Assumptions!$B$8*V367+Assumptions!$B$9*Y367</f>
        <v>0.595391</v>
      </c>
      <c r="AA367" s="3" t="n">
        <v>1</v>
      </c>
    </row>
    <row r="368" customFormat="false" ht="15" hidden="false" customHeight="false" outlineLevel="0" collapsed="false">
      <c r="A368" s="3" t="s">
        <v>553</v>
      </c>
      <c r="B368" s="3" t="n">
        <v>551</v>
      </c>
      <c r="C368" s="11" t="str">
        <f aca="false">IF(M368&gt;=Assumptions!$B$17,"S+",IF(M368&gt;=Assumptions!$B$18,"S",IF(M368&gt;=Assumptions!$B$19,"A",IF(M368&gt;=Assumptions!$B$20,"B",IF(M368&gt;=Assumptions!$B$21,"C",IF(M368&gt;=Assumptions!$B$22,"D","F"))))))</f>
        <v>C</v>
      </c>
      <c r="D368" s="3" t="s">
        <v>197</v>
      </c>
      <c r="E368" s="3" t="n">
        <v>7</v>
      </c>
      <c r="F368" s="12" t="n">
        <v>0.8757</v>
      </c>
      <c r="G368" s="12" t="n">
        <v>0.6</v>
      </c>
      <c r="H368" s="12" t="n">
        <v>0.75</v>
      </c>
      <c r="I368" s="12" t="n">
        <v>0.7348</v>
      </c>
      <c r="J368" s="12" t="n">
        <v>0.3819</v>
      </c>
      <c r="K368" s="12" t="n">
        <v>0.5808</v>
      </c>
      <c r="L368" s="3" t="n">
        <v>4</v>
      </c>
      <c r="M368" s="12" t="n">
        <f aca="false">Z368-W368</f>
        <v>0.0943450000000001</v>
      </c>
      <c r="N368" s="12" t="n">
        <f aca="false">IFERROR((Z368-J368)/L368,"")</f>
        <v>0.04973625</v>
      </c>
      <c r="O368" s="3" t="n">
        <v>13</v>
      </c>
      <c r="P368" s="13" t="b">
        <f aca="false">FALSE()</f>
        <v>0</v>
      </c>
      <c r="Q368" s="3" t="s">
        <v>166</v>
      </c>
      <c r="R368" s="12" t="n">
        <v>0.9057</v>
      </c>
      <c r="S368" s="12" t="n">
        <v>0.3636</v>
      </c>
      <c r="T368" s="3" t="n">
        <v>0.4579</v>
      </c>
      <c r="U368" s="12" t="n">
        <v>0.5325</v>
      </c>
      <c r="V368" s="12" t="n">
        <v>0.4545</v>
      </c>
      <c r="W368" s="12" t="n">
        <v>0.4865</v>
      </c>
      <c r="X368" s="3" t="n">
        <v>0.369</v>
      </c>
      <c r="Y368" s="3" t="n">
        <v>0.7359</v>
      </c>
      <c r="Z368" s="14" t="n">
        <f aca="false">Assumptions!$B$3*R368+Assumptions!$B$4*S368+IF(AA368=1,Assumptions!$B$11,Assumptions!$B$5)*X368+IF(AA368=1,Assumptions!$B$12,Assumptions!$B$6)*T368+Assumptions!$B$7*U368+Assumptions!$B$8*V368+Assumptions!$B$9*Y368</f>
        <v>0.580845</v>
      </c>
      <c r="AA368" s="3" t="n">
        <v>0</v>
      </c>
    </row>
    <row r="369" customFormat="false" ht="15" hidden="false" customHeight="false" outlineLevel="0" collapsed="false">
      <c r="A369" s="3" t="s">
        <v>554</v>
      </c>
      <c r="B369" s="3" t="n">
        <v>580</v>
      </c>
      <c r="C369" s="11" t="str">
        <f aca="false">IF(M369&gt;=Assumptions!$B$17,"S+",IF(M369&gt;=Assumptions!$B$18,"S",IF(M369&gt;=Assumptions!$B$19,"A",IF(M369&gt;=Assumptions!$B$20,"B",IF(M369&gt;=Assumptions!$B$21,"C",IF(M369&gt;=Assumptions!$B$22,"D","F"))))))</f>
        <v>C</v>
      </c>
      <c r="D369" s="3" t="s">
        <v>247</v>
      </c>
      <c r="E369" s="3" t="n">
        <v>7</v>
      </c>
      <c r="F369" s="12" t="n">
        <v>0.8395</v>
      </c>
      <c r="G369" s="12" t="n">
        <v>0.6</v>
      </c>
      <c r="H369" s="12" t="n">
        <v>0.75</v>
      </c>
      <c r="I369" s="12" t="n">
        <v>0.7066</v>
      </c>
      <c r="J369" s="12" t="n">
        <v>0.3678</v>
      </c>
      <c r="K369" s="12" t="n">
        <v>0.5434</v>
      </c>
      <c r="L369" s="3" t="n">
        <v>4</v>
      </c>
      <c r="M369" s="12" t="n">
        <f aca="false">Z369-W369</f>
        <v>0.094252</v>
      </c>
      <c r="N369" s="12" t="n">
        <f aca="false">IFERROR((Z369-J369)/L369,"")</f>
        <v>0.043888</v>
      </c>
      <c r="O369" s="3" t="n">
        <v>13</v>
      </c>
      <c r="P369" s="13" t="b">
        <f aca="false">FALSE()</f>
        <v>0</v>
      </c>
      <c r="Q369" s="3" t="s">
        <v>166</v>
      </c>
      <c r="R369" s="12" t="n">
        <v>0.7688</v>
      </c>
      <c r="S369" s="12" t="n">
        <v>0.7205</v>
      </c>
      <c r="T369" s="3" t="n">
        <v>0.0473</v>
      </c>
      <c r="U369" s="12" t="n">
        <v>0.3018</v>
      </c>
      <c r="V369" s="12" t="n">
        <v>0.3755</v>
      </c>
      <c r="W369" s="12" t="n">
        <v>0.4491</v>
      </c>
      <c r="X369" s="3" t="n">
        <v>0.5558</v>
      </c>
      <c r="Y369" s="3" t="n">
        <v>0.693</v>
      </c>
      <c r="Z369" s="14" t="n">
        <f aca="false">Assumptions!$B$3*R369+Assumptions!$B$4*S369+IF(AA369=1,Assumptions!$B$11,Assumptions!$B$5)*X369+IF(AA369=1,Assumptions!$B$12,Assumptions!$B$6)*T369+Assumptions!$B$7*U369+Assumptions!$B$8*V369+Assumptions!$B$9*Y369</f>
        <v>0.543352</v>
      </c>
      <c r="AA369" s="3" t="n">
        <v>0</v>
      </c>
    </row>
    <row r="370" customFormat="false" ht="15" hidden="false" customHeight="false" outlineLevel="0" collapsed="false">
      <c r="A370" s="3" t="s">
        <v>555</v>
      </c>
      <c r="B370" s="3" t="n">
        <v>490</v>
      </c>
      <c r="C370" s="11" t="str">
        <f aca="false">IF(M370&gt;=Assumptions!$B$17,"S+",IF(M370&gt;=Assumptions!$B$18,"S",IF(M370&gt;=Assumptions!$B$19,"A",IF(M370&gt;=Assumptions!$B$20,"B",IF(M370&gt;=Assumptions!$B$21,"C",IF(M370&gt;=Assumptions!$B$22,"D","F"))))))</f>
        <v>C</v>
      </c>
      <c r="D370" s="3" t="s">
        <v>253</v>
      </c>
      <c r="E370" s="3" t="n">
        <v>4</v>
      </c>
      <c r="F370" s="12" t="n">
        <v>0.7855</v>
      </c>
      <c r="G370" s="12" t="n">
        <v>0.8</v>
      </c>
      <c r="H370" s="12" t="n">
        <v>0.75</v>
      </c>
      <c r="I370" s="12" t="n">
        <v>0.7854</v>
      </c>
      <c r="J370" s="12" t="n">
        <v>0.3904</v>
      </c>
      <c r="K370" s="12" t="n">
        <v>0.6246</v>
      </c>
      <c r="L370" s="3" t="n">
        <v>6.88</v>
      </c>
      <c r="M370" s="12" t="n">
        <f aca="false">Z370-W370</f>
        <v>0.094223</v>
      </c>
      <c r="N370" s="12" t="n">
        <f aca="false">IFERROR((Z370-J370)/L370,"")</f>
        <v>0.0340440406976744</v>
      </c>
      <c r="O370" s="3" t="n">
        <v>16</v>
      </c>
      <c r="P370" s="13" t="b">
        <f aca="false">FALSE()</f>
        <v>0</v>
      </c>
      <c r="Q370" s="3" t="s">
        <v>166</v>
      </c>
      <c r="R370" s="12" t="n">
        <v>0.7794</v>
      </c>
      <c r="S370" s="12" t="n">
        <v>0.5212</v>
      </c>
      <c r="T370" s="3" t="n">
        <v>0.3943</v>
      </c>
      <c r="U370" s="12" t="n">
        <v>0.4038</v>
      </c>
      <c r="V370" s="12" t="n">
        <v>0.4645</v>
      </c>
      <c r="W370" s="12" t="n">
        <v>0.5304</v>
      </c>
      <c r="X370" s="3" t="n">
        <v>0.7938</v>
      </c>
      <c r="Y370" s="3" t="n">
        <v>0.78</v>
      </c>
      <c r="Z370" s="14" t="n">
        <f aca="false">Assumptions!$B$3*R370+Assumptions!$B$4*S370+IF(AA370=1,Assumptions!$B$11,Assumptions!$B$5)*X370+IF(AA370=1,Assumptions!$B$12,Assumptions!$B$6)*T370+Assumptions!$B$7*U370+Assumptions!$B$8*V370+Assumptions!$B$9*Y370</f>
        <v>0.624623</v>
      </c>
      <c r="AA370" s="3" t="n">
        <v>0</v>
      </c>
    </row>
    <row r="371" customFormat="false" ht="15" hidden="false" customHeight="false" outlineLevel="0" collapsed="false">
      <c r="A371" s="3" t="s">
        <v>556</v>
      </c>
      <c r="B371" s="3" t="n">
        <v>510</v>
      </c>
      <c r="C371" s="11" t="str">
        <f aca="false">IF(M371&gt;=Assumptions!$B$17,"S+",IF(M371&gt;=Assumptions!$B$18,"S",IF(M371&gt;=Assumptions!$B$19,"A",IF(M371&gt;=Assumptions!$B$20,"B",IF(M371&gt;=Assumptions!$B$21,"C",IF(M371&gt;=Assumptions!$B$22,"D","F"))))))</f>
        <v>C</v>
      </c>
      <c r="D371" s="3" t="s">
        <v>218</v>
      </c>
      <c r="E371" s="3" t="n">
        <v>2</v>
      </c>
      <c r="F371" s="12" t="n">
        <v>0.8791</v>
      </c>
      <c r="G371" s="12" t="n">
        <v>0.4</v>
      </c>
      <c r="H371" s="12" t="n">
        <v>0.75</v>
      </c>
      <c r="I371" s="12" t="n">
        <v>0.6233</v>
      </c>
      <c r="J371" s="12" t="n">
        <v>0.3787</v>
      </c>
      <c r="K371" s="12" t="n">
        <v>0.5931</v>
      </c>
      <c r="L371" s="3" t="n">
        <v>3.69</v>
      </c>
      <c r="M371" s="12" t="n">
        <f aca="false">Z371-W371</f>
        <v>0.094129</v>
      </c>
      <c r="N371" s="12" t="n">
        <f aca="false">IFERROR((Z371-J371)/L371,"")</f>
        <v>0.0581108401084011</v>
      </c>
      <c r="O371" s="3" t="n">
        <v>18</v>
      </c>
      <c r="P371" s="13" t="b">
        <f aca="false">FALSE()</f>
        <v>0</v>
      </c>
      <c r="Q371" s="3" t="s">
        <v>166</v>
      </c>
      <c r="R371" s="12" t="n">
        <v>0.8026</v>
      </c>
      <c r="S371" s="12" t="n">
        <v>0.5955</v>
      </c>
      <c r="T371" s="3" t="n">
        <v>0.371</v>
      </c>
      <c r="U371" s="12" t="n">
        <v>0.5342</v>
      </c>
      <c r="V371" s="12" t="n">
        <v>0.4458</v>
      </c>
      <c r="W371" s="12" t="n">
        <v>0.499</v>
      </c>
      <c r="X371" s="3" t="n">
        <v>0.56</v>
      </c>
      <c r="Y371" s="3" t="n">
        <v>0.5855</v>
      </c>
      <c r="Z371" s="14" t="n">
        <f aca="false">Assumptions!$B$3*R371+Assumptions!$B$4*S371+IF(AA371=1,Assumptions!$B$11,Assumptions!$B$5)*X371+IF(AA371=1,Assumptions!$B$12,Assumptions!$B$6)*T371+Assumptions!$B$7*U371+Assumptions!$B$8*V371+Assumptions!$B$9*Y371</f>
        <v>0.593129</v>
      </c>
      <c r="AA371" s="3" t="n">
        <v>0</v>
      </c>
    </row>
    <row r="372" customFormat="false" ht="15" hidden="false" customHeight="false" outlineLevel="0" collapsed="false">
      <c r="A372" s="3" t="s">
        <v>557</v>
      </c>
      <c r="B372" s="3" t="n">
        <v>523</v>
      </c>
      <c r="C372" s="11" t="str">
        <f aca="false">IF(M372&gt;=Assumptions!$B$17,"S+",IF(M372&gt;=Assumptions!$B$18,"S",IF(M372&gt;=Assumptions!$B$19,"A",IF(M372&gt;=Assumptions!$B$20,"B",IF(M372&gt;=Assumptions!$B$21,"C",IF(M372&gt;=Assumptions!$B$22,"D","F"))))))</f>
        <v>C</v>
      </c>
      <c r="D372" s="3" t="s">
        <v>218</v>
      </c>
      <c r="E372" s="3" t="n">
        <v>4</v>
      </c>
      <c r="F372" s="12" t="n">
        <v>0.8692</v>
      </c>
      <c r="G372" s="12" t="n">
        <v>1</v>
      </c>
      <c r="H372" s="12" t="n">
        <v>0.75</v>
      </c>
      <c r="I372" s="12" t="n">
        <v>0.9081</v>
      </c>
      <c r="J372" s="12" t="n">
        <v>0.3678</v>
      </c>
      <c r="K372" s="12" t="n">
        <v>0.592</v>
      </c>
      <c r="L372" s="3" t="n">
        <v>4.88</v>
      </c>
      <c r="M372" s="12" t="n">
        <f aca="false">Z372-W372</f>
        <v>0.0938729999999999</v>
      </c>
      <c r="N372" s="12" t="n">
        <f aca="false">IFERROR((Z372-J372)/L372,"")</f>
        <v>0.0459370901639344</v>
      </c>
      <c r="O372" s="3" t="n">
        <v>16</v>
      </c>
      <c r="P372" s="13" t="b">
        <f aca="false">FALSE()</f>
        <v>0</v>
      </c>
      <c r="Q372" s="3" t="s">
        <v>166</v>
      </c>
      <c r="R372" s="12" t="n">
        <v>0.7832</v>
      </c>
      <c r="S372" s="12" t="n">
        <v>0.5034</v>
      </c>
      <c r="T372" s="3" t="n">
        <v>0.2709</v>
      </c>
      <c r="U372" s="12" t="n">
        <v>0.4279</v>
      </c>
      <c r="V372" s="12" t="n">
        <v>0.4707</v>
      </c>
      <c r="W372" s="12" t="n">
        <v>0.4981</v>
      </c>
      <c r="X372" s="3" t="n">
        <v>0.6701</v>
      </c>
      <c r="Y372" s="3" t="n">
        <v>0.7854</v>
      </c>
      <c r="Z372" s="14" t="n">
        <f aca="false">Assumptions!$B$3*R372+Assumptions!$B$4*S372+IF(AA372=1,Assumptions!$B$11,Assumptions!$B$5)*X372+IF(AA372=1,Assumptions!$B$12,Assumptions!$B$6)*T372+Assumptions!$B$7*U372+Assumptions!$B$8*V372+Assumptions!$B$9*Y372</f>
        <v>0.591973</v>
      </c>
      <c r="AA372" s="3" t="n">
        <v>0</v>
      </c>
    </row>
    <row r="373" customFormat="false" ht="15" hidden="false" customHeight="false" outlineLevel="0" collapsed="false">
      <c r="A373" s="3" t="s">
        <v>558</v>
      </c>
      <c r="B373" s="3" t="n">
        <v>530</v>
      </c>
      <c r="C373" s="11" t="str">
        <f aca="false">IF(M373&gt;=Assumptions!$B$17,"S+",IF(M373&gt;=Assumptions!$B$18,"S",IF(M373&gt;=Assumptions!$B$19,"A",IF(M373&gt;=Assumptions!$B$20,"B",IF(M373&gt;=Assumptions!$B$21,"C",IF(M373&gt;=Assumptions!$B$22,"D","F"))))))</f>
        <v>C</v>
      </c>
      <c r="D373" s="3" t="s">
        <v>253</v>
      </c>
      <c r="E373" s="3" t="n">
        <v>4</v>
      </c>
      <c r="F373" s="12" t="n">
        <v>0.622</v>
      </c>
      <c r="G373" s="12" t="n">
        <v>0.8</v>
      </c>
      <c r="H373" s="12" t="n">
        <v>0.75</v>
      </c>
      <c r="I373" s="12" t="n">
        <v>0.733</v>
      </c>
      <c r="J373" s="12" t="n">
        <v>0.3858</v>
      </c>
      <c r="K373" s="12" t="n">
        <v>0.6129</v>
      </c>
      <c r="L373" s="3" t="n">
        <v>4.78</v>
      </c>
      <c r="M373" s="12" t="n">
        <f aca="false">Z373-W373</f>
        <v>0.093655</v>
      </c>
      <c r="N373" s="12" t="n">
        <f aca="false">IFERROR((Z373-J373)/L373,"")</f>
        <v>0.0475219665271967</v>
      </c>
      <c r="O373" s="3" t="n">
        <v>16</v>
      </c>
      <c r="P373" s="13" t="b">
        <f aca="false">FALSE()</f>
        <v>0</v>
      </c>
      <c r="Q373" s="3" t="s">
        <v>166</v>
      </c>
      <c r="R373" s="12" t="n">
        <v>0.753</v>
      </c>
      <c r="S373" s="12" t="n">
        <v>0.5698</v>
      </c>
      <c r="T373" s="3" t="n">
        <v>0.4499</v>
      </c>
      <c r="U373" s="12" t="n">
        <v>0.4664</v>
      </c>
      <c r="V373" s="12" t="n">
        <v>0.4203</v>
      </c>
      <c r="W373" s="12" t="n">
        <v>0.5193</v>
      </c>
      <c r="X373" s="3" t="n">
        <v>0.7209</v>
      </c>
      <c r="Y373" s="3" t="n">
        <v>0.695</v>
      </c>
      <c r="Z373" s="14" t="n">
        <f aca="false">Assumptions!$B$3*R373+Assumptions!$B$4*S373+IF(AA373=1,Assumptions!$B$11,Assumptions!$B$5)*X373+IF(AA373=1,Assumptions!$B$12,Assumptions!$B$6)*T373+Assumptions!$B$7*U373+Assumptions!$B$8*V373+Assumptions!$B$9*Y373</f>
        <v>0.612955</v>
      </c>
      <c r="AA373" s="3" t="n">
        <v>0</v>
      </c>
    </row>
    <row r="374" customFormat="false" ht="15" hidden="false" customHeight="false" outlineLevel="0" collapsed="false">
      <c r="A374" s="3" t="s">
        <v>559</v>
      </c>
      <c r="B374" s="3" t="n">
        <v>600</v>
      </c>
      <c r="C374" s="11" t="str">
        <f aca="false">IF(M374&gt;=Assumptions!$B$17,"S+",IF(M374&gt;=Assumptions!$B$18,"S",IF(M374&gt;=Assumptions!$B$19,"A",IF(M374&gt;=Assumptions!$B$20,"B",IF(M374&gt;=Assumptions!$B$21,"C",IF(M374&gt;=Assumptions!$B$22,"D","F"))))))</f>
        <v>C</v>
      </c>
      <c r="D374" s="3" t="s">
        <v>190</v>
      </c>
      <c r="E374" s="3" t="n">
        <v>7</v>
      </c>
      <c r="F374" s="12" t="n">
        <v>0.8121</v>
      </c>
      <c r="G374" s="12" t="n">
        <v>0.6</v>
      </c>
      <c r="H374" s="12" t="n">
        <v>0.75</v>
      </c>
      <c r="I374" s="12" t="n">
        <v>0.7106</v>
      </c>
      <c r="J374" s="12" t="n">
        <v>0.3817</v>
      </c>
      <c r="K374" s="12" t="n">
        <v>0.5703</v>
      </c>
      <c r="L374" s="3" t="n">
        <v>4</v>
      </c>
      <c r="M374" s="12" t="n">
        <f aca="false">Z374-W374</f>
        <v>0.0933590000000001</v>
      </c>
      <c r="N374" s="12" t="n">
        <f aca="false">IFERROR((Z374-J374)/L374,"")</f>
        <v>0.04713975</v>
      </c>
      <c r="O374" s="3" t="n">
        <v>13</v>
      </c>
      <c r="P374" s="13" t="b">
        <f aca="false">FALSE()</f>
        <v>0</v>
      </c>
      <c r="Q374" s="3" t="s">
        <v>166</v>
      </c>
      <c r="R374" s="12" t="n">
        <v>0.8516</v>
      </c>
      <c r="S374" s="12" t="n">
        <v>0.4787</v>
      </c>
      <c r="T374" s="3" t="n">
        <v>0.3943</v>
      </c>
      <c r="U374" s="12" t="n">
        <v>0.4615</v>
      </c>
      <c r="V374" s="12" t="n">
        <v>0.4114</v>
      </c>
      <c r="W374" s="12" t="n">
        <v>0.4769</v>
      </c>
      <c r="X374" s="3" t="n">
        <v>0.4193</v>
      </c>
      <c r="Y374" s="3" t="n">
        <v>0.7123</v>
      </c>
      <c r="Z374" s="14" t="n">
        <f aca="false">Assumptions!$B$3*R374+Assumptions!$B$4*S374+IF(AA374=1,Assumptions!$B$11,Assumptions!$B$5)*X374+IF(AA374=1,Assumptions!$B$12,Assumptions!$B$6)*T374+Assumptions!$B$7*U374+Assumptions!$B$8*V374+Assumptions!$B$9*Y374</f>
        <v>0.570259</v>
      </c>
      <c r="AA374" s="3" t="n">
        <v>0</v>
      </c>
    </row>
    <row r="375" customFormat="false" ht="15" hidden="false" customHeight="false" outlineLevel="0" collapsed="false">
      <c r="A375" s="3" t="s">
        <v>560</v>
      </c>
      <c r="B375" s="3" t="n">
        <v>323</v>
      </c>
      <c r="C375" s="11" t="str">
        <f aca="false">IF(M375&gt;=Assumptions!$B$17,"S+",IF(M375&gt;=Assumptions!$B$18,"S",IF(M375&gt;=Assumptions!$B$19,"A",IF(M375&gt;=Assumptions!$B$20,"B",IF(M375&gt;=Assumptions!$B$21,"C",IF(M375&gt;=Assumptions!$B$22,"D","F"))))))</f>
        <v>C</v>
      </c>
      <c r="D375" s="3" t="s">
        <v>180</v>
      </c>
      <c r="E375" s="3" t="n">
        <v>1</v>
      </c>
      <c r="F375" s="12" t="n">
        <v>0.6773</v>
      </c>
      <c r="G375" s="12" t="n">
        <v>1</v>
      </c>
      <c r="H375" s="12" t="n">
        <v>0.5298</v>
      </c>
      <c r="I375" s="12" t="n">
        <v>0.8414</v>
      </c>
      <c r="J375" s="12" t="n">
        <v>0.3459</v>
      </c>
      <c r="K375" s="12" t="n">
        <v>0.5913</v>
      </c>
      <c r="L375" s="3" t="n">
        <v>4.66</v>
      </c>
      <c r="M375" s="12" t="n">
        <f aca="false">Z375-W375</f>
        <v>0.093126</v>
      </c>
      <c r="N375" s="12" t="n">
        <f aca="false">IFERROR((Z375-J375)/L375,"")</f>
        <v>0.0526450643776824</v>
      </c>
      <c r="O375" s="3" t="n">
        <v>19</v>
      </c>
      <c r="P375" s="13" t="b">
        <f aca="false">FALSE()</f>
        <v>0</v>
      </c>
      <c r="Q375" s="3" t="s">
        <v>166</v>
      </c>
      <c r="R375" s="12" t="n">
        <v>0.588</v>
      </c>
      <c r="S375" s="12" t="n">
        <v>0.6086</v>
      </c>
      <c r="T375" s="3" t="n">
        <v>0.1028</v>
      </c>
      <c r="U375" s="12" t="n">
        <v>0.498</v>
      </c>
      <c r="V375" s="12" t="n">
        <v>0.5336</v>
      </c>
      <c r="W375" s="12" t="n">
        <v>0.4981</v>
      </c>
      <c r="X375" s="3" t="n">
        <v>0.6557</v>
      </c>
      <c r="Y375" s="3" t="n">
        <v>0.7708</v>
      </c>
      <c r="Z375" s="14" t="n">
        <f aca="false">Assumptions!$B$3*R375+Assumptions!$B$4*S375+IF(AA375=1,Assumptions!$B$11,Assumptions!$B$5)*X375+IF(AA375=1,Assumptions!$B$12,Assumptions!$B$6)*T375+Assumptions!$B$7*U375+Assumptions!$B$8*V375+Assumptions!$B$9*Y375</f>
        <v>0.591226</v>
      </c>
      <c r="AA375" s="3" t="n">
        <v>1</v>
      </c>
    </row>
    <row r="376" customFormat="false" ht="15" hidden="false" customHeight="false" outlineLevel="0" collapsed="false">
      <c r="A376" s="3" t="s">
        <v>561</v>
      </c>
      <c r="B376" s="3" t="n">
        <v>535</v>
      </c>
      <c r="C376" s="11" t="str">
        <f aca="false">IF(M376&gt;=Assumptions!$B$17,"S+",IF(M376&gt;=Assumptions!$B$18,"S",IF(M376&gt;=Assumptions!$B$19,"A",IF(M376&gt;=Assumptions!$B$20,"B",IF(M376&gt;=Assumptions!$B$21,"C",IF(M376&gt;=Assumptions!$B$22,"D","F"))))))</f>
        <v>C</v>
      </c>
      <c r="D376" s="3" t="s">
        <v>253</v>
      </c>
      <c r="E376" s="3" t="n">
        <v>4</v>
      </c>
      <c r="F376" s="12" t="n">
        <v>0.9479</v>
      </c>
      <c r="G376" s="12" t="n">
        <v>0.8</v>
      </c>
      <c r="H376" s="12" t="n">
        <v>0.75</v>
      </c>
      <c r="I376" s="12" t="n">
        <v>0.8373</v>
      </c>
      <c r="J376" s="12" t="n">
        <v>0.4395</v>
      </c>
      <c r="K376" s="12" t="n">
        <v>0.6234</v>
      </c>
      <c r="L376" s="3" t="n">
        <v>4.78</v>
      </c>
      <c r="M376" s="12" t="n">
        <f aca="false">Z376-W376</f>
        <v>0.093044</v>
      </c>
      <c r="N376" s="12" t="n">
        <f aca="false">IFERROR((Z376-J376)/L376,"")</f>
        <v>0.0384820083682008</v>
      </c>
      <c r="O376" s="3" t="n">
        <v>16</v>
      </c>
      <c r="P376" s="13" t="b">
        <f aca="false">FALSE()</f>
        <v>0</v>
      </c>
      <c r="Q376" s="3" t="s">
        <v>201</v>
      </c>
      <c r="R376" s="12" t="n">
        <v>0.8692</v>
      </c>
      <c r="S376" s="12" t="n">
        <v>0.5763</v>
      </c>
      <c r="T376" s="3" t="n">
        <v>0.2061</v>
      </c>
      <c r="U376" s="12" t="n">
        <v>0.4712</v>
      </c>
      <c r="V376" s="12" t="n">
        <v>0.4875</v>
      </c>
      <c r="W376" s="12" t="n">
        <v>0.5304</v>
      </c>
      <c r="X376" s="3" t="n">
        <v>0.654</v>
      </c>
      <c r="Y376" s="3" t="n">
        <v>0.8089</v>
      </c>
      <c r="Z376" s="14" t="n">
        <f aca="false">Assumptions!$B$3*R376+Assumptions!$B$4*S376+IF(AA376=1,Assumptions!$B$11,Assumptions!$B$5)*X376+IF(AA376=1,Assumptions!$B$12,Assumptions!$B$6)*T376+Assumptions!$B$7*U376+Assumptions!$B$8*V376+Assumptions!$B$9*Y376</f>
        <v>0.623444</v>
      </c>
      <c r="AA376" s="3" t="n">
        <v>0</v>
      </c>
    </row>
    <row r="377" customFormat="false" ht="15" hidden="false" customHeight="false" outlineLevel="0" collapsed="false">
      <c r="A377" s="3" t="s">
        <v>562</v>
      </c>
      <c r="B377" s="3" t="n">
        <v>540</v>
      </c>
      <c r="C377" s="11" t="str">
        <f aca="false">IF(M377&gt;=Assumptions!$B$17,"S+",IF(M377&gt;=Assumptions!$B$18,"S",IF(M377&gt;=Assumptions!$B$19,"A",IF(M377&gt;=Assumptions!$B$20,"B",IF(M377&gt;=Assumptions!$B$21,"C",IF(M377&gt;=Assumptions!$B$22,"D","F"))))))</f>
        <v>C</v>
      </c>
      <c r="D377" s="3" t="s">
        <v>253</v>
      </c>
      <c r="E377" s="3" t="n">
        <v>7</v>
      </c>
      <c r="F377" s="12" t="n">
        <v>0.8921</v>
      </c>
      <c r="G377" s="12" t="n">
        <v>0.6</v>
      </c>
      <c r="H377" s="12" t="n">
        <v>0.75</v>
      </c>
      <c r="I377" s="12" t="n">
        <v>0.7235</v>
      </c>
      <c r="J377" s="12" t="n">
        <v>0.4444</v>
      </c>
      <c r="K377" s="12" t="n">
        <v>0.6222</v>
      </c>
      <c r="L377" s="3" t="n">
        <v>5</v>
      </c>
      <c r="M377" s="12" t="n">
        <f aca="false">Z377-W377</f>
        <v>0.0927230000000001</v>
      </c>
      <c r="N377" s="12" t="n">
        <f aca="false">IFERROR((Z377-J377)/L377,"")</f>
        <v>0.0355646</v>
      </c>
      <c r="O377" s="3" t="n">
        <v>13</v>
      </c>
      <c r="P377" s="13" t="b">
        <f aca="false">FALSE()</f>
        <v>0</v>
      </c>
      <c r="Q377" s="3" t="s">
        <v>166</v>
      </c>
      <c r="R377" s="12" t="n">
        <v>0.8404</v>
      </c>
      <c r="S377" s="12" t="n">
        <v>0.5569</v>
      </c>
      <c r="T377" s="3" t="n">
        <v>0.088</v>
      </c>
      <c r="U377" s="12" t="n">
        <v>0.426</v>
      </c>
      <c r="V377" s="12" t="n">
        <v>0.428</v>
      </c>
      <c r="W377" s="12" t="n">
        <v>0.5295</v>
      </c>
      <c r="X377" s="3" t="n">
        <v>0.9214</v>
      </c>
      <c r="Y377" s="3" t="n">
        <v>0.7252</v>
      </c>
      <c r="Z377" s="14" t="n">
        <f aca="false">Assumptions!$B$3*R377+Assumptions!$B$4*S377+IF(AA377=1,Assumptions!$B$11,Assumptions!$B$5)*X377+IF(AA377=1,Assumptions!$B$12,Assumptions!$B$6)*T377+Assumptions!$B$7*U377+Assumptions!$B$8*V377+Assumptions!$B$9*Y377</f>
        <v>0.622223</v>
      </c>
      <c r="AA377" s="3" t="n">
        <v>0</v>
      </c>
    </row>
    <row r="378" customFormat="false" ht="15" hidden="false" customHeight="false" outlineLevel="0" collapsed="false">
      <c r="A378" s="3" t="s">
        <v>563</v>
      </c>
      <c r="B378" s="3" t="n">
        <v>510</v>
      </c>
      <c r="C378" s="11" t="str">
        <f aca="false">IF(M378&gt;=Assumptions!$B$17,"S+",IF(M378&gt;=Assumptions!$B$18,"S",IF(M378&gt;=Assumptions!$B$19,"A",IF(M378&gt;=Assumptions!$B$20,"B",IF(M378&gt;=Assumptions!$B$21,"C",IF(M378&gt;=Assumptions!$B$22,"D","F"))))))</f>
        <v>C</v>
      </c>
      <c r="D378" s="3" t="s">
        <v>190</v>
      </c>
      <c r="E378" s="3" t="n">
        <v>6</v>
      </c>
      <c r="F378" s="12" t="n">
        <v>0.9498</v>
      </c>
      <c r="G378" s="12" t="n">
        <v>0.6</v>
      </c>
      <c r="H378" s="12" t="n">
        <v>0.75</v>
      </c>
      <c r="I378" s="12" t="n">
        <v>0.7629</v>
      </c>
      <c r="J378" s="12" t="n">
        <v>0.3354</v>
      </c>
      <c r="K378" s="12" t="n">
        <v>0.5696</v>
      </c>
      <c r="L378" s="3" t="n">
        <v>5</v>
      </c>
      <c r="M378" s="12" t="n">
        <f aca="false">Z378-W378</f>
        <v>0.092268</v>
      </c>
      <c r="N378" s="12" t="n">
        <f aca="false">IFERROR((Z378-J378)/L378,"")</f>
        <v>0.0468336</v>
      </c>
      <c r="O378" s="3" t="n">
        <v>14</v>
      </c>
      <c r="P378" s="13" t="b">
        <f aca="false">FALSE()</f>
        <v>0</v>
      </c>
      <c r="Q378" s="3" t="s">
        <v>166</v>
      </c>
      <c r="R378" s="12" t="n">
        <v>0.8595</v>
      </c>
      <c r="S378" s="12" t="n">
        <v>0.2918</v>
      </c>
      <c r="T378" s="3" t="n">
        <v>0.6554</v>
      </c>
      <c r="U378" s="12" t="n">
        <v>0.4505</v>
      </c>
      <c r="V378" s="12" t="n">
        <v>0.3084</v>
      </c>
      <c r="W378" s="12" t="n">
        <v>0.4773</v>
      </c>
      <c r="X378" s="3" t="n">
        <v>0.4266</v>
      </c>
      <c r="Y378" s="3" t="n">
        <v>0.7645</v>
      </c>
      <c r="Z378" s="14" t="n">
        <f aca="false">Assumptions!$B$3*R378+Assumptions!$B$4*S378+IF(AA378=1,Assumptions!$B$11,Assumptions!$B$5)*X378+IF(AA378=1,Assumptions!$B$12,Assumptions!$B$6)*T378+Assumptions!$B$7*U378+Assumptions!$B$8*V378+Assumptions!$B$9*Y378</f>
        <v>0.569568</v>
      </c>
      <c r="AA378" s="3" t="n">
        <v>0</v>
      </c>
    </row>
    <row r="379" customFormat="false" ht="15" hidden="false" customHeight="false" outlineLevel="0" collapsed="false">
      <c r="A379" s="3" t="s">
        <v>564</v>
      </c>
      <c r="B379" s="3" t="n">
        <v>550</v>
      </c>
      <c r="C379" s="11" t="str">
        <f aca="false">IF(M379&gt;=Assumptions!$B$17,"S+",IF(M379&gt;=Assumptions!$B$18,"S",IF(M379&gt;=Assumptions!$B$19,"A",IF(M379&gt;=Assumptions!$B$20,"B",IF(M379&gt;=Assumptions!$B$21,"C",IF(M379&gt;=Assumptions!$B$22,"D","F"))))))</f>
        <v>C</v>
      </c>
      <c r="D379" s="3" t="s">
        <v>253</v>
      </c>
      <c r="E379" s="3" t="n">
        <v>8</v>
      </c>
      <c r="F379" s="12" t="n">
        <v>0.9497</v>
      </c>
      <c r="G379" s="12" t="n">
        <v>0.4</v>
      </c>
      <c r="H379" s="12" t="n">
        <v>0.75</v>
      </c>
      <c r="I379" s="12" t="n">
        <v>0.6459</v>
      </c>
      <c r="J379" s="12" t="n">
        <v>0.4331</v>
      </c>
      <c r="K379" s="12" t="n">
        <v>0.622</v>
      </c>
      <c r="L379" s="3" t="n">
        <v>4</v>
      </c>
      <c r="M379" s="12" t="n">
        <f aca="false">Z379-W379</f>
        <v>0.091896</v>
      </c>
      <c r="N379" s="12" t="n">
        <f aca="false">IFERROR((Z379-J379)/L379,"")</f>
        <v>0.047224</v>
      </c>
      <c r="O379" s="3" t="n">
        <v>12</v>
      </c>
      <c r="P379" s="13" t="b">
        <f aca="false">FALSE()</f>
        <v>0</v>
      </c>
      <c r="Q379" s="3" t="s">
        <v>166</v>
      </c>
      <c r="R379" s="12" t="n">
        <v>0.9049</v>
      </c>
      <c r="S379" s="12" t="n">
        <v>0.532</v>
      </c>
      <c r="T379" s="3" t="n">
        <v>0.303</v>
      </c>
      <c r="U379" s="12" t="n">
        <v>0.3077</v>
      </c>
      <c r="V379" s="12" t="n">
        <v>0.5924</v>
      </c>
      <c r="W379" s="12" t="n">
        <v>0.5301</v>
      </c>
      <c r="X379" s="3" t="n">
        <v>0.7023</v>
      </c>
      <c r="Y379" s="3" t="n">
        <v>0.6226</v>
      </c>
      <c r="Z379" s="14" t="n">
        <f aca="false">Assumptions!$B$3*R379+Assumptions!$B$4*S379+IF(AA379=1,Assumptions!$B$11,Assumptions!$B$5)*X379+IF(AA379=1,Assumptions!$B$12,Assumptions!$B$6)*T379+Assumptions!$B$7*U379+Assumptions!$B$8*V379+Assumptions!$B$9*Y379</f>
        <v>0.621996</v>
      </c>
      <c r="AA379" s="3" t="n">
        <v>0</v>
      </c>
    </row>
    <row r="380" customFormat="false" ht="15" hidden="false" customHeight="false" outlineLevel="0" collapsed="false">
      <c r="A380" s="3" t="s">
        <v>565</v>
      </c>
      <c r="B380" s="3" t="n">
        <v>495</v>
      </c>
      <c r="C380" s="11" t="str">
        <f aca="false">IF(M380&gt;=Assumptions!$B$17,"S+",IF(M380&gt;=Assumptions!$B$18,"S",IF(M380&gt;=Assumptions!$B$19,"A",IF(M380&gt;=Assumptions!$B$20,"B",IF(M380&gt;=Assumptions!$B$21,"C",IF(M380&gt;=Assumptions!$B$22,"D","F"))))))</f>
        <v>C</v>
      </c>
      <c r="D380" s="3" t="s">
        <v>190</v>
      </c>
      <c r="E380" s="3" t="n">
        <v>4</v>
      </c>
      <c r="F380" s="12" t="n">
        <v>0.8822</v>
      </c>
      <c r="G380" s="12" t="n">
        <v>0.8</v>
      </c>
      <c r="H380" s="12" t="n">
        <v>0.75</v>
      </c>
      <c r="I380" s="12" t="n">
        <v>0.8212</v>
      </c>
      <c r="J380" s="12" t="n">
        <v>0.3684</v>
      </c>
      <c r="K380" s="12" t="n">
        <v>0.5769</v>
      </c>
      <c r="L380" s="3" t="n">
        <v>3.97</v>
      </c>
      <c r="M380" s="12" t="n">
        <f aca="false">Z380-W380</f>
        <v>0.0917040000000001</v>
      </c>
      <c r="N380" s="12" t="n">
        <f aca="false">IFERROR((Z380-J380)/L380,"")</f>
        <v>0.0525198992443325</v>
      </c>
      <c r="O380" s="3" t="n">
        <v>16</v>
      </c>
      <c r="P380" s="13" t="b">
        <f aca="false">FALSE()</f>
        <v>0</v>
      </c>
      <c r="Q380" s="3" t="s">
        <v>166</v>
      </c>
      <c r="R380" s="12" t="n">
        <v>0.8136</v>
      </c>
      <c r="S380" s="12" t="n">
        <v>0.3906</v>
      </c>
      <c r="T380" s="3" t="n">
        <v>0.4756</v>
      </c>
      <c r="U380" s="12" t="n">
        <v>0.4615</v>
      </c>
      <c r="V380" s="12" t="n">
        <v>0.4118</v>
      </c>
      <c r="W380" s="12" t="n">
        <v>0.4852</v>
      </c>
      <c r="X380" s="3" t="n">
        <v>0.5018</v>
      </c>
      <c r="Y380" s="3" t="n">
        <v>0.7797</v>
      </c>
      <c r="Z380" s="14" t="n">
        <f aca="false">Assumptions!$B$3*R380+Assumptions!$B$4*S380+IF(AA380=1,Assumptions!$B$11,Assumptions!$B$5)*X380+IF(AA380=1,Assumptions!$B$12,Assumptions!$B$6)*T380+Assumptions!$B$7*U380+Assumptions!$B$8*V380+Assumptions!$B$9*Y380</f>
        <v>0.576904</v>
      </c>
      <c r="AA380" s="3" t="n">
        <v>0</v>
      </c>
    </row>
    <row r="381" customFormat="false" ht="15" hidden="false" customHeight="false" outlineLevel="0" collapsed="false">
      <c r="A381" s="3" t="s">
        <v>566</v>
      </c>
      <c r="B381" s="3" t="n">
        <v>440</v>
      </c>
      <c r="C381" s="11" t="str">
        <f aca="false">IF(M381&gt;=Assumptions!$B$17,"S+",IF(M381&gt;=Assumptions!$B$18,"S",IF(M381&gt;=Assumptions!$B$19,"A",IF(M381&gt;=Assumptions!$B$20,"B",IF(M381&gt;=Assumptions!$B$21,"C",IF(M381&gt;=Assumptions!$B$22,"D","F"))))))</f>
        <v>C</v>
      </c>
      <c r="D381" s="3" t="s">
        <v>197</v>
      </c>
      <c r="E381" s="3" t="n">
        <v>3</v>
      </c>
      <c r="F381" s="12" t="n">
        <v>0.7947</v>
      </c>
      <c r="G381" s="12" t="n">
        <v>0.4</v>
      </c>
      <c r="H381" s="12" t="n">
        <v>0.75</v>
      </c>
      <c r="I381" s="12" t="n">
        <v>0.62</v>
      </c>
      <c r="J381" s="12" t="n">
        <v>0.3617</v>
      </c>
      <c r="K381" s="12" t="n">
        <v>0.5771</v>
      </c>
      <c r="L381" s="3" t="n">
        <v>3.74</v>
      </c>
      <c r="M381" s="12" t="n">
        <f aca="false">Z381-W381</f>
        <v>0.0915369999999999</v>
      </c>
      <c r="N381" s="12" t="n">
        <f aca="false">IFERROR((Z381-J381)/L381,"")</f>
        <v>0.0576034759358288</v>
      </c>
      <c r="O381" s="3" t="n">
        <v>17</v>
      </c>
      <c r="P381" s="13" t="b">
        <f aca="false">FALSE()</f>
        <v>0</v>
      </c>
      <c r="Q381" s="3" t="s">
        <v>166</v>
      </c>
      <c r="R381" s="12" t="n">
        <v>0.6746</v>
      </c>
      <c r="S381" s="12" t="n">
        <v>0.5948</v>
      </c>
      <c r="T381" s="3" t="n">
        <v>0.3878</v>
      </c>
      <c r="U381" s="12" t="n">
        <v>0.4299</v>
      </c>
      <c r="V381" s="12" t="n">
        <v>0.5607</v>
      </c>
      <c r="W381" s="12" t="n">
        <v>0.4856</v>
      </c>
      <c r="X381" s="3" t="n">
        <v>0.6498</v>
      </c>
      <c r="Y381" s="3" t="n">
        <v>0.5735</v>
      </c>
      <c r="Z381" s="14" t="n">
        <f aca="false">Assumptions!$B$3*R381+Assumptions!$B$4*S381+IF(AA381=1,Assumptions!$B$11,Assumptions!$B$5)*X381+IF(AA381=1,Assumptions!$B$12,Assumptions!$B$6)*T381+Assumptions!$B$7*U381+Assumptions!$B$8*V381+Assumptions!$B$9*Y381</f>
        <v>0.577137</v>
      </c>
      <c r="AA381" s="3" t="n">
        <v>0</v>
      </c>
    </row>
    <row r="382" customFormat="false" ht="15" hidden="false" customHeight="false" outlineLevel="0" collapsed="false">
      <c r="A382" s="3" t="s">
        <v>567</v>
      </c>
      <c r="B382" s="3" t="n">
        <v>550</v>
      </c>
      <c r="C382" s="11" t="str">
        <f aca="false">IF(M382&gt;=Assumptions!$B$17,"S+",IF(M382&gt;=Assumptions!$B$18,"S",IF(M382&gt;=Assumptions!$B$19,"A",IF(M382&gt;=Assumptions!$B$20,"B",IF(M382&gt;=Assumptions!$B$21,"C",IF(M382&gt;=Assumptions!$B$22,"D","F"))))))</f>
        <v>C</v>
      </c>
      <c r="D382" s="3" t="s">
        <v>253</v>
      </c>
      <c r="E382" s="3" t="n">
        <v>3</v>
      </c>
      <c r="F382" s="12" t="n">
        <v>0.8691</v>
      </c>
      <c r="G382" s="12" t="n">
        <v>0.4</v>
      </c>
      <c r="H382" s="12" t="n">
        <v>0.75</v>
      </c>
      <c r="I382" s="12" t="n">
        <v>0.6201</v>
      </c>
      <c r="J382" s="12" t="n">
        <v>0.3613</v>
      </c>
      <c r="K382" s="12" t="n">
        <v>0.5994</v>
      </c>
      <c r="L382" s="3" t="n">
        <v>5.76</v>
      </c>
      <c r="M382" s="12" t="n">
        <f aca="false">Z382-W382</f>
        <v>0.091209</v>
      </c>
      <c r="N382" s="12" t="n">
        <f aca="false">IFERROR((Z382-J382)/L382,"")</f>
        <v>0.0413383680555556</v>
      </c>
      <c r="O382" s="3" t="n">
        <v>17</v>
      </c>
      <c r="P382" s="13" t="b">
        <f aca="false">FALSE()</f>
        <v>0</v>
      </c>
      <c r="Q382" s="3" t="s">
        <v>166</v>
      </c>
      <c r="R382" s="12" t="n">
        <v>0.7767</v>
      </c>
      <c r="S382" s="12" t="n">
        <v>0.6052</v>
      </c>
      <c r="T382" s="3" t="n">
        <v>0.3944</v>
      </c>
      <c r="U382" s="12" t="n">
        <v>0.2986</v>
      </c>
      <c r="V382" s="12" t="n">
        <v>0.5607</v>
      </c>
      <c r="W382" s="12" t="n">
        <v>0.5082</v>
      </c>
      <c r="X382" s="3" t="n">
        <v>0.6982</v>
      </c>
      <c r="Y382" s="3" t="n">
        <v>0.5611</v>
      </c>
      <c r="Z382" s="14" t="n">
        <f aca="false">Assumptions!$B$3*R382+Assumptions!$B$4*S382+IF(AA382=1,Assumptions!$B$11,Assumptions!$B$5)*X382+IF(AA382=1,Assumptions!$B$12,Assumptions!$B$6)*T382+Assumptions!$B$7*U382+Assumptions!$B$8*V382+Assumptions!$B$9*Y382</f>
        <v>0.599409</v>
      </c>
      <c r="AA382" s="3" t="n">
        <v>0</v>
      </c>
    </row>
    <row r="383" customFormat="false" ht="15" hidden="false" customHeight="false" outlineLevel="0" collapsed="false">
      <c r="A383" s="3" t="s">
        <v>568</v>
      </c>
      <c r="B383" s="3" t="n">
        <v>505</v>
      </c>
      <c r="C383" s="11" t="str">
        <f aca="false">IF(M383&gt;=Assumptions!$B$17,"S+",IF(M383&gt;=Assumptions!$B$18,"S",IF(M383&gt;=Assumptions!$B$19,"A",IF(M383&gt;=Assumptions!$B$20,"B",IF(M383&gt;=Assumptions!$B$21,"C",IF(M383&gt;=Assumptions!$B$22,"D","F"))))))</f>
        <v>C</v>
      </c>
      <c r="D383" s="3" t="s">
        <v>253</v>
      </c>
      <c r="E383" s="3" t="n">
        <v>6</v>
      </c>
      <c r="F383" s="12" t="n">
        <v>0.9391</v>
      </c>
      <c r="G383" s="12" t="n">
        <v>0.8</v>
      </c>
      <c r="H383" s="12" t="n">
        <v>0.75</v>
      </c>
      <c r="I383" s="12" t="n">
        <v>0.8345</v>
      </c>
      <c r="J383" s="12" t="n">
        <v>0.3603</v>
      </c>
      <c r="K383" s="12" t="n">
        <v>0.6177</v>
      </c>
      <c r="L383" s="3" t="n">
        <v>4</v>
      </c>
      <c r="M383" s="12" t="n">
        <f aca="false">Z383-W383</f>
        <v>0.0911460000000001</v>
      </c>
      <c r="N383" s="12" t="n">
        <f aca="false">IFERROR((Z383-J383)/L383,"")</f>
        <v>0.0643615</v>
      </c>
      <c r="O383" s="3" t="n">
        <v>14</v>
      </c>
      <c r="P383" s="13" t="b">
        <f aca="false">FALSE()</f>
        <v>0</v>
      </c>
      <c r="Q383" s="3" t="s">
        <v>166</v>
      </c>
      <c r="R383" s="12" t="n">
        <v>0.7872</v>
      </c>
      <c r="S383" s="12" t="n">
        <v>0.6094</v>
      </c>
      <c r="T383" s="3" t="n">
        <v>0.0455</v>
      </c>
      <c r="U383" s="12" t="n">
        <v>0.4835</v>
      </c>
      <c r="V383" s="12" t="n">
        <v>0.4746</v>
      </c>
      <c r="W383" s="12" t="n">
        <v>0.5266</v>
      </c>
      <c r="X383" s="3" t="n">
        <v>0.8253</v>
      </c>
      <c r="Y383" s="3" t="n">
        <v>0.836</v>
      </c>
      <c r="Z383" s="14" t="n">
        <f aca="false">Assumptions!$B$3*R383+Assumptions!$B$4*S383+IF(AA383=1,Assumptions!$B$11,Assumptions!$B$5)*X383+IF(AA383=1,Assumptions!$B$12,Assumptions!$B$6)*T383+Assumptions!$B$7*U383+Assumptions!$B$8*V383+Assumptions!$B$9*Y383</f>
        <v>0.617746</v>
      </c>
      <c r="AA383" s="3" t="n">
        <v>0</v>
      </c>
    </row>
    <row r="384" customFormat="false" ht="15" hidden="false" customHeight="false" outlineLevel="0" collapsed="false">
      <c r="A384" s="3" t="s">
        <v>569</v>
      </c>
      <c r="B384" s="3" t="n">
        <v>600</v>
      </c>
      <c r="C384" s="11" t="str">
        <f aca="false">IF(M384&gt;=Assumptions!$B$17,"S+",IF(M384&gt;=Assumptions!$B$18,"S",IF(M384&gt;=Assumptions!$B$19,"A",IF(M384&gt;=Assumptions!$B$20,"B",IF(M384&gt;=Assumptions!$B$21,"C",IF(M384&gt;=Assumptions!$B$22,"D","F"))))))</f>
        <v>C</v>
      </c>
      <c r="D384" s="3" t="s">
        <v>180</v>
      </c>
      <c r="E384" s="3" t="n">
        <v>7</v>
      </c>
      <c r="F384" s="12" t="n">
        <v>0.745</v>
      </c>
      <c r="G384" s="12" t="n">
        <v>0.85</v>
      </c>
      <c r="H384" s="12" t="n">
        <v>0.4226</v>
      </c>
      <c r="I384" s="12" t="n">
        <v>0.7435</v>
      </c>
      <c r="J384" s="12" t="n">
        <v>0.3895</v>
      </c>
      <c r="K384" s="12" t="n">
        <v>0.6091</v>
      </c>
      <c r="L384" s="3" t="n">
        <v>4</v>
      </c>
      <c r="M384" s="12" t="n">
        <f aca="false">Z384-W384</f>
        <v>0.0907750000000001</v>
      </c>
      <c r="N384" s="12" t="n">
        <f aca="false">IFERROR((Z384-J384)/L384,"")</f>
        <v>0.05489375</v>
      </c>
      <c r="O384" s="3" t="n">
        <v>13</v>
      </c>
      <c r="P384" s="13" t="b">
        <f aca="false">FALSE()</f>
        <v>0</v>
      </c>
      <c r="Q384" s="3" t="s">
        <v>166</v>
      </c>
      <c r="R384" s="12" t="n">
        <v>0.6588</v>
      </c>
      <c r="S384" s="12" t="n">
        <v>0.6799</v>
      </c>
      <c r="T384" s="3" t="n">
        <v>0.2789</v>
      </c>
      <c r="U384" s="12" t="n">
        <v>0.432</v>
      </c>
      <c r="V384" s="12" t="n">
        <v>0.45</v>
      </c>
      <c r="W384" s="12" t="n">
        <v>0.5183</v>
      </c>
      <c r="X384" s="3" t="n">
        <v>0.6654</v>
      </c>
      <c r="Y384" s="3" t="n">
        <v>0.7225</v>
      </c>
      <c r="Z384" s="14" t="n">
        <f aca="false">Assumptions!$B$3*R384+Assumptions!$B$4*S384+IF(AA384=1,Assumptions!$B$11,Assumptions!$B$5)*X384+IF(AA384=1,Assumptions!$B$12,Assumptions!$B$6)*T384+Assumptions!$B$7*U384+Assumptions!$B$8*V384+Assumptions!$B$9*Y384</f>
        <v>0.609075</v>
      </c>
      <c r="AA384" s="3" t="n">
        <v>1</v>
      </c>
    </row>
    <row r="385" customFormat="false" ht="15" hidden="false" customHeight="false" outlineLevel="0" collapsed="false">
      <c r="A385" s="3" t="s">
        <v>570</v>
      </c>
      <c r="B385" s="3" t="n">
        <v>470</v>
      </c>
      <c r="C385" s="11" t="str">
        <f aca="false">IF(M385&gt;=Assumptions!$B$17,"S+",IF(M385&gt;=Assumptions!$B$18,"S",IF(M385&gt;=Assumptions!$B$19,"A",IF(M385&gt;=Assumptions!$B$20,"B",IF(M385&gt;=Assumptions!$B$21,"C",IF(M385&gt;=Assumptions!$B$22,"D","F"))))))</f>
        <v>C</v>
      </c>
      <c r="D385" s="3" t="s">
        <v>247</v>
      </c>
      <c r="E385" s="3" t="n">
        <v>7</v>
      </c>
      <c r="F385" s="12" t="n">
        <v>0.6871</v>
      </c>
      <c r="G385" s="12" t="n">
        <v>0.6</v>
      </c>
      <c r="H385" s="12" t="n">
        <v>0.75</v>
      </c>
      <c r="I385" s="12" t="n">
        <v>0.6579</v>
      </c>
      <c r="J385" s="12" t="n">
        <v>0.3602</v>
      </c>
      <c r="K385" s="12" t="n">
        <v>0.5748</v>
      </c>
      <c r="L385" s="3" t="n">
        <v>4</v>
      </c>
      <c r="M385" s="12" t="n">
        <f aca="false">Z385-W385</f>
        <v>0.090536</v>
      </c>
      <c r="N385" s="12" t="n">
        <f aca="false">IFERROR((Z385-J385)/L385,"")</f>
        <v>0.053634</v>
      </c>
      <c r="O385" s="3" t="n">
        <v>13</v>
      </c>
      <c r="P385" s="13" t="b">
        <f aca="false">FALSE()</f>
        <v>0</v>
      </c>
      <c r="Q385" s="3" t="s">
        <v>166</v>
      </c>
      <c r="R385" s="12" t="n">
        <v>0.7896</v>
      </c>
      <c r="S385" s="12" t="n">
        <v>0.504</v>
      </c>
      <c r="T385" s="3" t="n">
        <v>0.0789</v>
      </c>
      <c r="U385" s="12" t="n">
        <v>0.5326</v>
      </c>
      <c r="V385" s="12" t="n">
        <v>0.4322</v>
      </c>
      <c r="W385" s="12" t="n">
        <v>0.4842</v>
      </c>
      <c r="X385" s="3" t="n">
        <v>0.7415</v>
      </c>
      <c r="Y385" s="3" t="n">
        <v>0.6493</v>
      </c>
      <c r="Z385" s="14" t="n">
        <f aca="false">Assumptions!$B$3*R385+Assumptions!$B$4*S385+IF(AA385=1,Assumptions!$B$11,Assumptions!$B$5)*X385+IF(AA385=1,Assumptions!$B$12,Assumptions!$B$6)*T385+Assumptions!$B$7*U385+Assumptions!$B$8*V385+Assumptions!$B$9*Y385</f>
        <v>0.574736</v>
      </c>
      <c r="AA385" s="3" t="n">
        <v>0</v>
      </c>
    </row>
    <row r="386" customFormat="false" ht="15" hidden="false" customHeight="false" outlineLevel="0" collapsed="false">
      <c r="A386" s="3" t="s">
        <v>571</v>
      </c>
      <c r="B386" s="3" t="n">
        <v>328</v>
      </c>
      <c r="C386" s="11" t="str">
        <f aca="false">IF(M386&gt;=Assumptions!$B$17,"S+",IF(M386&gt;=Assumptions!$B$18,"S",IF(M386&gt;=Assumptions!$B$19,"A",IF(M386&gt;=Assumptions!$B$20,"B",IF(M386&gt;=Assumptions!$B$21,"C",IF(M386&gt;=Assumptions!$B$22,"D","F"))))))</f>
        <v>C</v>
      </c>
      <c r="D386" s="3" t="s">
        <v>180</v>
      </c>
      <c r="E386" s="3" t="n">
        <v>1</v>
      </c>
      <c r="F386" s="12" t="n">
        <v>0.7273</v>
      </c>
      <c r="G386" s="12" t="n">
        <v>0.6</v>
      </c>
      <c r="H386" s="12" t="n">
        <v>0.4722</v>
      </c>
      <c r="I386" s="12" t="n">
        <v>0.5999</v>
      </c>
      <c r="J386" s="12" t="n">
        <v>0.2562</v>
      </c>
      <c r="K386" s="12" t="n">
        <v>0.5586</v>
      </c>
      <c r="L386" s="3" t="n">
        <v>5.66</v>
      </c>
      <c r="M386" s="12" t="n">
        <f aca="false">Z386-W386</f>
        <v>0.0899140000000001</v>
      </c>
      <c r="N386" s="12" t="n">
        <f aca="false">IFERROR((Z386-J386)/L386,"")</f>
        <v>0.0534300353356891</v>
      </c>
      <c r="O386" s="3" t="n">
        <v>19</v>
      </c>
      <c r="P386" s="13" t="b">
        <f aca="false">FALSE()</f>
        <v>0</v>
      </c>
      <c r="Q386" s="3" t="s">
        <v>166</v>
      </c>
      <c r="R386" s="12" t="n">
        <v>0.559</v>
      </c>
      <c r="S386" s="12" t="n">
        <v>0.5068</v>
      </c>
      <c r="T386" s="3" t="n">
        <v>0.1238</v>
      </c>
      <c r="U386" s="12" t="n">
        <v>0.5668</v>
      </c>
      <c r="V386" s="12" t="n">
        <v>0.4722</v>
      </c>
      <c r="W386" s="12" t="n">
        <v>0.4687</v>
      </c>
      <c r="X386" s="3" t="n">
        <v>0.695</v>
      </c>
      <c r="Y386" s="3" t="n">
        <v>0.5688</v>
      </c>
      <c r="Z386" s="14" t="n">
        <f aca="false">Assumptions!$B$3*R386+Assumptions!$B$4*S386+IF(AA386=1,Assumptions!$B$11,Assumptions!$B$5)*X386+IF(AA386=1,Assumptions!$B$12,Assumptions!$B$6)*T386+Assumptions!$B$7*U386+Assumptions!$B$8*V386+Assumptions!$B$9*Y386</f>
        <v>0.558614</v>
      </c>
      <c r="AA386" s="3" t="n">
        <v>1</v>
      </c>
    </row>
    <row r="387" customFormat="false" ht="15" hidden="false" customHeight="false" outlineLevel="0" collapsed="false">
      <c r="A387" s="3" t="s">
        <v>572</v>
      </c>
      <c r="B387" s="3" t="n">
        <v>530</v>
      </c>
      <c r="C387" s="11" t="str">
        <f aca="false">IF(M387&gt;=Assumptions!$B$17,"S+",IF(M387&gt;=Assumptions!$B$18,"S",IF(M387&gt;=Assumptions!$B$19,"A",IF(M387&gt;=Assumptions!$B$20,"B",IF(M387&gt;=Assumptions!$B$21,"C",IF(M387&gt;=Assumptions!$B$22,"D","F"))))))</f>
        <v>C</v>
      </c>
      <c r="D387" s="3" t="s">
        <v>218</v>
      </c>
      <c r="E387" s="3" t="n">
        <v>7</v>
      </c>
      <c r="F387" s="12" t="n">
        <v>0.7589</v>
      </c>
      <c r="G387" s="12" t="n">
        <v>0.6</v>
      </c>
      <c r="H387" s="12" t="n">
        <v>0.75</v>
      </c>
      <c r="I387" s="12" t="n">
        <v>0.6808</v>
      </c>
      <c r="J387" s="12" t="n">
        <v>0.3541</v>
      </c>
      <c r="K387" s="12" t="n">
        <v>0.6005</v>
      </c>
      <c r="L387" s="3" t="n">
        <v>4</v>
      </c>
      <c r="M387" s="12" t="n">
        <f aca="false">Z387-W387</f>
        <v>0.089792</v>
      </c>
      <c r="N387" s="12" t="n">
        <f aca="false">IFERROR((Z387-J387)/L387,"")</f>
        <v>0.061598</v>
      </c>
      <c r="O387" s="3" t="n">
        <v>13</v>
      </c>
      <c r="P387" s="13" t="b">
        <f aca="false">FALSE()</f>
        <v>0</v>
      </c>
      <c r="Q387" s="3" t="s">
        <v>166</v>
      </c>
      <c r="R387" s="12" t="n">
        <v>0.8708</v>
      </c>
      <c r="S387" s="12" t="n">
        <v>0.4539</v>
      </c>
      <c r="T387" s="3" t="n">
        <v>0.1827</v>
      </c>
      <c r="U387" s="12" t="n">
        <v>0.5681</v>
      </c>
      <c r="V387" s="12" t="n">
        <v>0.3903</v>
      </c>
      <c r="W387" s="12" t="n">
        <v>0.5107</v>
      </c>
      <c r="X387" s="3" t="n">
        <v>0.7252</v>
      </c>
      <c r="Y387" s="3" t="n">
        <v>0.683</v>
      </c>
      <c r="Z387" s="14" t="n">
        <f aca="false">Assumptions!$B$3*R387+Assumptions!$B$4*S387+IF(AA387=1,Assumptions!$B$11,Assumptions!$B$5)*X387+IF(AA387=1,Assumptions!$B$12,Assumptions!$B$6)*T387+Assumptions!$B$7*U387+Assumptions!$B$8*V387+Assumptions!$B$9*Y387</f>
        <v>0.600492</v>
      </c>
      <c r="AA387" s="3" t="n">
        <v>0</v>
      </c>
    </row>
    <row r="388" customFormat="false" ht="15" hidden="false" customHeight="false" outlineLevel="0" collapsed="false">
      <c r="A388" s="3" t="s">
        <v>573</v>
      </c>
      <c r="B388" s="3" t="n">
        <v>480</v>
      </c>
      <c r="C388" s="11" t="str">
        <f aca="false">IF(M388&gt;=Assumptions!$B$17,"S+",IF(M388&gt;=Assumptions!$B$18,"S",IF(M388&gt;=Assumptions!$B$19,"A",IF(M388&gt;=Assumptions!$B$20,"B",IF(M388&gt;=Assumptions!$B$21,"C",IF(M388&gt;=Assumptions!$B$22,"D","F"))))))</f>
        <v>C</v>
      </c>
      <c r="D388" s="3" t="s">
        <v>197</v>
      </c>
      <c r="E388" s="3" t="n">
        <v>6</v>
      </c>
      <c r="F388" s="12" t="n">
        <v>0.4929</v>
      </c>
      <c r="G388" s="12" t="n">
        <v>0.6</v>
      </c>
      <c r="H388" s="12" t="n">
        <v>0.75</v>
      </c>
      <c r="I388" s="12" t="n">
        <v>0.5893</v>
      </c>
      <c r="J388" s="12" t="n">
        <v>0.393</v>
      </c>
      <c r="K388" s="12" t="n">
        <v>0.5787</v>
      </c>
      <c r="L388" s="3" t="n">
        <v>6</v>
      </c>
      <c r="M388" s="12" t="n">
        <f aca="false">Z388-W388</f>
        <v>0.089712</v>
      </c>
      <c r="N388" s="12" t="n">
        <f aca="false">IFERROR((Z388-J388)/L388,"")</f>
        <v>0.030952</v>
      </c>
      <c r="O388" s="3" t="n">
        <v>14</v>
      </c>
      <c r="P388" s="13" t="b">
        <f aca="false">FALSE()</f>
        <v>0</v>
      </c>
      <c r="Q388" s="3" t="s">
        <v>166</v>
      </c>
      <c r="R388" s="12" t="n">
        <v>0.6293</v>
      </c>
      <c r="S388" s="12" t="n">
        <v>0.6506</v>
      </c>
      <c r="T388" s="3" t="n">
        <v>0.1782</v>
      </c>
      <c r="U388" s="12" t="n">
        <v>0.423</v>
      </c>
      <c r="V388" s="12" t="n">
        <v>0.534</v>
      </c>
      <c r="W388" s="12" t="n">
        <v>0.489</v>
      </c>
      <c r="X388" s="3" t="n">
        <v>0.8485</v>
      </c>
      <c r="Y388" s="3" t="n">
        <v>0.5932</v>
      </c>
      <c r="Z388" s="14" t="n">
        <f aca="false">Assumptions!$B$3*R388+Assumptions!$B$4*S388+IF(AA388=1,Assumptions!$B$11,Assumptions!$B$5)*X388+IF(AA388=1,Assumptions!$B$12,Assumptions!$B$6)*T388+Assumptions!$B$7*U388+Assumptions!$B$8*V388+Assumptions!$B$9*Y388</f>
        <v>0.578712</v>
      </c>
      <c r="AA388" s="3" t="n">
        <v>0</v>
      </c>
    </row>
    <row r="389" customFormat="false" ht="15" hidden="false" customHeight="false" outlineLevel="0" collapsed="false">
      <c r="A389" s="3" t="s">
        <v>574</v>
      </c>
      <c r="B389" s="3" t="n">
        <v>580</v>
      </c>
      <c r="C389" s="11" t="str">
        <f aca="false">IF(M389&gt;=Assumptions!$B$17,"S+",IF(M389&gt;=Assumptions!$B$18,"S",IF(M389&gt;=Assumptions!$B$19,"A",IF(M389&gt;=Assumptions!$B$20,"B",IF(M389&gt;=Assumptions!$B$21,"C",IF(M389&gt;=Assumptions!$B$22,"D","F"))))))</f>
        <v>C</v>
      </c>
      <c r="D389" s="3" t="s">
        <v>253</v>
      </c>
      <c r="E389" s="3" t="n">
        <v>13</v>
      </c>
      <c r="F389" s="12" t="n">
        <v>0.6968</v>
      </c>
      <c r="G389" s="12" t="n">
        <v>0.4</v>
      </c>
      <c r="H389" s="12" t="n">
        <v>0.75</v>
      </c>
      <c r="I389" s="12" t="n">
        <v>0.565</v>
      </c>
      <c r="J389" s="12" t="n">
        <v>0.3935</v>
      </c>
      <c r="K389" s="12" t="n">
        <v>0.6178</v>
      </c>
      <c r="L389" s="3" t="n">
        <v>4</v>
      </c>
      <c r="M389" s="12" t="n">
        <f aca="false">Z389-W389</f>
        <v>0.0898350000000001</v>
      </c>
      <c r="N389" s="12" t="n">
        <f aca="false">IFERROR((Z389-J389)/L389,"")</f>
        <v>0.05608375</v>
      </c>
      <c r="O389" s="3" t="n">
        <v>7</v>
      </c>
      <c r="P389" s="13" t="b">
        <f aca="false">FALSE()</f>
        <v>0</v>
      </c>
      <c r="Q389" s="3" t="s">
        <v>166</v>
      </c>
      <c r="R389" s="12" t="n">
        <v>0.9377</v>
      </c>
      <c r="S389" s="12" t="n">
        <v>0.5656</v>
      </c>
      <c r="T389" s="3" t="n">
        <v>0.2262</v>
      </c>
      <c r="U389" s="12" t="n">
        <v>0.2308</v>
      </c>
      <c r="V389" s="12" t="n">
        <v>0.4923</v>
      </c>
      <c r="W389" s="12" t="n">
        <v>0.528</v>
      </c>
      <c r="X389" s="3" t="n">
        <v>0.8016</v>
      </c>
      <c r="Y389" s="3" t="n">
        <v>0.5656</v>
      </c>
      <c r="Z389" s="14" t="n">
        <f aca="false">Assumptions!$B$3*R389+Assumptions!$B$4*S389+IF(AA389=1,Assumptions!$B$11,Assumptions!$B$5)*X389+IF(AA389=1,Assumptions!$B$12,Assumptions!$B$6)*T389+Assumptions!$B$7*U389+Assumptions!$B$8*V389+Assumptions!$B$9*Y389</f>
        <v>0.617835</v>
      </c>
      <c r="AA389" s="3" t="n">
        <v>0</v>
      </c>
    </row>
    <row r="390" customFormat="false" ht="15" hidden="false" customHeight="false" outlineLevel="0" collapsed="false">
      <c r="A390" s="3" t="s">
        <v>575</v>
      </c>
      <c r="B390" s="3" t="n">
        <v>370</v>
      </c>
      <c r="C390" s="11" t="str">
        <f aca="false">IF(M390&gt;=Assumptions!$B$17,"S+",IF(M390&gt;=Assumptions!$B$18,"S",IF(M390&gt;=Assumptions!$B$19,"A",IF(M390&gt;=Assumptions!$B$20,"B",IF(M390&gt;=Assumptions!$B$21,"C",IF(M390&gt;=Assumptions!$B$22,"D","F"))))))</f>
        <v>C</v>
      </c>
      <c r="D390" s="3" t="s">
        <v>169</v>
      </c>
      <c r="E390" s="3" t="n">
        <v>1</v>
      </c>
      <c r="F390" s="12" t="n">
        <v>0.6523</v>
      </c>
      <c r="G390" s="12" t="n">
        <v>0.6</v>
      </c>
      <c r="H390" s="12" t="n">
        <v>0.5317</v>
      </c>
      <c r="I390" s="12" t="n">
        <v>0.5968</v>
      </c>
      <c r="J390" s="12" t="n">
        <v>0.2836</v>
      </c>
      <c r="K390" s="12" t="n">
        <v>0.5206</v>
      </c>
      <c r="L390" s="3" t="n">
        <v>5.79</v>
      </c>
      <c r="M390" s="12" t="n">
        <f aca="false">Z390-W390</f>
        <v>0.089251</v>
      </c>
      <c r="N390" s="12" t="n">
        <f aca="false">IFERROR((Z390-J390)/L390,"")</f>
        <v>0.0409414507772021</v>
      </c>
      <c r="O390" s="3" t="n">
        <v>19</v>
      </c>
      <c r="P390" s="13" t="b">
        <f aca="false">FALSE()</f>
        <v>0</v>
      </c>
      <c r="Q390" s="3" t="s">
        <v>166</v>
      </c>
      <c r="R390" s="12" t="n">
        <v>0.5744</v>
      </c>
      <c r="S390" s="12" t="n">
        <v>0.6066</v>
      </c>
      <c r="T390" s="3" t="n">
        <v>0.1814</v>
      </c>
      <c r="U390" s="12" t="n">
        <v>0.4494</v>
      </c>
      <c r="V390" s="12" t="n">
        <v>0.4953</v>
      </c>
      <c r="W390" s="12" t="n">
        <v>0.4314</v>
      </c>
      <c r="X390" s="3" t="n">
        <v>0.4892</v>
      </c>
      <c r="Y390" s="3" t="n">
        <v>0.5623</v>
      </c>
      <c r="Z390" s="14" t="n">
        <f aca="false">Assumptions!$B$3*R390+Assumptions!$B$4*S390+IF(AA390=1,Assumptions!$B$11,Assumptions!$B$5)*X390+IF(AA390=1,Assumptions!$B$12,Assumptions!$B$6)*T390+Assumptions!$B$7*U390+Assumptions!$B$8*V390+Assumptions!$B$9*Y390</f>
        <v>0.520651</v>
      </c>
      <c r="AA390" s="3" t="n">
        <v>1</v>
      </c>
    </row>
    <row r="391" customFormat="false" ht="15" hidden="false" customHeight="false" outlineLevel="0" collapsed="false">
      <c r="A391" s="3" t="s">
        <v>576</v>
      </c>
      <c r="B391" s="3" t="n">
        <v>615</v>
      </c>
      <c r="C391" s="11" t="str">
        <f aca="false">IF(M391&gt;=Assumptions!$B$17,"S+",IF(M391&gt;=Assumptions!$B$18,"S",IF(M391&gt;=Assumptions!$B$19,"A",IF(M391&gt;=Assumptions!$B$20,"B",IF(M391&gt;=Assumptions!$B$21,"C",IF(M391&gt;=Assumptions!$B$22,"D","F"))))))</f>
        <v>C</v>
      </c>
      <c r="D391" s="3" t="s">
        <v>218</v>
      </c>
      <c r="E391" s="3" t="n">
        <v>7</v>
      </c>
      <c r="F391" s="12" t="n">
        <v>0.9522</v>
      </c>
      <c r="G391" s="12" t="n">
        <v>0.4</v>
      </c>
      <c r="H391" s="12" t="n">
        <v>0.75</v>
      </c>
      <c r="I391" s="12" t="n">
        <v>0.6467</v>
      </c>
      <c r="J391" s="12" t="n">
        <v>0.3909</v>
      </c>
      <c r="K391" s="12" t="n">
        <v>0.5901</v>
      </c>
      <c r="L391" s="3" t="n">
        <v>4</v>
      </c>
      <c r="M391" s="12" t="n">
        <f aca="false">Z391-W391</f>
        <v>0.0891520000000001</v>
      </c>
      <c r="N391" s="12" t="n">
        <f aca="false">IFERROR((Z391-J391)/L391,"")</f>
        <v>0.049788</v>
      </c>
      <c r="O391" s="3" t="n">
        <v>13</v>
      </c>
      <c r="P391" s="13" t="b">
        <f aca="false">FALSE()</f>
        <v>0</v>
      </c>
      <c r="Q391" s="3" t="s">
        <v>166</v>
      </c>
      <c r="R391" s="12" t="n">
        <v>0.8113</v>
      </c>
      <c r="S391" s="12" t="n">
        <v>0.7337</v>
      </c>
      <c r="T391" s="3" t="n">
        <v>0.2568</v>
      </c>
      <c r="U391" s="12" t="n">
        <v>0.2604</v>
      </c>
      <c r="V391" s="12" t="n">
        <v>0.4455</v>
      </c>
      <c r="W391" s="12" t="n">
        <v>0.5009</v>
      </c>
      <c r="X391" s="3" t="n">
        <v>0.6183</v>
      </c>
      <c r="Y391" s="3" t="n">
        <v>0.6427</v>
      </c>
      <c r="Z391" s="14" t="n">
        <f aca="false">Assumptions!$B$3*R391+Assumptions!$B$4*S391+IF(AA391=1,Assumptions!$B$11,Assumptions!$B$5)*X391+IF(AA391=1,Assumptions!$B$12,Assumptions!$B$6)*T391+Assumptions!$B$7*U391+Assumptions!$B$8*V391+Assumptions!$B$9*Y391</f>
        <v>0.590052</v>
      </c>
      <c r="AA391" s="3" t="n">
        <v>0</v>
      </c>
    </row>
    <row r="392" customFormat="false" ht="15" hidden="false" customHeight="false" outlineLevel="0" collapsed="false">
      <c r="A392" s="3" t="s">
        <v>577</v>
      </c>
      <c r="B392" s="3" t="n">
        <v>530</v>
      </c>
      <c r="C392" s="11" t="str">
        <f aca="false">IF(M392&gt;=Assumptions!$B$17,"S+",IF(M392&gt;=Assumptions!$B$18,"S",IF(M392&gt;=Assumptions!$B$19,"A",IF(M392&gt;=Assumptions!$B$20,"B",IF(M392&gt;=Assumptions!$B$21,"C",IF(M392&gt;=Assumptions!$B$22,"D","F"))))))</f>
        <v>C</v>
      </c>
      <c r="D392" s="3" t="s">
        <v>197</v>
      </c>
      <c r="E392" s="3" t="n">
        <v>7</v>
      </c>
      <c r="F392" s="12" t="n">
        <v>0.8867</v>
      </c>
      <c r="G392" s="12" t="n">
        <v>0.6</v>
      </c>
      <c r="H392" s="12" t="n">
        <v>0.75</v>
      </c>
      <c r="I392" s="12" t="n">
        <v>0.7389</v>
      </c>
      <c r="J392" s="12" t="n">
        <v>0.3825</v>
      </c>
      <c r="K392" s="12" t="n">
        <v>0.5756</v>
      </c>
      <c r="L392" s="3" t="n">
        <v>4</v>
      </c>
      <c r="M392" s="12" t="n">
        <f aca="false">Z392-W392</f>
        <v>0.0890710000000001</v>
      </c>
      <c r="N392" s="12" t="n">
        <f aca="false">IFERROR((Z392-J392)/L392,"")</f>
        <v>0.04826775</v>
      </c>
      <c r="O392" s="3" t="n">
        <v>13</v>
      </c>
      <c r="P392" s="13" t="b">
        <f aca="false">FALSE()</f>
        <v>0</v>
      </c>
      <c r="Q392" s="3" t="s">
        <v>166</v>
      </c>
      <c r="R392" s="12" t="n">
        <v>0.8534</v>
      </c>
      <c r="S392" s="12" t="n">
        <v>0.3015</v>
      </c>
      <c r="T392" s="3" t="n">
        <v>0.682</v>
      </c>
      <c r="U392" s="12" t="n">
        <v>0.503</v>
      </c>
      <c r="V392" s="12" t="n">
        <v>0.4708</v>
      </c>
      <c r="W392" s="12" t="n">
        <v>0.4865</v>
      </c>
      <c r="X392" s="3" t="n">
        <v>0.3159</v>
      </c>
      <c r="Y392" s="3" t="n">
        <v>0.7399</v>
      </c>
      <c r="Z392" s="14" t="n">
        <f aca="false">Assumptions!$B$3*R392+Assumptions!$B$4*S392+IF(AA392=1,Assumptions!$B$11,Assumptions!$B$5)*X392+IF(AA392=1,Assumptions!$B$12,Assumptions!$B$6)*T392+Assumptions!$B$7*U392+Assumptions!$B$8*V392+Assumptions!$B$9*Y392</f>
        <v>0.575571</v>
      </c>
      <c r="AA392" s="3" t="n">
        <v>0</v>
      </c>
    </row>
    <row r="393" customFormat="false" ht="15" hidden="false" customHeight="false" outlineLevel="0" collapsed="false">
      <c r="A393" s="3" t="s">
        <v>578</v>
      </c>
      <c r="B393" s="3" t="n">
        <v>340</v>
      </c>
      <c r="C393" s="11" t="str">
        <f aca="false">IF(M393&gt;=Assumptions!$B$17,"S+",IF(M393&gt;=Assumptions!$B$18,"S",IF(M393&gt;=Assumptions!$B$19,"A",IF(M393&gt;=Assumptions!$B$20,"B",IF(M393&gt;=Assumptions!$B$21,"C",IF(M393&gt;=Assumptions!$B$22,"D","F"))))))</f>
        <v>C</v>
      </c>
      <c r="D393" s="3" t="s">
        <v>169</v>
      </c>
      <c r="E393" s="3" t="n">
        <v>1</v>
      </c>
      <c r="F393" s="12" t="n">
        <v>0.1819</v>
      </c>
      <c r="G393" s="12" t="n">
        <v>1</v>
      </c>
      <c r="H393" s="12" t="n">
        <v>0.5476</v>
      </c>
      <c r="I393" s="12" t="n">
        <v>0.7459</v>
      </c>
      <c r="J393" s="12" t="n">
        <v>0.3263</v>
      </c>
      <c r="K393" s="12" t="n">
        <v>0.5248</v>
      </c>
      <c r="L393" s="3" t="n">
        <v>4.66</v>
      </c>
      <c r="M393" s="12" t="n">
        <f aca="false">Z393-W393</f>
        <v>0.0887339999999999</v>
      </c>
      <c r="N393" s="12" t="n">
        <f aca="false">IFERROR((Z393-J393)/L393,"")</f>
        <v>0.0426038626609442</v>
      </c>
      <c r="O393" s="3" t="n">
        <v>19</v>
      </c>
      <c r="P393" s="13" t="b">
        <f aca="false">FALSE()</f>
        <v>0</v>
      </c>
      <c r="Q393" s="3" t="s">
        <v>166</v>
      </c>
      <c r="R393" s="12" t="n">
        <v>0.6218</v>
      </c>
      <c r="S393" s="12" t="n">
        <v>0.4299</v>
      </c>
      <c r="T393" s="3" t="n">
        <v>0.3061</v>
      </c>
      <c r="U393" s="12" t="n">
        <v>0.4373</v>
      </c>
      <c r="V393" s="12" t="n">
        <v>0.4905</v>
      </c>
      <c r="W393" s="12" t="n">
        <v>0.4361</v>
      </c>
      <c r="X393" s="3" t="n">
        <v>0.5003</v>
      </c>
      <c r="Y393" s="3" t="n">
        <v>0.6868</v>
      </c>
      <c r="Z393" s="14" t="n">
        <f aca="false">Assumptions!$B$3*R393+Assumptions!$B$4*S393+IF(AA393=1,Assumptions!$B$11,Assumptions!$B$5)*X393+IF(AA393=1,Assumptions!$B$12,Assumptions!$B$6)*T393+Assumptions!$B$7*U393+Assumptions!$B$8*V393+Assumptions!$B$9*Y393</f>
        <v>0.524834</v>
      </c>
      <c r="AA393" s="3" t="n">
        <v>1</v>
      </c>
    </row>
    <row r="394" customFormat="false" ht="15" hidden="false" customHeight="false" outlineLevel="0" collapsed="false">
      <c r="A394" s="3" t="s">
        <v>579</v>
      </c>
      <c r="B394" s="3" t="n">
        <v>514</v>
      </c>
      <c r="C394" s="11" t="str">
        <f aca="false">IF(M394&gt;=Assumptions!$B$17,"S+",IF(M394&gt;=Assumptions!$B$18,"S",IF(M394&gt;=Assumptions!$B$19,"A",IF(M394&gt;=Assumptions!$B$20,"B",IF(M394&gt;=Assumptions!$B$21,"C",IF(M394&gt;=Assumptions!$B$22,"D","F"))))))</f>
        <v>C</v>
      </c>
      <c r="D394" s="3" t="s">
        <v>218</v>
      </c>
      <c r="E394" s="3" t="n">
        <v>6</v>
      </c>
      <c r="F394" s="12" t="n">
        <v>0.9002</v>
      </c>
      <c r="G394" s="12" t="n">
        <v>0.6</v>
      </c>
      <c r="H394" s="12" t="n">
        <v>0.75</v>
      </c>
      <c r="I394" s="12" t="n">
        <v>0.726</v>
      </c>
      <c r="J394" s="12" t="n">
        <v>0.4136</v>
      </c>
      <c r="K394" s="12" t="n">
        <v>0.5979</v>
      </c>
      <c r="L394" s="3" t="n">
        <v>4</v>
      </c>
      <c r="M394" s="12" t="n">
        <f aca="false">Z394-W394</f>
        <v>0.0886640000000001</v>
      </c>
      <c r="N394" s="12" t="n">
        <f aca="false">IFERROR((Z394-J394)/L394,"")</f>
        <v>0.046066</v>
      </c>
      <c r="O394" s="3" t="n">
        <v>14</v>
      </c>
      <c r="P394" s="13" t="b">
        <f aca="false">FALSE()</f>
        <v>0</v>
      </c>
      <c r="Q394" s="3" t="s">
        <v>166</v>
      </c>
      <c r="R394" s="12" t="n">
        <v>0.8512</v>
      </c>
      <c r="S394" s="12" t="n">
        <v>0.6482</v>
      </c>
      <c r="T394" s="3" t="n">
        <v>0.1149</v>
      </c>
      <c r="U394" s="12" t="n">
        <v>0.4506</v>
      </c>
      <c r="V394" s="12" t="n">
        <v>0.5192</v>
      </c>
      <c r="W394" s="12" t="n">
        <v>0.5092</v>
      </c>
      <c r="X394" s="3" t="n">
        <v>0.5702</v>
      </c>
      <c r="Y394" s="3" t="n">
        <v>0.7213</v>
      </c>
      <c r="Z394" s="14" t="n">
        <f aca="false">Assumptions!$B$3*R394+Assumptions!$B$4*S394+IF(AA394=1,Assumptions!$B$11,Assumptions!$B$5)*X394+IF(AA394=1,Assumptions!$B$12,Assumptions!$B$6)*T394+Assumptions!$B$7*U394+Assumptions!$B$8*V394+Assumptions!$B$9*Y394</f>
        <v>0.597864</v>
      </c>
      <c r="AA394" s="3" t="n">
        <v>0</v>
      </c>
    </row>
    <row r="395" customFormat="false" ht="15" hidden="false" customHeight="false" outlineLevel="0" collapsed="false">
      <c r="A395" s="3" t="s">
        <v>580</v>
      </c>
      <c r="B395" s="3" t="n">
        <v>460</v>
      </c>
      <c r="C395" s="11" t="str">
        <f aca="false">IF(M395&gt;=Assumptions!$B$17,"S+",IF(M395&gt;=Assumptions!$B$18,"S",IF(M395&gt;=Assumptions!$B$19,"A",IF(M395&gt;=Assumptions!$B$20,"B",IF(M395&gt;=Assumptions!$B$21,"C",IF(M395&gt;=Assumptions!$B$22,"D","F"))))))</f>
        <v>C</v>
      </c>
      <c r="D395" s="3" t="s">
        <v>190</v>
      </c>
      <c r="E395" s="3" t="n">
        <v>3</v>
      </c>
      <c r="F395" s="12" t="n">
        <v>0.6939</v>
      </c>
      <c r="G395" s="12" t="n">
        <v>0.8</v>
      </c>
      <c r="H395" s="12" t="n">
        <v>0.75</v>
      </c>
      <c r="I395" s="12" t="n">
        <v>0.7497</v>
      </c>
      <c r="J395" s="12" t="n">
        <v>0.397</v>
      </c>
      <c r="K395" s="12" t="n">
        <v>0.5697</v>
      </c>
      <c r="L395" s="3" t="n">
        <v>4.82</v>
      </c>
      <c r="M395" s="12" t="n">
        <f aca="false">Z395-W395</f>
        <v>0.088386</v>
      </c>
      <c r="N395" s="12" t="n">
        <f aca="false">IFERROR((Z395-J395)/L395,"")</f>
        <v>0.0358269709543568</v>
      </c>
      <c r="O395" s="3" t="n">
        <v>17</v>
      </c>
      <c r="P395" s="13" t="b">
        <f aca="false">FALSE()</f>
        <v>0</v>
      </c>
      <c r="Q395" s="3" t="s">
        <v>166</v>
      </c>
      <c r="R395" s="12" t="n">
        <v>0.8022</v>
      </c>
      <c r="S395" s="12" t="n">
        <v>0.5935</v>
      </c>
      <c r="T395" s="3" t="n">
        <v>0.3146</v>
      </c>
      <c r="U395" s="12" t="n">
        <v>0.4117</v>
      </c>
      <c r="V395" s="12" t="n">
        <v>0.4739</v>
      </c>
      <c r="W395" s="12" t="n">
        <v>0.4813</v>
      </c>
      <c r="X395" s="3" t="n">
        <v>0.4483</v>
      </c>
      <c r="Y395" s="3" t="n">
        <v>0.6931</v>
      </c>
      <c r="Z395" s="14" t="n">
        <f aca="false">Assumptions!$B$3*R395+Assumptions!$B$4*S395+IF(AA395=1,Assumptions!$B$11,Assumptions!$B$5)*X395+IF(AA395=1,Assumptions!$B$12,Assumptions!$B$6)*T395+Assumptions!$B$7*U395+Assumptions!$B$8*V395+Assumptions!$B$9*Y395</f>
        <v>0.569686</v>
      </c>
      <c r="AA395" s="3" t="n">
        <v>0</v>
      </c>
    </row>
    <row r="396" customFormat="false" ht="15" hidden="false" customHeight="false" outlineLevel="0" collapsed="false">
      <c r="A396" s="3" t="s">
        <v>581</v>
      </c>
      <c r="B396" s="3" t="n">
        <v>485</v>
      </c>
      <c r="C396" s="11" t="str">
        <f aca="false">IF(M396&gt;=Assumptions!$B$17,"S+",IF(M396&gt;=Assumptions!$B$18,"S",IF(M396&gt;=Assumptions!$B$19,"A",IF(M396&gt;=Assumptions!$B$20,"B",IF(M396&gt;=Assumptions!$B$21,"C",IF(M396&gt;=Assumptions!$B$22,"D","F"))))))</f>
        <v>C</v>
      </c>
      <c r="D396" s="3" t="s">
        <v>165</v>
      </c>
      <c r="E396" s="3" t="n">
        <v>1</v>
      </c>
      <c r="F396" s="12" t="n">
        <v>0.7106</v>
      </c>
      <c r="G396" s="12" t="n">
        <v>0.76</v>
      </c>
      <c r="H396" s="12" t="n">
        <v>0.5774</v>
      </c>
      <c r="I396" s="12" t="n">
        <v>0.7005</v>
      </c>
      <c r="J396" s="12" t="n">
        <v>0.3727</v>
      </c>
      <c r="K396" s="12" t="n">
        <v>0.5346</v>
      </c>
      <c r="L396" s="3" t="n">
        <v>6.55</v>
      </c>
      <c r="M396" s="12" t="n">
        <f aca="false">Z396-W396</f>
        <v>0.088109</v>
      </c>
      <c r="N396" s="12" t="n">
        <f aca="false">IFERROR((Z396-J396)/L396,"")</f>
        <v>0.0247189312977099</v>
      </c>
      <c r="O396" s="3" t="n">
        <v>19</v>
      </c>
      <c r="P396" s="13" t="b">
        <f aca="false">FALSE()</f>
        <v>0</v>
      </c>
      <c r="Q396" s="3" t="s">
        <v>166</v>
      </c>
      <c r="R396" s="12" t="n">
        <v>0.6223</v>
      </c>
      <c r="S396" s="12" t="n">
        <v>0.7583</v>
      </c>
      <c r="T396" s="3" t="n">
        <v>0.1224</v>
      </c>
      <c r="U396" s="12" t="n">
        <v>0.417</v>
      </c>
      <c r="V396" s="12" t="n">
        <v>0.6048</v>
      </c>
      <c r="W396" s="12" t="n">
        <v>0.4465</v>
      </c>
      <c r="X396" s="3" t="n">
        <v>0.4245</v>
      </c>
      <c r="Y396" s="3" t="n">
        <v>0.6823</v>
      </c>
      <c r="Z396" s="14" t="n">
        <f aca="false">Assumptions!$B$3*R396+Assumptions!$B$4*S396+IF(AA396=1,Assumptions!$B$11,Assumptions!$B$5)*X396+IF(AA396=1,Assumptions!$B$12,Assumptions!$B$6)*T396+Assumptions!$B$7*U396+Assumptions!$B$8*V396+Assumptions!$B$9*Y396</f>
        <v>0.534609</v>
      </c>
      <c r="AA396" s="3" t="n">
        <v>0</v>
      </c>
    </row>
    <row r="397" customFormat="false" ht="15" hidden="false" customHeight="false" outlineLevel="0" collapsed="false">
      <c r="A397" s="3" t="s">
        <v>582</v>
      </c>
      <c r="B397" s="3" t="n">
        <v>535</v>
      </c>
      <c r="C397" s="11" t="str">
        <f aca="false">IF(M397&gt;=Assumptions!$B$17,"S+",IF(M397&gt;=Assumptions!$B$18,"S",IF(M397&gt;=Assumptions!$B$19,"A",IF(M397&gt;=Assumptions!$B$20,"B",IF(M397&gt;=Assumptions!$B$21,"C",IF(M397&gt;=Assumptions!$B$22,"D","F"))))))</f>
        <v>C</v>
      </c>
      <c r="D397" s="3" t="s">
        <v>197</v>
      </c>
      <c r="E397" s="3" t="n">
        <v>1</v>
      </c>
      <c r="F397" s="12" t="n">
        <v>0.4912</v>
      </c>
      <c r="G397" s="12" t="n">
        <v>1</v>
      </c>
      <c r="H397" s="12" t="n">
        <v>0.75</v>
      </c>
      <c r="I397" s="12" t="n">
        <v>0.7567</v>
      </c>
      <c r="J397" s="12" t="n">
        <v>0.39</v>
      </c>
      <c r="K397" s="12" t="n">
        <v>0.5871</v>
      </c>
      <c r="L397" s="3" t="n">
        <v>4.18</v>
      </c>
      <c r="M397" s="12" t="n">
        <f aca="false">Z397-W397</f>
        <v>0.087495</v>
      </c>
      <c r="N397" s="12" t="n">
        <f aca="false">IFERROR((Z397-J397)/L397,"")</f>
        <v>0.0471519138755981</v>
      </c>
      <c r="O397" s="3" t="n">
        <v>19</v>
      </c>
      <c r="P397" s="13" t="b">
        <f aca="false">FALSE()</f>
        <v>0</v>
      </c>
      <c r="Q397" s="3" t="s">
        <v>166</v>
      </c>
      <c r="R397" s="12" t="n">
        <v>0.7292</v>
      </c>
      <c r="S397" s="12" t="n">
        <v>0.6166</v>
      </c>
      <c r="T397" s="3" t="n">
        <v>0.1867</v>
      </c>
      <c r="U397" s="12" t="n">
        <v>0.5425</v>
      </c>
      <c r="V397" s="12" t="n">
        <v>0.4497</v>
      </c>
      <c r="W397" s="12" t="n">
        <v>0.4996</v>
      </c>
      <c r="X397" s="3" t="n">
        <v>0.6762</v>
      </c>
      <c r="Y397" s="3" t="n">
        <v>0.707</v>
      </c>
      <c r="Z397" s="14" t="n">
        <f aca="false">Assumptions!$B$3*R397+Assumptions!$B$4*S397+IF(AA397=1,Assumptions!$B$11,Assumptions!$B$5)*X397+IF(AA397=1,Assumptions!$B$12,Assumptions!$B$6)*T397+Assumptions!$B$7*U397+Assumptions!$B$8*V397+Assumptions!$B$9*Y397</f>
        <v>0.587095</v>
      </c>
      <c r="AA397" s="3" t="n">
        <v>0</v>
      </c>
    </row>
    <row r="398" customFormat="false" ht="15" hidden="false" customHeight="false" outlineLevel="0" collapsed="false">
      <c r="A398" s="3" t="s">
        <v>583</v>
      </c>
      <c r="B398" s="3" t="n">
        <v>495</v>
      </c>
      <c r="C398" s="11" t="str">
        <f aca="false">IF(M398&gt;=Assumptions!$B$17,"S+",IF(M398&gt;=Assumptions!$B$18,"S",IF(M398&gt;=Assumptions!$B$19,"A",IF(M398&gt;=Assumptions!$B$20,"B",IF(M398&gt;=Assumptions!$B$21,"C",IF(M398&gt;=Assumptions!$B$22,"D","F"))))))</f>
        <v>C</v>
      </c>
      <c r="D398" s="3" t="s">
        <v>190</v>
      </c>
      <c r="E398" s="3" t="n">
        <v>4</v>
      </c>
      <c r="F398" s="12" t="n">
        <v>0.5588</v>
      </c>
      <c r="G398" s="12" t="n">
        <v>1</v>
      </c>
      <c r="H398" s="12" t="n">
        <v>0.75</v>
      </c>
      <c r="I398" s="12" t="n">
        <v>0.7823</v>
      </c>
      <c r="J398" s="12" t="n">
        <v>0.3734</v>
      </c>
      <c r="K398" s="12" t="n">
        <v>0.5788</v>
      </c>
      <c r="L398" s="3" t="n">
        <v>4.88</v>
      </c>
      <c r="M398" s="12" t="n">
        <f aca="false">Z398-W398</f>
        <v>0.087427</v>
      </c>
      <c r="N398" s="12" t="n">
        <f aca="false">IFERROR((Z398-J398)/L398,"")</f>
        <v>0.0420956967213115</v>
      </c>
      <c r="O398" s="3" t="n">
        <v>16</v>
      </c>
      <c r="P398" s="13" t="b">
        <f aca="false">FALSE()</f>
        <v>0</v>
      </c>
      <c r="Q398" s="3" t="s">
        <v>166</v>
      </c>
      <c r="R398" s="12" t="n">
        <v>0.79</v>
      </c>
      <c r="S398" s="12" t="n">
        <v>0.6712</v>
      </c>
      <c r="T398" s="3" t="n">
        <v>0.1242</v>
      </c>
      <c r="U398" s="12" t="n">
        <v>0.4567</v>
      </c>
      <c r="V398" s="12" t="n">
        <v>0.4449</v>
      </c>
      <c r="W398" s="12" t="n">
        <v>0.4914</v>
      </c>
      <c r="X398" s="3" t="n">
        <v>0.5549</v>
      </c>
      <c r="Y398" s="3" t="n">
        <v>0.7445</v>
      </c>
      <c r="Z398" s="14" t="n">
        <f aca="false">Assumptions!$B$3*R398+Assumptions!$B$4*S398+IF(AA398=1,Assumptions!$B$11,Assumptions!$B$5)*X398+IF(AA398=1,Assumptions!$B$12,Assumptions!$B$6)*T398+Assumptions!$B$7*U398+Assumptions!$B$8*V398+Assumptions!$B$9*Y398</f>
        <v>0.578827</v>
      </c>
      <c r="AA398" s="3" t="n">
        <v>0</v>
      </c>
    </row>
    <row r="399" customFormat="false" ht="15" hidden="false" customHeight="false" outlineLevel="0" collapsed="false">
      <c r="A399" s="3" t="s">
        <v>584</v>
      </c>
      <c r="B399" s="3" t="n">
        <v>430</v>
      </c>
      <c r="C399" s="11" t="str">
        <f aca="false">IF(M399&gt;=Assumptions!$B$17,"S+",IF(M399&gt;=Assumptions!$B$18,"S",IF(M399&gt;=Assumptions!$B$19,"A",IF(M399&gt;=Assumptions!$B$20,"B",IF(M399&gt;=Assumptions!$B$21,"C",IF(M399&gt;=Assumptions!$B$22,"D","F"))))))</f>
        <v>C</v>
      </c>
      <c r="D399" s="3" t="s">
        <v>183</v>
      </c>
      <c r="E399" s="3" t="n">
        <v>2</v>
      </c>
      <c r="F399" s="12" t="n">
        <v>0.9908</v>
      </c>
      <c r="G399" s="12" t="n">
        <v>0.76</v>
      </c>
      <c r="H399" s="12" t="n">
        <v>0.4435</v>
      </c>
      <c r="I399" s="12" t="n">
        <v>0.7455</v>
      </c>
      <c r="J399" s="12" t="n">
        <v>0.3795</v>
      </c>
      <c r="K399" s="12" t="n">
        <v>0.5782</v>
      </c>
      <c r="L399" s="3" t="n">
        <v>4.72</v>
      </c>
      <c r="M399" s="12" t="n">
        <f aca="false">Z399-W399</f>
        <v>0.0874060000000001</v>
      </c>
      <c r="N399" s="12" t="n">
        <f aca="false">IFERROR((Z399-J399)/L399,"")</f>
        <v>0.0420987288135594</v>
      </c>
      <c r="O399" s="3" t="n">
        <v>18</v>
      </c>
      <c r="P399" s="13" t="b">
        <f aca="false">FALSE()</f>
        <v>0</v>
      </c>
      <c r="Q399" s="3" t="s">
        <v>166</v>
      </c>
      <c r="R399" s="12" t="n">
        <v>0.6647</v>
      </c>
      <c r="S399" s="12" t="n">
        <v>0.7143</v>
      </c>
      <c r="T399" s="3" t="n">
        <v>0.0296</v>
      </c>
      <c r="U399" s="12" t="n">
        <v>0.3376</v>
      </c>
      <c r="V399" s="12" t="n">
        <v>0.4925</v>
      </c>
      <c r="W399" s="12" t="n">
        <v>0.4908</v>
      </c>
      <c r="X399" s="3" t="n">
        <v>0.5845</v>
      </c>
      <c r="Y399" s="3" t="n">
        <v>0.6884</v>
      </c>
      <c r="Z399" s="14" t="n">
        <f aca="false">Assumptions!$B$3*R399+Assumptions!$B$4*S399+IF(AA399=1,Assumptions!$B$11,Assumptions!$B$5)*X399+IF(AA399=1,Assumptions!$B$12,Assumptions!$B$6)*T399+Assumptions!$B$7*U399+Assumptions!$B$8*V399+Assumptions!$B$9*Y399</f>
        <v>0.578206</v>
      </c>
      <c r="AA399" s="3" t="n">
        <v>1</v>
      </c>
    </row>
    <row r="400" customFormat="false" ht="15" hidden="false" customHeight="false" outlineLevel="0" collapsed="false">
      <c r="A400" s="3" t="s">
        <v>585</v>
      </c>
      <c r="B400" s="3" t="n">
        <v>425</v>
      </c>
      <c r="C400" s="11" t="str">
        <f aca="false">IF(M400&gt;=Assumptions!$B$17,"S+",IF(M400&gt;=Assumptions!$B$18,"S",IF(M400&gt;=Assumptions!$B$19,"A",IF(M400&gt;=Assumptions!$B$20,"B",IF(M400&gt;=Assumptions!$B$21,"C",IF(M400&gt;=Assumptions!$B$22,"D","F"))))))</f>
        <v>C</v>
      </c>
      <c r="D400" s="3" t="s">
        <v>175</v>
      </c>
      <c r="E400" s="3" t="n">
        <v>4</v>
      </c>
      <c r="F400" s="12" t="n">
        <v>0.8559</v>
      </c>
      <c r="G400" s="12" t="n">
        <v>0.45</v>
      </c>
      <c r="H400" s="12" t="n">
        <v>0.75</v>
      </c>
      <c r="I400" s="12" t="n">
        <v>0.5709</v>
      </c>
      <c r="J400" s="12" t="n">
        <v>0.299</v>
      </c>
      <c r="K400" s="12" t="n">
        <v>0.5054</v>
      </c>
      <c r="L400" s="3" t="n">
        <v>3.88</v>
      </c>
      <c r="M400" s="12" t="n">
        <f aca="false">Z400-W400</f>
        <v>0.0872769999999999</v>
      </c>
      <c r="N400" s="12" t="n">
        <f aca="false">IFERROR((Z400-J400)/L400,"")</f>
        <v>0.0531899484536082</v>
      </c>
      <c r="O400" s="3" t="n">
        <v>16</v>
      </c>
      <c r="P400" s="13" t="b">
        <f aca="false">FALSE()</f>
        <v>0</v>
      </c>
      <c r="Q400" s="3" t="s">
        <v>166</v>
      </c>
      <c r="R400" s="12" t="n">
        <v>0.7599</v>
      </c>
      <c r="S400" s="12" t="n">
        <v>0.5953</v>
      </c>
      <c r="T400" s="3" t="n">
        <v>0.138</v>
      </c>
      <c r="U400" s="12" t="n">
        <v>0.3029</v>
      </c>
      <c r="V400" s="12" t="n">
        <v>0.4684</v>
      </c>
      <c r="W400" s="12" t="n">
        <v>0.4181</v>
      </c>
      <c r="X400" s="3" t="n">
        <v>0.4134</v>
      </c>
      <c r="Y400" s="3" t="n">
        <v>0.5399</v>
      </c>
      <c r="Z400" s="14" t="n">
        <f aca="false">Assumptions!$B$3*R400+Assumptions!$B$4*S400+IF(AA400=1,Assumptions!$B$11,Assumptions!$B$5)*X400+IF(AA400=1,Assumptions!$B$12,Assumptions!$B$6)*T400+Assumptions!$B$7*U400+Assumptions!$B$8*V400+Assumptions!$B$9*Y400</f>
        <v>0.505377</v>
      </c>
      <c r="AA400" s="3" t="n">
        <v>0</v>
      </c>
    </row>
    <row r="401" customFormat="false" ht="15" hidden="false" customHeight="false" outlineLevel="0" collapsed="false">
      <c r="A401" s="3" t="s">
        <v>586</v>
      </c>
      <c r="B401" s="3" t="n">
        <v>510</v>
      </c>
      <c r="C401" s="11" t="str">
        <f aca="false">IF(M401&gt;=Assumptions!$B$17,"S+",IF(M401&gt;=Assumptions!$B$18,"S",IF(M401&gt;=Assumptions!$B$19,"A",IF(M401&gt;=Assumptions!$B$20,"B",IF(M401&gt;=Assumptions!$B$21,"C",IF(M401&gt;=Assumptions!$B$22,"D","F"))))))</f>
        <v>C</v>
      </c>
      <c r="D401" s="3" t="s">
        <v>190</v>
      </c>
      <c r="E401" s="3" t="n">
        <v>6</v>
      </c>
      <c r="F401" s="12" t="n">
        <v>0.5423</v>
      </c>
      <c r="G401" s="12" t="n">
        <v>1</v>
      </c>
      <c r="H401" s="12" t="n">
        <v>0.75</v>
      </c>
      <c r="I401" s="12" t="n">
        <v>0.7761</v>
      </c>
      <c r="J401" s="12" t="n">
        <v>0.3357</v>
      </c>
      <c r="K401" s="12" t="n">
        <v>0.5645</v>
      </c>
      <c r="L401" s="3" t="n">
        <v>5.57</v>
      </c>
      <c r="M401" s="12" t="n">
        <f aca="false">Z401-W401</f>
        <v>0.087192</v>
      </c>
      <c r="N401" s="12" t="n">
        <f aca="false">IFERROR((Z401-J401)/L401,"")</f>
        <v>0.041075763016158</v>
      </c>
      <c r="O401" s="3" t="n">
        <v>14</v>
      </c>
      <c r="P401" s="13" t="b">
        <f aca="false">FALSE()</f>
        <v>0</v>
      </c>
      <c r="Q401" s="3" t="s">
        <v>166</v>
      </c>
      <c r="R401" s="12" t="n">
        <v>0.8398</v>
      </c>
      <c r="S401" s="12" t="n">
        <v>0.5569</v>
      </c>
      <c r="T401" s="3" t="n">
        <v>0.176</v>
      </c>
      <c r="U401" s="12" t="n">
        <v>0.522</v>
      </c>
      <c r="V401" s="12" t="n">
        <v>0.4403</v>
      </c>
      <c r="W401" s="12" t="n">
        <v>0.4773</v>
      </c>
      <c r="X401" s="3" t="n">
        <v>0.3936</v>
      </c>
      <c r="Y401" s="3" t="n">
        <v>0.7788</v>
      </c>
      <c r="Z401" s="14" t="n">
        <f aca="false">Assumptions!$B$3*R401+Assumptions!$B$4*S401+IF(AA401=1,Assumptions!$B$11,Assumptions!$B$5)*X401+IF(AA401=1,Assumptions!$B$12,Assumptions!$B$6)*T401+Assumptions!$B$7*U401+Assumptions!$B$8*V401+Assumptions!$B$9*Y401</f>
        <v>0.564492</v>
      </c>
      <c r="AA401" s="3" t="n">
        <v>0</v>
      </c>
    </row>
    <row r="402" customFormat="false" ht="15" hidden="false" customHeight="false" outlineLevel="0" collapsed="false">
      <c r="A402" s="3" t="s">
        <v>587</v>
      </c>
      <c r="B402" s="3" t="n">
        <v>527</v>
      </c>
      <c r="C402" s="11" t="str">
        <f aca="false">IF(M402&gt;=Assumptions!$B$17,"S+",IF(M402&gt;=Assumptions!$B$18,"S",IF(M402&gt;=Assumptions!$B$19,"A",IF(M402&gt;=Assumptions!$B$20,"B",IF(M402&gt;=Assumptions!$B$21,"C",IF(M402&gt;=Assumptions!$B$22,"D","F"))))))</f>
        <v>C</v>
      </c>
      <c r="D402" s="3" t="s">
        <v>190</v>
      </c>
      <c r="E402" s="3" t="n">
        <v>4</v>
      </c>
      <c r="F402" s="12" t="n">
        <v>0.7274</v>
      </c>
      <c r="G402" s="12" t="n">
        <v>1</v>
      </c>
      <c r="H402" s="12" t="n">
        <v>0.75</v>
      </c>
      <c r="I402" s="12" t="n">
        <v>0.8464</v>
      </c>
      <c r="J402" s="12" t="n">
        <v>0.4189</v>
      </c>
      <c r="K402" s="12" t="n">
        <v>0.5785</v>
      </c>
      <c r="L402" s="3" t="n">
        <v>3.81</v>
      </c>
      <c r="M402" s="12" t="n">
        <f aca="false">Z402-W402</f>
        <v>0.0870260000000001</v>
      </c>
      <c r="N402" s="12" t="n">
        <f aca="false">IFERROR((Z402-J402)/L402,"")</f>
        <v>0.0418965879265092</v>
      </c>
      <c r="O402" s="3" t="n">
        <v>16</v>
      </c>
      <c r="P402" s="13" t="b">
        <f aca="false">FALSE()</f>
        <v>0</v>
      </c>
      <c r="Q402" s="3" t="s">
        <v>166</v>
      </c>
      <c r="R402" s="12" t="n">
        <v>0.8814</v>
      </c>
      <c r="S402" s="12" t="n">
        <v>0.6334</v>
      </c>
      <c r="T402" s="3" t="n">
        <v>0.2226</v>
      </c>
      <c r="U402" s="12" t="n">
        <v>0.3317</v>
      </c>
      <c r="V402" s="12" t="n">
        <v>0.4616</v>
      </c>
      <c r="W402" s="12" t="n">
        <v>0.4915</v>
      </c>
      <c r="X402" s="3" t="n">
        <v>0.4104</v>
      </c>
      <c r="Y402" s="3" t="n">
        <v>0.7803</v>
      </c>
      <c r="Z402" s="14" t="n">
        <f aca="false">Assumptions!$B$3*R402+Assumptions!$B$4*S402+IF(AA402=1,Assumptions!$B$11,Assumptions!$B$5)*X402+IF(AA402=1,Assumptions!$B$12,Assumptions!$B$6)*T402+Assumptions!$B$7*U402+Assumptions!$B$8*V402+Assumptions!$B$9*Y402</f>
        <v>0.578526</v>
      </c>
      <c r="AA402" s="3" t="n">
        <v>0</v>
      </c>
    </row>
    <row r="403" customFormat="false" ht="15" hidden="false" customHeight="false" outlineLevel="0" collapsed="false">
      <c r="A403" s="3" t="s">
        <v>588</v>
      </c>
      <c r="B403" s="3" t="n">
        <v>500</v>
      </c>
      <c r="C403" s="11" t="str">
        <f aca="false">IF(M403&gt;=Assumptions!$B$17,"S+",IF(M403&gt;=Assumptions!$B$18,"S",IF(M403&gt;=Assumptions!$B$19,"A",IF(M403&gt;=Assumptions!$B$20,"B",IF(M403&gt;=Assumptions!$B$21,"C",IF(M403&gt;=Assumptions!$B$22,"D","F"))))))</f>
        <v>C</v>
      </c>
      <c r="D403" s="3" t="s">
        <v>247</v>
      </c>
      <c r="E403" s="3" t="n">
        <v>4</v>
      </c>
      <c r="F403" s="12" t="n">
        <v>0.7742</v>
      </c>
      <c r="G403" s="12" t="n">
        <v>0.6</v>
      </c>
      <c r="H403" s="12" t="n">
        <v>0.75</v>
      </c>
      <c r="I403" s="12" t="n">
        <v>0.6857</v>
      </c>
      <c r="J403" s="12" t="n">
        <v>0.4052</v>
      </c>
      <c r="K403" s="12" t="n">
        <v>0.5438</v>
      </c>
      <c r="L403" s="3" t="n">
        <v>3.88</v>
      </c>
      <c r="M403" s="12" t="n">
        <f aca="false">Z403-W403</f>
        <v>0.086917</v>
      </c>
      <c r="N403" s="12" t="n">
        <f aca="false">IFERROR((Z403-J403)/L403,"")</f>
        <v>0.0357260309278351</v>
      </c>
      <c r="O403" s="3" t="n">
        <v>16</v>
      </c>
      <c r="P403" s="13" t="b">
        <f aca="false">FALSE()</f>
        <v>0</v>
      </c>
      <c r="Q403" s="3" t="s">
        <v>166</v>
      </c>
      <c r="R403" s="12" t="n">
        <v>0.8155</v>
      </c>
      <c r="S403" s="12" t="n">
        <v>0.6681</v>
      </c>
      <c r="T403" s="3" t="n">
        <v>0.0679</v>
      </c>
      <c r="U403" s="12" t="n">
        <v>0.3029</v>
      </c>
      <c r="V403" s="12" t="n">
        <v>0.4684</v>
      </c>
      <c r="W403" s="12" t="n">
        <v>0.4569</v>
      </c>
      <c r="X403" s="3" t="n">
        <v>0.4625</v>
      </c>
      <c r="Y403" s="3" t="n">
        <v>0.6761</v>
      </c>
      <c r="Z403" s="14" t="n">
        <f aca="false">Assumptions!$B$3*R403+Assumptions!$B$4*S403+IF(AA403=1,Assumptions!$B$11,Assumptions!$B$5)*X403+IF(AA403=1,Assumptions!$B$12,Assumptions!$B$6)*T403+Assumptions!$B$7*U403+Assumptions!$B$8*V403+Assumptions!$B$9*Y403</f>
        <v>0.543817</v>
      </c>
      <c r="AA403" s="3" t="n">
        <v>0</v>
      </c>
    </row>
    <row r="404" customFormat="false" ht="15" hidden="false" customHeight="false" outlineLevel="0" collapsed="false">
      <c r="A404" s="3" t="s">
        <v>589</v>
      </c>
      <c r="B404" s="3" t="n">
        <v>480</v>
      </c>
      <c r="C404" s="11" t="str">
        <f aca="false">IF(M404&gt;=Assumptions!$B$17,"S+",IF(M404&gt;=Assumptions!$B$18,"S",IF(M404&gt;=Assumptions!$B$19,"A",IF(M404&gt;=Assumptions!$B$20,"B",IF(M404&gt;=Assumptions!$B$21,"C",IF(M404&gt;=Assumptions!$B$22,"D","F"))))))</f>
        <v>C</v>
      </c>
      <c r="D404" s="3" t="s">
        <v>247</v>
      </c>
      <c r="E404" s="3" t="n">
        <v>7</v>
      </c>
      <c r="F404" s="12" t="n">
        <v>0.7917</v>
      </c>
      <c r="G404" s="12" t="n">
        <v>0.6</v>
      </c>
      <c r="H404" s="12" t="n">
        <v>0.75</v>
      </c>
      <c r="I404" s="12" t="n">
        <v>0.6913</v>
      </c>
      <c r="J404" s="12" t="n">
        <v>0.4173</v>
      </c>
      <c r="K404" s="12" t="n">
        <v>0.5359</v>
      </c>
      <c r="L404" s="3" t="n">
        <v>4</v>
      </c>
      <c r="M404" s="12" t="n">
        <f aca="false">Z404-W404</f>
        <v>0.086845</v>
      </c>
      <c r="N404" s="12" t="n">
        <f aca="false">IFERROR((Z404-J404)/L404,"")</f>
        <v>0.02966125</v>
      </c>
      <c r="O404" s="3" t="n">
        <v>13</v>
      </c>
      <c r="P404" s="13" t="b">
        <f aca="false">FALSE()</f>
        <v>0</v>
      </c>
      <c r="Q404" s="3" t="s">
        <v>166</v>
      </c>
      <c r="R404" s="12" t="n">
        <v>0.7255</v>
      </c>
      <c r="S404" s="12" t="n">
        <v>0.6016</v>
      </c>
      <c r="T404" s="3" t="n">
        <v>0.0682</v>
      </c>
      <c r="U404" s="12" t="n">
        <v>0.4201</v>
      </c>
      <c r="V404" s="12" t="n">
        <v>0.5095</v>
      </c>
      <c r="W404" s="12" t="n">
        <v>0.4491</v>
      </c>
      <c r="X404" s="3" t="n">
        <v>0.5096</v>
      </c>
      <c r="Y404" s="3" t="n">
        <v>0.693</v>
      </c>
      <c r="Z404" s="14" t="n">
        <f aca="false">Assumptions!$B$3*R404+Assumptions!$B$4*S404+IF(AA404=1,Assumptions!$B$11,Assumptions!$B$5)*X404+IF(AA404=1,Assumptions!$B$12,Assumptions!$B$6)*T404+Assumptions!$B$7*U404+Assumptions!$B$8*V404+Assumptions!$B$9*Y404</f>
        <v>0.535945</v>
      </c>
      <c r="AA404" s="3" t="n">
        <v>0</v>
      </c>
    </row>
    <row r="405" customFormat="false" ht="15" hidden="false" customHeight="false" outlineLevel="0" collapsed="false">
      <c r="A405" s="3" t="s">
        <v>590</v>
      </c>
      <c r="B405" s="3" t="n">
        <v>445</v>
      </c>
      <c r="C405" s="11" t="str">
        <f aca="false">IF(M405&gt;=Assumptions!$B$17,"S+",IF(M405&gt;=Assumptions!$B$18,"S",IF(M405&gt;=Assumptions!$B$19,"A",IF(M405&gt;=Assumptions!$B$20,"B",IF(M405&gt;=Assumptions!$B$21,"C",IF(M405&gt;=Assumptions!$B$22,"D","F"))))))</f>
        <v>C</v>
      </c>
      <c r="D405" s="3" t="s">
        <v>190</v>
      </c>
      <c r="E405" s="3" t="n">
        <v>3</v>
      </c>
      <c r="F405" s="12" t="n">
        <v>0.8687</v>
      </c>
      <c r="G405" s="12" t="n">
        <v>0.6</v>
      </c>
      <c r="H405" s="12" t="n">
        <v>0.75</v>
      </c>
      <c r="I405" s="12" t="n">
        <v>0.7321</v>
      </c>
      <c r="J405" s="12" t="n">
        <v>0.3367</v>
      </c>
      <c r="K405" s="12" t="n">
        <v>0.5689</v>
      </c>
      <c r="L405" s="3" t="n">
        <v>5.85</v>
      </c>
      <c r="M405" s="12" t="n">
        <f aca="false">Z405-W405</f>
        <v>0.0862410000000001</v>
      </c>
      <c r="N405" s="12" t="n">
        <f aca="false">IFERROR((Z405-J405)/L405,"")</f>
        <v>0.0396822222222222</v>
      </c>
      <c r="O405" s="3" t="n">
        <v>17</v>
      </c>
      <c r="P405" s="13" t="b">
        <f aca="false">FALSE()</f>
        <v>0</v>
      </c>
      <c r="Q405" s="3" t="s">
        <v>166</v>
      </c>
      <c r="R405" s="12" t="n">
        <v>0.7476</v>
      </c>
      <c r="S405" s="12" t="n">
        <v>0.3905</v>
      </c>
      <c r="T405" s="3" t="n">
        <v>0.4928</v>
      </c>
      <c r="U405" s="12" t="n">
        <v>0.5837</v>
      </c>
      <c r="V405" s="12" t="n">
        <v>0.4794</v>
      </c>
      <c r="W405" s="12" t="n">
        <v>0.4826</v>
      </c>
      <c r="X405" s="3" t="n">
        <v>0.47</v>
      </c>
      <c r="Y405" s="3" t="n">
        <v>0.7045</v>
      </c>
      <c r="Z405" s="14" t="n">
        <f aca="false">Assumptions!$B$3*R405+Assumptions!$B$4*S405+IF(AA405=1,Assumptions!$B$11,Assumptions!$B$5)*X405+IF(AA405=1,Assumptions!$B$12,Assumptions!$B$6)*T405+Assumptions!$B$7*U405+Assumptions!$B$8*V405+Assumptions!$B$9*Y405</f>
        <v>0.568841</v>
      </c>
      <c r="AA405" s="3" t="n">
        <v>0</v>
      </c>
    </row>
    <row r="406" customFormat="false" ht="15" hidden="false" customHeight="false" outlineLevel="0" collapsed="false">
      <c r="A406" s="3" t="s">
        <v>591</v>
      </c>
      <c r="B406" s="3" t="n">
        <v>385</v>
      </c>
      <c r="C406" s="11" t="str">
        <f aca="false">IF(M406&gt;=Assumptions!$B$17,"S+",IF(M406&gt;=Assumptions!$B$18,"S",IF(M406&gt;=Assumptions!$B$19,"A",IF(M406&gt;=Assumptions!$B$20,"B",IF(M406&gt;=Assumptions!$B$21,"C",IF(M406&gt;=Assumptions!$B$22,"D","F"))))))</f>
        <v>C</v>
      </c>
      <c r="D406" s="3" t="s">
        <v>175</v>
      </c>
      <c r="E406" s="3" t="n">
        <v>4</v>
      </c>
      <c r="F406" s="12" t="n">
        <v>0.7838</v>
      </c>
      <c r="G406" s="12" t="n">
        <v>0.45</v>
      </c>
      <c r="H406" s="12" t="n">
        <v>0.75</v>
      </c>
      <c r="I406" s="12" t="n">
        <v>0.5601</v>
      </c>
      <c r="J406" s="12" t="n">
        <v>0.2648</v>
      </c>
      <c r="K406" s="12" t="n">
        <v>0.498</v>
      </c>
      <c r="L406" s="3" t="n">
        <v>5.94</v>
      </c>
      <c r="M406" s="12" t="n">
        <f aca="false">Z406-W406</f>
        <v>0.0862040000000001</v>
      </c>
      <c r="N406" s="12" t="n">
        <f aca="false">IFERROR((Z406-J406)/L406,"")</f>
        <v>0.0392599326599327</v>
      </c>
      <c r="O406" s="3" t="n">
        <v>16</v>
      </c>
      <c r="P406" s="13" t="b">
        <f aca="false">FALSE()</f>
        <v>0</v>
      </c>
      <c r="Q406" s="3" t="s">
        <v>166</v>
      </c>
      <c r="R406" s="12" t="n">
        <v>0.6537</v>
      </c>
      <c r="S406" s="12" t="n">
        <v>0.6289</v>
      </c>
      <c r="T406" s="3" t="n">
        <v>0.0666</v>
      </c>
      <c r="U406" s="12" t="n">
        <v>0.3558</v>
      </c>
      <c r="V406" s="12" t="n">
        <v>0.4637</v>
      </c>
      <c r="W406" s="12" t="n">
        <v>0.4118</v>
      </c>
      <c r="X406" s="3" t="n">
        <v>0.5268</v>
      </c>
      <c r="Y406" s="3" t="n">
        <v>0.5484</v>
      </c>
      <c r="Z406" s="14" t="n">
        <f aca="false">Assumptions!$B$3*R406+Assumptions!$B$4*S406+IF(AA406=1,Assumptions!$B$11,Assumptions!$B$5)*X406+IF(AA406=1,Assumptions!$B$12,Assumptions!$B$6)*T406+Assumptions!$B$7*U406+Assumptions!$B$8*V406+Assumptions!$B$9*Y406</f>
        <v>0.498004</v>
      </c>
      <c r="AA406" s="3" t="n">
        <v>0</v>
      </c>
    </row>
    <row r="407" customFormat="false" ht="15" hidden="false" customHeight="false" outlineLevel="0" collapsed="false">
      <c r="A407" s="3" t="s">
        <v>592</v>
      </c>
      <c r="B407" s="3" t="n">
        <v>530</v>
      </c>
      <c r="C407" s="11" t="str">
        <f aca="false">IF(M407&gt;=Assumptions!$B$17,"S+",IF(M407&gt;=Assumptions!$B$18,"S",IF(M407&gt;=Assumptions!$B$19,"A",IF(M407&gt;=Assumptions!$B$20,"B",IF(M407&gt;=Assumptions!$B$21,"C",IF(M407&gt;=Assumptions!$B$22,"D","F"))))))</f>
        <v>C</v>
      </c>
      <c r="D407" s="3" t="s">
        <v>228</v>
      </c>
      <c r="E407" s="3" t="n">
        <v>7</v>
      </c>
      <c r="F407" s="12" t="n">
        <v>0.9133</v>
      </c>
      <c r="G407" s="12" t="n">
        <v>0.6</v>
      </c>
      <c r="H407" s="12" t="n">
        <v>0.75</v>
      </c>
      <c r="I407" s="12" t="n">
        <v>0.7302</v>
      </c>
      <c r="J407" s="12" t="n">
        <v>0.3745</v>
      </c>
      <c r="K407" s="12" t="n">
        <v>0.5501</v>
      </c>
      <c r="L407" s="3" t="n">
        <v>4</v>
      </c>
      <c r="M407" s="12" t="n">
        <f aca="false">Z407-W407</f>
        <v>0.085984</v>
      </c>
      <c r="N407" s="12" t="n">
        <f aca="false">IFERROR((Z407-J407)/L407,"")</f>
        <v>0.043896</v>
      </c>
      <c r="O407" s="3" t="n">
        <v>13</v>
      </c>
      <c r="P407" s="13" t="b">
        <f aca="false">FALSE()</f>
        <v>0</v>
      </c>
      <c r="Q407" s="3" t="s">
        <v>166</v>
      </c>
      <c r="R407" s="12" t="n">
        <v>0.9255</v>
      </c>
      <c r="S407" s="12" t="n">
        <v>0.3619</v>
      </c>
      <c r="T407" s="3" t="n">
        <v>0.2717</v>
      </c>
      <c r="U407" s="12" t="n">
        <v>0.4911</v>
      </c>
      <c r="V407" s="12" t="n">
        <v>0.4545</v>
      </c>
      <c r="W407" s="12" t="n">
        <v>0.4641</v>
      </c>
      <c r="X407" s="3" t="n">
        <v>0.314</v>
      </c>
      <c r="Y407" s="3" t="n">
        <v>0.7322</v>
      </c>
      <c r="Z407" s="14" t="n">
        <f aca="false">Assumptions!$B$3*R407+Assumptions!$B$4*S407+IF(AA407=1,Assumptions!$B$11,Assumptions!$B$5)*X407+IF(AA407=1,Assumptions!$B$12,Assumptions!$B$6)*T407+Assumptions!$B$7*U407+Assumptions!$B$8*V407+Assumptions!$B$9*Y407</f>
        <v>0.550084</v>
      </c>
      <c r="AA407" s="3" t="n">
        <v>0</v>
      </c>
    </row>
    <row r="408" customFormat="false" ht="15" hidden="false" customHeight="false" outlineLevel="0" collapsed="false">
      <c r="A408" s="3" t="s">
        <v>593</v>
      </c>
      <c r="B408" s="3" t="n">
        <v>590</v>
      </c>
      <c r="C408" s="11" t="str">
        <f aca="false">IF(M408&gt;=Assumptions!$B$17,"S+",IF(M408&gt;=Assumptions!$B$18,"S",IF(M408&gt;=Assumptions!$B$19,"A",IF(M408&gt;=Assumptions!$B$20,"B",IF(M408&gt;=Assumptions!$B$21,"C",IF(M408&gt;=Assumptions!$B$22,"D","F"))))))</f>
        <v>C</v>
      </c>
      <c r="D408" s="3" t="s">
        <v>197</v>
      </c>
      <c r="E408" s="3" t="n">
        <v>1</v>
      </c>
      <c r="F408" s="12" t="n">
        <v>0.8797</v>
      </c>
      <c r="G408" s="12" t="n">
        <v>0.8</v>
      </c>
      <c r="H408" s="12" t="n">
        <v>0.75</v>
      </c>
      <c r="I408" s="12" t="n">
        <v>0.8203</v>
      </c>
      <c r="J408" s="12" t="n">
        <v>0.4353</v>
      </c>
      <c r="K408" s="12" t="n">
        <v>0.5991</v>
      </c>
      <c r="L408" s="3" t="n">
        <v>3.45</v>
      </c>
      <c r="M408" s="12" t="n">
        <f aca="false">Z408-W408</f>
        <v>0.085827</v>
      </c>
      <c r="N408" s="12" t="n">
        <f aca="false">IFERROR((Z408-J408)/L408,"")</f>
        <v>0.0474860869565217</v>
      </c>
      <c r="O408" s="3" t="n">
        <v>19</v>
      </c>
      <c r="P408" s="13" t="b">
        <f aca="false">FALSE()</f>
        <v>0</v>
      </c>
      <c r="Q408" s="3" t="s">
        <v>166</v>
      </c>
      <c r="R408" s="12" t="n">
        <v>0.7654</v>
      </c>
      <c r="S408" s="12" t="n">
        <v>0.7467</v>
      </c>
      <c r="T408" s="3" t="n">
        <v>0.5443</v>
      </c>
      <c r="U408" s="12" t="n">
        <v>0.332</v>
      </c>
      <c r="V408" s="12" t="n">
        <v>0.52</v>
      </c>
      <c r="W408" s="12" t="n">
        <v>0.5133</v>
      </c>
      <c r="X408" s="3" t="n">
        <v>0.4122</v>
      </c>
      <c r="Y408" s="3" t="n">
        <v>0.6645</v>
      </c>
      <c r="Z408" s="14" t="n">
        <f aca="false">Assumptions!$B$3*R408+Assumptions!$B$4*S408+IF(AA408=1,Assumptions!$B$11,Assumptions!$B$5)*X408+IF(AA408=1,Assumptions!$B$12,Assumptions!$B$6)*T408+Assumptions!$B$7*U408+Assumptions!$B$8*V408+Assumptions!$B$9*Y408</f>
        <v>0.599127</v>
      </c>
      <c r="AA408" s="3" t="n">
        <v>0</v>
      </c>
    </row>
    <row r="409" customFormat="false" ht="15" hidden="false" customHeight="false" outlineLevel="0" collapsed="false">
      <c r="A409" s="3" t="s">
        <v>594</v>
      </c>
      <c r="B409" s="3" t="n">
        <v>525</v>
      </c>
      <c r="C409" s="11" t="str">
        <f aca="false">IF(M409&gt;=Assumptions!$B$17,"S+",IF(M409&gt;=Assumptions!$B$18,"S",IF(M409&gt;=Assumptions!$B$19,"A",IF(M409&gt;=Assumptions!$B$20,"B",IF(M409&gt;=Assumptions!$B$21,"C",IF(M409&gt;=Assumptions!$B$22,"D","F"))))))</f>
        <v>C</v>
      </c>
      <c r="D409" s="3" t="s">
        <v>253</v>
      </c>
      <c r="E409" s="3" t="n">
        <v>7</v>
      </c>
      <c r="F409" s="12" t="n">
        <v>0.951</v>
      </c>
      <c r="G409" s="12" t="n">
        <v>0.4</v>
      </c>
      <c r="H409" s="12" t="n">
        <v>0.75</v>
      </c>
      <c r="I409" s="12" t="n">
        <v>0.6463</v>
      </c>
      <c r="J409" s="12" t="n">
        <v>0.3726</v>
      </c>
      <c r="K409" s="12" t="n">
        <v>0.6152</v>
      </c>
      <c r="L409" s="3" t="n">
        <v>4</v>
      </c>
      <c r="M409" s="12" t="n">
        <f aca="false">Z409-W409</f>
        <v>0.0857309999999999</v>
      </c>
      <c r="N409" s="12" t="n">
        <f aca="false">IFERROR((Z409-J409)/L409,"")</f>
        <v>0.06065775</v>
      </c>
      <c r="O409" s="3" t="n">
        <v>13</v>
      </c>
      <c r="P409" s="13" t="b">
        <f aca="false">FALSE()</f>
        <v>0</v>
      </c>
      <c r="Q409" s="3" t="s">
        <v>166</v>
      </c>
      <c r="R409" s="12" t="n">
        <v>0.8694</v>
      </c>
      <c r="S409" s="12" t="n">
        <v>0.434</v>
      </c>
      <c r="T409" s="3" t="n">
        <v>0.2414</v>
      </c>
      <c r="U409" s="12" t="n">
        <v>0.5385</v>
      </c>
      <c r="V409" s="12" t="n">
        <v>0.3919</v>
      </c>
      <c r="W409" s="12" t="n">
        <v>0.5295</v>
      </c>
      <c r="X409" s="3" t="n">
        <v>0.834</v>
      </c>
      <c r="Y409" s="3" t="n">
        <v>0.6472</v>
      </c>
      <c r="Z409" s="14" t="n">
        <f aca="false">Assumptions!$B$3*R409+Assumptions!$B$4*S409+IF(AA409=1,Assumptions!$B$11,Assumptions!$B$5)*X409+IF(AA409=1,Assumptions!$B$12,Assumptions!$B$6)*T409+Assumptions!$B$7*U409+Assumptions!$B$8*V409+Assumptions!$B$9*Y409</f>
        <v>0.615231</v>
      </c>
      <c r="AA409" s="3" t="n">
        <v>0</v>
      </c>
    </row>
    <row r="410" customFormat="false" ht="15" hidden="false" customHeight="false" outlineLevel="0" collapsed="false">
      <c r="A410" s="3" t="s">
        <v>595</v>
      </c>
      <c r="B410" s="3" t="n">
        <v>520</v>
      </c>
      <c r="C410" s="11" t="str">
        <f aca="false">IF(M410&gt;=Assumptions!$B$17,"S+",IF(M410&gt;=Assumptions!$B$18,"S",IF(M410&gt;=Assumptions!$B$19,"A",IF(M410&gt;=Assumptions!$B$20,"B",IF(M410&gt;=Assumptions!$B$21,"C",IF(M410&gt;=Assumptions!$B$22,"D","F"))))))</f>
        <v>C</v>
      </c>
      <c r="D410" s="3" t="s">
        <v>218</v>
      </c>
      <c r="E410" s="3" t="n">
        <v>4</v>
      </c>
      <c r="F410" s="12" t="n">
        <v>0.7024</v>
      </c>
      <c r="G410" s="12" t="n">
        <v>0.6</v>
      </c>
      <c r="H410" s="12" t="n">
        <v>0.75</v>
      </c>
      <c r="I410" s="12" t="n">
        <v>0.6628</v>
      </c>
      <c r="J410" s="12" t="n">
        <v>0.4016</v>
      </c>
      <c r="K410" s="12" t="n">
        <v>0.6047</v>
      </c>
      <c r="L410" s="3" t="n">
        <v>3.91</v>
      </c>
      <c r="M410" s="12" t="n">
        <f aca="false">Z410-W410</f>
        <v>0.085458</v>
      </c>
      <c r="N410" s="12" t="n">
        <f aca="false">IFERROR((Z410-J410)/L410,"")</f>
        <v>0.0519585677749361</v>
      </c>
      <c r="O410" s="3" t="n">
        <v>16</v>
      </c>
      <c r="P410" s="13" t="b">
        <f aca="false">FALSE()</f>
        <v>0</v>
      </c>
      <c r="Q410" s="3" t="s">
        <v>166</v>
      </c>
      <c r="R410" s="12" t="n">
        <v>0.8176</v>
      </c>
      <c r="S410" s="12" t="n">
        <v>0.4596</v>
      </c>
      <c r="T410" s="3" t="n">
        <v>0.699</v>
      </c>
      <c r="U410" s="12" t="n">
        <v>0.3029</v>
      </c>
      <c r="V410" s="12" t="n">
        <v>0.4748</v>
      </c>
      <c r="W410" s="12" t="n">
        <v>0.5193</v>
      </c>
      <c r="X410" s="3" t="n">
        <v>0.5804</v>
      </c>
      <c r="Y410" s="3" t="n">
        <v>0.6398</v>
      </c>
      <c r="Z410" s="14" t="n">
        <f aca="false">Assumptions!$B$3*R410+Assumptions!$B$4*S410+IF(AA410=1,Assumptions!$B$11,Assumptions!$B$5)*X410+IF(AA410=1,Assumptions!$B$12,Assumptions!$B$6)*T410+Assumptions!$B$7*U410+Assumptions!$B$8*V410+Assumptions!$B$9*Y410</f>
        <v>0.604758</v>
      </c>
      <c r="AA410" s="3" t="n">
        <v>0</v>
      </c>
    </row>
    <row r="411" customFormat="false" ht="15" hidden="false" customHeight="false" outlineLevel="0" collapsed="false">
      <c r="A411" s="3" t="s">
        <v>596</v>
      </c>
      <c r="B411" s="3" t="n">
        <v>580</v>
      </c>
      <c r="C411" s="11" t="str">
        <f aca="false">IF(M411&gt;=Assumptions!$B$17,"S+",IF(M411&gt;=Assumptions!$B$18,"S",IF(M411&gt;=Assumptions!$B$19,"A",IF(M411&gt;=Assumptions!$B$20,"B",IF(M411&gt;=Assumptions!$B$21,"C",IF(M411&gt;=Assumptions!$B$22,"D","F"))))))</f>
        <v>C</v>
      </c>
      <c r="D411" s="3" t="s">
        <v>197</v>
      </c>
      <c r="E411" s="3" t="n">
        <v>7</v>
      </c>
      <c r="F411" s="12" t="n">
        <v>0.9747</v>
      </c>
      <c r="G411" s="12" t="n">
        <v>0.4</v>
      </c>
      <c r="H411" s="12" t="n">
        <v>0.75</v>
      </c>
      <c r="I411" s="12" t="n">
        <v>0.6884</v>
      </c>
      <c r="J411" s="12" t="n">
        <v>0.3836</v>
      </c>
      <c r="K411" s="12" t="n">
        <v>0.572</v>
      </c>
      <c r="L411" s="3" t="n">
        <v>4</v>
      </c>
      <c r="M411" s="12" t="n">
        <f aca="false">Z411-W411</f>
        <v>0.085488</v>
      </c>
      <c r="N411" s="12" t="n">
        <f aca="false">IFERROR((Z411-J411)/L411,"")</f>
        <v>0.047097</v>
      </c>
      <c r="O411" s="3" t="n">
        <v>13</v>
      </c>
      <c r="P411" s="13" t="b">
        <f aca="false">FALSE()</f>
        <v>0</v>
      </c>
      <c r="Q411" s="3" t="s">
        <v>166</v>
      </c>
      <c r="R411" s="12" t="n">
        <v>0.7348</v>
      </c>
      <c r="S411" s="12" t="n">
        <v>0.5209</v>
      </c>
      <c r="T411" s="3" t="n">
        <v>0.6897</v>
      </c>
      <c r="U411" s="12" t="n">
        <v>0.2308</v>
      </c>
      <c r="V411" s="12" t="n">
        <v>0.5475</v>
      </c>
      <c r="W411" s="12" t="n">
        <v>0.4865</v>
      </c>
      <c r="X411" s="3" t="n">
        <v>0.4241</v>
      </c>
      <c r="Y411" s="3" t="n">
        <v>0.6888</v>
      </c>
      <c r="Z411" s="14" t="n">
        <f aca="false">Assumptions!$B$3*R411+Assumptions!$B$4*S411+IF(AA411=1,Assumptions!$B$11,Assumptions!$B$5)*X411+IF(AA411=1,Assumptions!$B$12,Assumptions!$B$6)*T411+Assumptions!$B$7*U411+Assumptions!$B$8*V411+Assumptions!$B$9*Y411</f>
        <v>0.571988</v>
      </c>
      <c r="AA411" s="3" t="n">
        <v>0</v>
      </c>
    </row>
    <row r="412" customFormat="false" ht="15" hidden="false" customHeight="false" outlineLevel="0" collapsed="false">
      <c r="A412" s="3" t="s">
        <v>597</v>
      </c>
      <c r="B412" s="3" t="n">
        <v>534</v>
      </c>
      <c r="C412" s="11" t="str">
        <f aca="false">IF(M412&gt;=Assumptions!$B$17,"S+",IF(M412&gt;=Assumptions!$B$18,"S",IF(M412&gt;=Assumptions!$B$19,"A",IF(M412&gt;=Assumptions!$B$20,"B",IF(M412&gt;=Assumptions!$B$21,"C",IF(M412&gt;=Assumptions!$B$22,"D","F"))))))</f>
        <v>C</v>
      </c>
      <c r="D412" s="3" t="s">
        <v>253</v>
      </c>
      <c r="E412" s="3" t="n">
        <v>1</v>
      </c>
      <c r="F412" s="12" t="n">
        <v>0.7836</v>
      </c>
      <c r="G412" s="12" t="n">
        <v>0.8</v>
      </c>
      <c r="H412" s="12" t="n">
        <v>0.75</v>
      </c>
      <c r="I412" s="12" t="n">
        <v>0.7848</v>
      </c>
      <c r="J412" s="12" t="n">
        <v>0.4138</v>
      </c>
      <c r="K412" s="12" t="n">
        <v>0.6049</v>
      </c>
      <c r="L412" s="3" t="n">
        <v>4.74</v>
      </c>
      <c r="M412" s="12" t="n">
        <f aca="false">Z412-W412</f>
        <v>0.0852249999999999</v>
      </c>
      <c r="N412" s="12" t="n">
        <f aca="false">IFERROR((Z412-J412)/L412,"")</f>
        <v>0.0403217299578059</v>
      </c>
      <c r="O412" s="3" t="n">
        <v>19</v>
      </c>
      <c r="P412" s="13" t="b">
        <f aca="false">FALSE()</f>
        <v>0</v>
      </c>
      <c r="Q412" s="3" t="s">
        <v>166</v>
      </c>
      <c r="R412" s="12" t="n">
        <v>0.7958</v>
      </c>
      <c r="S412" s="12" t="n">
        <v>0.5803</v>
      </c>
      <c r="T412" s="3" t="n">
        <v>0.475</v>
      </c>
      <c r="U412" s="12" t="n">
        <v>0.3158</v>
      </c>
      <c r="V412" s="12" t="n">
        <v>0.4728</v>
      </c>
      <c r="W412" s="12" t="n">
        <v>0.5197</v>
      </c>
      <c r="X412" s="3" t="n">
        <v>0.6029</v>
      </c>
      <c r="Y412" s="3" t="n">
        <v>0.7392</v>
      </c>
      <c r="Z412" s="14" t="n">
        <f aca="false">Assumptions!$B$3*R412+Assumptions!$B$4*S412+IF(AA412=1,Assumptions!$B$11,Assumptions!$B$5)*X412+IF(AA412=1,Assumptions!$B$12,Assumptions!$B$6)*T412+Assumptions!$B$7*U412+Assumptions!$B$8*V412+Assumptions!$B$9*Y412</f>
        <v>0.604925</v>
      </c>
      <c r="AA412" s="3" t="n">
        <v>0</v>
      </c>
    </row>
    <row r="413" customFormat="false" ht="15" hidden="false" customHeight="false" outlineLevel="0" collapsed="false">
      <c r="A413" s="3" t="s">
        <v>598</v>
      </c>
      <c r="B413" s="3" t="n">
        <v>490</v>
      </c>
      <c r="C413" s="11" t="str">
        <f aca="false">IF(M413&gt;=Assumptions!$B$17,"S+",IF(M413&gt;=Assumptions!$B$18,"S",IF(M413&gt;=Assumptions!$B$19,"A",IF(M413&gt;=Assumptions!$B$20,"B",IF(M413&gt;=Assumptions!$B$21,"C",IF(M413&gt;=Assumptions!$B$22,"D","F"))))))</f>
        <v>C</v>
      </c>
      <c r="D413" s="3" t="s">
        <v>218</v>
      </c>
      <c r="E413" s="3" t="n">
        <v>4</v>
      </c>
      <c r="F413" s="12" t="n">
        <v>0.8969</v>
      </c>
      <c r="G413" s="12" t="n">
        <v>0.6</v>
      </c>
      <c r="H413" s="12" t="n">
        <v>0.75</v>
      </c>
      <c r="I413" s="12" t="n">
        <v>0.725</v>
      </c>
      <c r="J413" s="12" t="n">
        <v>0.3903</v>
      </c>
      <c r="K413" s="12" t="n">
        <v>0.5985</v>
      </c>
      <c r="L413" s="3" t="n">
        <v>3.88</v>
      </c>
      <c r="M413" s="12" t="n">
        <f aca="false">Z413-W413</f>
        <v>0.084699</v>
      </c>
      <c r="N413" s="12" t="n">
        <f aca="false">IFERROR((Z413-J413)/L413,"")</f>
        <v>0.0536595360824742</v>
      </c>
      <c r="O413" s="3" t="n">
        <v>16</v>
      </c>
      <c r="P413" s="13" t="b">
        <f aca="false">FALSE()</f>
        <v>0</v>
      </c>
      <c r="Q413" s="3" t="s">
        <v>166</v>
      </c>
      <c r="R413" s="12" t="n">
        <v>0.8283</v>
      </c>
      <c r="S413" s="12" t="n">
        <v>0.5269</v>
      </c>
      <c r="T413" s="3" t="n">
        <v>0.2058</v>
      </c>
      <c r="U413" s="12" t="n">
        <v>0.4615</v>
      </c>
      <c r="V413" s="12" t="n">
        <v>0.5154</v>
      </c>
      <c r="W413" s="12" t="n">
        <v>0.5138</v>
      </c>
      <c r="X413" s="3" t="n">
        <v>0.6586</v>
      </c>
      <c r="Y413" s="3" t="n">
        <v>0.7119</v>
      </c>
      <c r="Z413" s="14" t="n">
        <f aca="false">Assumptions!$B$3*R413+Assumptions!$B$4*S413+IF(AA413=1,Assumptions!$B$11,Assumptions!$B$5)*X413+IF(AA413=1,Assumptions!$B$12,Assumptions!$B$6)*T413+Assumptions!$B$7*U413+Assumptions!$B$8*V413+Assumptions!$B$9*Y413</f>
        <v>0.598499</v>
      </c>
      <c r="AA413" s="3" t="n">
        <v>0</v>
      </c>
    </row>
    <row r="414" customFormat="false" ht="15" hidden="false" customHeight="false" outlineLevel="0" collapsed="false">
      <c r="A414" s="3" t="s">
        <v>599</v>
      </c>
      <c r="B414" s="3" t="n">
        <v>540</v>
      </c>
      <c r="C414" s="11" t="str">
        <f aca="false">IF(M414&gt;=Assumptions!$B$17,"S+",IF(M414&gt;=Assumptions!$B$18,"S",IF(M414&gt;=Assumptions!$B$19,"A",IF(M414&gt;=Assumptions!$B$20,"B",IF(M414&gt;=Assumptions!$B$21,"C",IF(M414&gt;=Assumptions!$B$22,"D","F"))))))</f>
        <v>C</v>
      </c>
      <c r="D414" s="3" t="s">
        <v>218</v>
      </c>
      <c r="E414" s="3" t="n">
        <v>7</v>
      </c>
      <c r="F414" s="12" t="n">
        <v>0.9797</v>
      </c>
      <c r="G414" s="12" t="n">
        <v>1</v>
      </c>
      <c r="H414" s="12" t="n">
        <v>0.75</v>
      </c>
      <c r="I414" s="12" t="n">
        <v>0.9435</v>
      </c>
      <c r="J414" s="12" t="n">
        <v>0.4396</v>
      </c>
      <c r="K414" s="12" t="n">
        <v>0.5952</v>
      </c>
      <c r="L414" s="3" t="n">
        <v>5</v>
      </c>
      <c r="M414" s="12" t="n">
        <f aca="false">Z414-W414</f>
        <v>0.0845279999999999</v>
      </c>
      <c r="N414" s="12" t="n">
        <f aca="false">IFERROR((Z414-J414)/L414,"")</f>
        <v>0.0311256</v>
      </c>
      <c r="O414" s="3" t="n">
        <v>13</v>
      </c>
      <c r="P414" s="13" t="b">
        <f aca="false">FALSE()</f>
        <v>0</v>
      </c>
      <c r="Q414" s="3" t="s">
        <v>166</v>
      </c>
      <c r="R414" s="12" t="n">
        <v>0.8714</v>
      </c>
      <c r="S414" s="12" t="n">
        <v>0.5296</v>
      </c>
      <c r="T414" s="3" t="n">
        <v>0.3366</v>
      </c>
      <c r="U414" s="12" t="n">
        <v>0.3491</v>
      </c>
      <c r="V414" s="12" t="n">
        <v>0.5016</v>
      </c>
      <c r="W414" s="12" t="n">
        <v>0.5107</v>
      </c>
      <c r="X414" s="3" t="n">
        <v>0.4111</v>
      </c>
      <c r="Y414" s="3" t="n">
        <v>0.9297</v>
      </c>
      <c r="Z414" s="14" t="n">
        <f aca="false">Assumptions!$B$3*R414+Assumptions!$B$4*S414+IF(AA414=1,Assumptions!$B$11,Assumptions!$B$5)*X414+IF(AA414=1,Assumptions!$B$12,Assumptions!$B$6)*T414+Assumptions!$B$7*U414+Assumptions!$B$8*V414+Assumptions!$B$9*Y414</f>
        <v>0.595228</v>
      </c>
      <c r="AA414" s="3" t="n">
        <v>0</v>
      </c>
    </row>
    <row r="415" customFormat="false" ht="15" hidden="false" customHeight="false" outlineLevel="0" collapsed="false">
      <c r="A415" s="3" t="s">
        <v>600</v>
      </c>
      <c r="B415" s="3" t="n">
        <v>420</v>
      </c>
      <c r="C415" s="11" t="str">
        <f aca="false">IF(M415&gt;=Assumptions!$B$17,"S+",IF(M415&gt;=Assumptions!$B$18,"S",IF(M415&gt;=Assumptions!$B$19,"A",IF(M415&gt;=Assumptions!$B$20,"B",IF(M415&gt;=Assumptions!$B$21,"C",IF(M415&gt;=Assumptions!$B$22,"D","F"))))))</f>
        <v>C</v>
      </c>
      <c r="D415" s="3" t="s">
        <v>186</v>
      </c>
      <c r="E415" s="3" t="n">
        <v>2</v>
      </c>
      <c r="F415" s="12" t="n">
        <v>0.5246</v>
      </c>
      <c r="G415" s="12" t="n">
        <v>0.6</v>
      </c>
      <c r="H415" s="12" t="n">
        <v>0.75</v>
      </c>
      <c r="I415" s="12" t="n">
        <v>0.6164</v>
      </c>
      <c r="J415" s="12" t="n">
        <v>0.3094</v>
      </c>
      <c r="K415" s="12" t="n">
        <v>0.5803</v>
      </c>
      <c r="L415" s="3" t="n">
        <v>3.89</v>
      </c>
      <c r="M415" s="12" t="n">
        <f aca="false">Z415-W415</f>
        <v>0.084295</v>
      </c>
      <c r="N415" s="12" t="n">
        <f aca="false">IFERROR((Z415-J415)/L415,"")</f>
        <v>0.0696388174807198</v>
      </c>
      <c r="O415" s="3" t="n">
        <v>18</v>
      </c>
      <c r="P415" s="13" t="b">
        <f aca="false">FALSE()</f>
        <v>0</v>
      </c>
      <c r="Q415" s="3" t="s">
        <v>166</v>
      </c>
      <c r="R415" s="12" t="n">
        <v>0.7076</v>
      </c>
      <c r="S415" s="12" t="n">
        <v>0.5954</v>
      </c>
      <c r="T415" s="3" t="n">
        <v>0.1286</v>
      </c>
      <c r="U415" s="12" t="n">
        <v>0.406</v>
      </c>
      <c r="V415" s="12" t="n">
        <v>0.5197</v>
      </c>
      <c r="W415" s="12" t="n">
        <v>0.496</v>
      </c>
      <c r="X415" s="3" t="n">
        <v>0.6132</v>
      </c>
      <c r="Y415" s="3" t="n">
        <v>0.5693</v>
      </c>
      <c r="Z415" s="14" t="n">
        <f aca="false">Assumptions!$B$3*R415+Assumptions!$B$4*S415+IF(AA415=1,Assumptions!$B$11,Assumptions!$B$5)*X415+IF(AA415=1,Assumptions!$B$12,Assumptions!$B$6)*T415+Assumptions!$B$7*U415+Assumptions!$B$8*V415+Assumptions!$B$9*Y415</f>
        <v>0.580295</v>
      </c>
      <c r="AA415" s="3" t="n">
        <v>1</v>
      </c>
    </row>
    <row r="416" customFormat="false" ht="15" hidden="false" customHeight="false" outlineLevel="0" collapsed="false">
      <c r="A416" s="3" t="s">
        <v>601</v>
      </c>
      <c r="B416" s="3" t="n">
        <v>480</v>
      </c>
      <c r="C416" s="11" t="str">
        <f aca="false">IF(M416&gt;=Assumptions!$B$17,"S+",IF(M416&gt;=Assumptions!$B$18,"S",IF(M416&gt;=Assumptions!$B$19,"A",IF(M416&gt;=Assumptions!$B$20,"B",IF(M416&gt;=Assumptions!$B$21,"C",IF(M416&gt;=Assumptions!$B$22,"D","F"))))))</f>
        <v>C</v>
      </c>
      <c r="D416" s="3" t="s">
        <v>197</v>
      </c>
      <c r="E416" s="3" t="n">
        <v>6</v>
      </c>
      <c r="F416" s="12" t="n">
        <v>0.8289</v>
      </c>
      <c r="G416" s="12" t="n">
        <v>0.8</v>
      </c>
      <c r="H416" s="12" t="n">
        <v>0.75</v>
      </c>
      <c r="I416" s="12" t="n">
        <v>0.801</v>
      </c>
      <c r="J416" s="12" t="n">
        <v>0.3703</v>
      </c>
      <c r="K416" s="12" t="n">
        <v>0.5733</v>
      </c>
      <c r="L416" s="3" t="n">
        <v>5</v>
      </c>
      <c r="M416" s="12" t="n">
        <f aca="false">Z416-W416</f>
        <v>0.0842790000000001</v>
      </c>
      <c r="N416" s="12" t="n">
        <f aca="false">IFERROR((Z416-J416)/L416,"")</f>
        <v>0.0405958</v>
      </c>
      <c r="O416" s="3" t="n">
        <v>14</v>
      </c>
      <c r="P416" s="13" t="b">
        <f aca="false">FALSE()</f>
        <v>0</v>
      </c>
      <c r="Q416" s="3" t="s">
        <v>166</v>
      </c>
      <c r="R416" s="12" t="n">
        <v>0.7021</v>
      </c>
      <c r="S416" s="12" t="n">
        <v>0.456</v>
      </c>
      <c r="T416" s="3" t="n">
        <v>0.2638</v>
      </c>
      <c r="U416" s="12" t="n">
        <v>0.4121</v>
      </c>
      <c r="V416" s="12" t="n">
        <v>0.4527</v>
      </c>
      <c r="W416" s="12" t="n">
        <v>0.489</v>
      </c>
      <c r="X416" s="3" t="n">
        <v>0.746</v>
      </c>
      <c r="Y416" s="3" t="n">
        <v>0.8031</v>
      </c>
      <c r="Z416" s="14" t="n">
        <f aca="false">Assumptions!$B$3*R416+Assumptions!$B$4*S416+IF(AA416=1,Assumptions!$B$11,Assumptions!$B$5)*X416+IF(AA416=1,Assumptions!$B$12,Assumptions!$B$6)*T416+Assumptions!$B$7*U416+Assumptions!$B$8*V416+Assumptions!$B$9*Y416</f>
        <v>0.573279</v>
      </c>
      <c r="AA416" s="3" t="n">
        <v>0</v>
      </c>
    </row>
    <row r="417" customFormat="false" ht="15" hidden="false" customHeight="false" outlineLevel="0" collapsed="false">
      <c r="A417" s="3" t="s">
        <v>602</v>
      </c>
      <c r="B417" s="3" t="n">
        <v>570</v>
      </c>
      <c r="C417" s="11" t="str">
        <f aca="false">IF(M417&gt;=Assumptions!$B$17,"S+",IF(M417&gt;=Assumptions!$B$18,"S",IF(M417&gt;=Assumptions!$B$19,"A",IF(M417&gt;=Assumptions!$B$20,"B",IF(M417&gt;=Assumptions!$B$21,"C",IF(M417&gt;=Assumptions!$B$22,"D","F"))))))</f>
        <v>C</v>
      </c>
      <c r="D417" s="3" t="s">
        <v>190</v>
      </c>
      <c r="E417" s="3" t="n">
        <v>1</v>
      </c>
      <c r="F417" s="12" t="n">
        <v>0.7937</v>
      </c>
      <c r="G417" s="12" t="n">
        <v>0.8</v>
      </c>
      <c r="H417" s="12" t="n">
        <v>0.75</v>
      </c>
      <c r="I417" s="12" t="n">
        <v>0.7876</v>
      </c>
      <c r="J417" s="12" t="n">
        <v>0.4257</v>
      </c>
      <c r="K417" s="12" t="n">
        <v>0.5761</v>
      </c>
      <c r="L417" s="3" t="n">
        <v>3.47</v>
      </c>
      <c r="M417" s="12" t="n">
        <f aca="false">Z417-W417</f>
        <v>0.0843430000000001</v>
      </c>
      <c r="N417" s="12" t="n">
        <f aca="false">IFERROR((Z417-J417)/L417,"")</f>
        <v>0.0433553314121038</v>
      </c>
      <c r="O417" s="3" t="n">
        <v>19</v>
      </c>
      <c r="P417" s="13" t="b">
        <f aca="false">FALSE()</f>
        <v>0</v>
      </c>
      <c r="Q417" s="3" t="s">
        <v>166</v>
      </c>
      <c r="R417" s="12" t="n">
        <v>0.8652</v>
      </c>
      <c r="S417" s="12" t="n">
        <v>0.6178</v>
      </c>
      <c r="T417" s="3" t="n">
        <v>0.463</v>
      </c>
      <c r="U417" s="12" t="n">
        <v>0.3644</v>
      </c>
      <c r="V417" s="12" t="n">
        <v>0.4381</v>
      </c>
      <c r="W417" s="12" t="n">
        <v>0.4918</v>
      </c>
      <c r="X417" s="3" t="n">
        <v>0.306</v>
      </c>
      <c r="Y417" s="3" t="n">
        <v>0.6937</v>
      </c>
      <c r="Z417" s="14" t="n">
        <f aca="false">Assumptions!$B$3*R417+Assumptions!$B$4*S417+IF(AA417=1,Assumptions!$B$11,Assumptions!$B$5)*X417+IF(AA417=1,Assumptions!$B$12,Assumptions!$B$6)*T417+Assumptions!$B$7*U417+Assumptions!$B$8*V417+Assumptions!$B$9*Y417</f>
        <v>0.576143</v>
      </c>
      <c r="AA417" s="3" t="n">
        <v>0</v>
      </c>
    </row>
    <row r="418" customFormat="false" ht="15" hidden="false" customHeight="false" outlineLevel="0" collapsed="false">
      <c r="A418" s="3" t="s">
        <v>603</v>
      </c>
      <c r="B418" s="3" t="n">
        <v>476</v>
      </c>
      <c r="C418" s="11" t="str">
        <f aca="false">IF(M418&gt;=Assumptions!$B$17,"S+",IF(M418&gt;=Assumptions!$B$18,"S",IF(M418&gt;=Assumptions!$B$19,"A",IF(M418&gt;=Assumptions!$B$20,"B",IF(M418&gt;=Assumptions!$B$21,"C",IF(M418&gt;=Assumptions!$B$22,"D","F"))))))</f>
        <v>C</v>
      </c>
      <c r="D418" s="3" t="s">
        <v>218</v>
      </c>
      <c r="E418" s="3" t="n">
        <v>4</v>
      </c>
      <c r="F418" s="12" t="n">
        <v>0.6474</v>
      </c>
      <c r="G418" s="12" t="n">
        <v>0.6</v>
      </c>
      <c r="H418" s="12" t="n">
        <v>0.75</v>
      </c>
      <c r="I418" s="12" t="n">
        <v>0.6452</v>
      </c>
      <c r="J418" s="12" t="n">
        <v>0.3895</v>
      </c>
      <c r="K418" s="12" t="n">
        <v>0.6013</v>
      </c>
      <c r="L418" s="3" t="n">
        <v>5.91</v>
      </c>
      <c r="M418" s="12" t="n">
        <f aca="false">Z418-W418</f>
        <v>0.0842339999999999</v>
      </c>
      <c r="N418" s="12" t="n">
        <f aca="false">IFERROR((Z418-J418)/L418,"")</f>
        <v>0.0358433164128595</v>
      </c>
      <c r="O418" s="3" t="n">
        <v>16</v>
      </c>
      <c r="P418" s="13" t="b">
        <f aca="false">FALSE()</f>
        <v>0</v>
      </c>
      <c r="Q418" s="3" t="s">
        <v>166</v>
      </c>
      <c r="R418" s="12" t="n">
        <v>0.6829</v>
      </c>
      <c r="S418" s="12" t="n">
        <v>0.6313</v>
      </c>
      <c r="T418" s="3" t="n">
        <v>0.4047</v>
      </c>
      <c r="U418" s="12" t="n">
        <v>0.3461</v>
      </c>
      <c r="V418" s="12" t="n">
        <v>0.5819</v>
      </c>
      <c r="W418" s="12" t="n">
        <v>0.5171</v>
      </c>
      <c r="X418" s="3" t="n">
        <v>0.7447</v>
      </c>
      <c r="Y418" s="3" t="n">
        <v>0.6275</v>
      </c>
      <c r="Z418" s="14" t="n">
        <f aca="false">Assumptions!$B$3*R418+Assumptions!$B$4*S418+IF(AA418=1,Assumptions!$B$11,Assumptions!$B$5)*X418+IF(AA418=1,Assumptions!$B$12,Assumptions!$B$6)*T418+Assumptions!$B$7*U418+Assumptions!$B$8*V418+Assumptions!$B$9*Y418</f>
        <v>0.601334</v>
      </c>
      <c r="AA418" s="3" t="n">
        <v>0</v>
      </c>
    </row>
    <row r="419" customFormat="false" ht="15" hidden="false" customHeight="false" outlineLevel="0" collapsed="false">
      <c r="A419" s="3" t="s">
        <v>604</v>
      </c>
      <c r="B419" s="3" t="n">
        <v>450</v>
      </c>
      <c r="C419" s="11" t="str">
        <f aca="false">IF(M419&gt;=Assumptions!$B$17,"S+",IF(M419&gt;=Assumptions!$B$18,"S",IF(M419&gt;=Assumptions!$B$19,"A",IF(M419&gt;=Assumptions!$B$20,"B",IF(M419&gt;=Assumptions!$B$21,"C",IF(M419&gt;=Assumptions!$B$22,"D","F"))))))</f>
        <v>C</v>
      </c>
      <c r="D419" s="3" t="s">
        <v>180</v>
      </c>
      <c r="E419" s="3" t="n">
        <v>7</v>
      </c>
      <c r="F419" s="12" t="n">
        <v>0.9574</v>
      </c>
      <c r="G419" s="12" t="n">
        <v>1</v>
      </c>
      <c r="H419" s="12" t="n">
        <v>0.4762</v>
      </c>
      <c r="I419" s="12" t="n">
        <v>0.8867</v>
      </c>
      <c r="J419" s="12" t="n">
        <v>0.426</v>
      </c>
      <c r="K419" s="12" t="n">
        <v>0.5823</v>
      </c>
      <c r="L419" s="3" t="n">
        <v>6</v>
      </c>
      <c r="M419" s="12" t="n">
        <f aca="false">Z419-W419</f>
        <v>0.0838229999999999</v>
      </c>
      <c r="N419" s="12" t="n">
        <f aca="false">IFERROR((Z419-J419)/L419,"")</f>
        <v>0.0260538333333333</v>
      </c>
      <c r="O419" s="3" t="n">
        <v>13</v>
      </c>
      <c r="P419" s="13" t="b">
        <f aca="false">FALSE()</f>
        <v>0</v>
      </c>
      <c r="Q419" s="3" t="s">
        <v>166</v>
      </c>
      <c r="R419" s="12" t="n">
        <v>0.6021</v>
      </c>
      <c r="S419" s="12" t="n">
        <v>0.5116</v>
      </c>
      <c r="T419" s="3" t="n">
        <v>0.1051</v>
      </c>
      <c r="U419" s="12" t="n">
        <v>0.6391</v>
      </c>
      <c r="V419" s="12" t="n">
        <v>0.4619</v>
      </c>
      <c r="W419" s="12" t="n">
        <v>0.4985</v>
      </c>
      <c r="X419" s="3" t="n">
        <v>0.5961</v>
      </c>
      <c r="Y419" s="3" t="n">
        <v>0.8705</v>
      </c>
      <c r="Z419" s="14" t="n">
        <f aca="false">Assumptions!$B$3*R419+Assumptions!$B$4*S419+IF(AA419=1,Assumptions!$B$11,Assumptions!$B$5)*X419+IF(AA419=1,Assumptions!$B$12,Assumptions!$B$6)*T419+Assumptions!$B$7*U419+Assumptions!$B$8*V419+Assumptions!$B$9*Y419</f>
        <v>0.582323</v>
      </c>
      <c r="AA419" s="3" t="n">
        <v>1</v>
      </c>
    </row>
    <row r="420" customFormat="false" ht="15" hidden="false" customHeight="false" outlineLevel="0" collapsed="false">
      <c r="A420" s="3" t="s">
        <v>605</v>
      </c>
      <c r="B420" s="3" t="n">
        <v>490</v>
      </c>
      <c r="C420" s="11" t="str">
        <f aca="false">IF(M420&gt;=Assumptions!$B$17,"S+",IF(M420&gt;=Assumptions!$B$18,"S",IF(M420&gt;=Assumptions!$B$19,"A",IF(M420&gt;=Assumptions!$B$20,"B",IF(M420&gt;=Assumptions!$B$21,"C",IF(M420&gt;=Assumptions!$B$22,"D","F"))))))</f>
        <v>C</v>
      </c>
      <c r="D420" s="3" t="s">
        <v>197</v>
      </c>
      <c r="E420" s="3" t="n">
        <v>3</v>
      </c>
      <c r="F420" s="12" t="n">
        <v>0.8688</v>
      </c>
      <c r="G420" s="12" t="n">
        <v>0.4</v>
      </c>
      <c r="H420" s="12" t="n">
        <v>0.75</v>
      </c>
      <c r="I420" s="12" t="n">
        <v>0.6481</v>
      </c>
      <c r="J420" s="12" t="n">
        <v>0.3854</v>
      </c>
      <c r="K420" s="12" t="n">
        <v>0.587</v>
      </c>
      <c r="L420" s="3" t="n">
        <v>3.88</v>
      </c>
      <c r="M420" s="12" t="n">
        <f aca="false">Z420-W420</f>
        <v>0.083607</v>
      </c>
      <c r="N420" s="12" t="n">
        <f aca="false">IFERROR((Z420-J420)/L420,"")</f>
        <v>0.0519605670103093</v>
      </c>
      <c r="O420" s="3" t="n">
        <v>17</v>
      </c>
      <c r="P420" s="13" t="b">
        <f aca="false">FALSE()</f>
        <v>0</v>
      </c>
      <c r="Q420" s="3" t="s">
        <v>166</v>
      </c>
      <c r="R420" s="12" t="n">
        <v>0.7331</v>
      </c>
      <c r="S420" s="12" t="n">
        <v>0.4615</v>
      </c>
      <c r="T420" s="3" t="n">
        <v>0.4558</v>
      </c>
      <c r="U420" s="12" t="n">
        <v>0.5792</v>
      </c>
      <c r="V420" s="12" t="n">
        <v>0.4648</v>
      </c>
      <c r="W420" s="12" t="n">
        <v>0.5034</v>
      </c>
      <c r="X420" s="3" t="n">
        <v>0.6317</v>
      </c>
      <c r="Y420" s="3" t="n">
        <v>0.6236</v>
      </c>
      <c r="Z420" s="14" t="n">
        <f aca="false">Assumptions!$B$3*R420+Assumptions!$B$4*S420+IF(AA420=1,Assumptions!$B$11,Assumptions!$B$5)*X420+IF(AA420=1,Assumptions!$B$12,Assumptions!$B$6)*T420+Assumptions!$B$7*U420+Assumptions!$B$8*V420+Assumptions!$B$9*Y420</f>
        <v>0.587007</v>
      </c>
      <c r="AA420" s="3" t="n">
        <v>0</v>
      </c>
    </row>
    <row r="421" customFormat="false" ht="15" hidden="false" customHeight="false" outlineLevel="0" collapsed="false">
      <c r="A421" s="3" t="s">
        <v>606</v>
      </c>
      <c r="B421" s="3" t="n">
        <v>490</v>
      </c>
      <c r="C421" s="11" t="str">
        <f aca="false">IF(M421&gt;=Assumptions!$B$17,"S+",IF(M421&gt;=Assumptions!$B$18,"S",IF(M421&gt;=Assumptions!$B$19,"A",IF(M421&gt;=Assumptions!$B$20,"B",IF(M421&gt;=Assumptions!$B$21,"C",IF(M421&gt;=Assumptions!$B$22,"D","F"))))))</f>
        <v>C</v>
      </c>
      <c r="D421" s="3" t="s">
        <v>190</v>
      </c>
      <c r="E421" s="3" t="n">
        <v>5</v>
      </c>
      <c r="F421" s="12" t="n">
        <v>0.9008</v>
      </c>
      <c r="G421" s="12" t="n">
        <v>0.6</v>
      </c>
      <c r="H421" s="12" t="n">
        <v>0.75</v>
      </c>
      <c r="I421" s="12" t="n">
        <v>0.7443</v>
      </c>
      <c r="J421" s="12" t="n">
        <v>0.4145</v>
      </c>
      <c r="K421" s="12" t="n">
        <v>0.5664</v>
      </c>
      <c r="L421" s="3" t="n">
        <v>5</v>
      </c>
      <c r="M421" s="12" t="n">
        <f aca="false">Z421-W421</f>
        <v>0.0835440000000001</v>
      </c>
      <c r="N421" s="12" t="n">
        <f aca="false">IFERROR((Z421-J421)/L421,"")</f>
        <v>0.0303688</v>
      </c>
      <c r="O421" s="3" t="n">
        <v>15</v>
      </c>
      <c r="P421" s="13" t="b">
        <f aca="false">FALSE()</f>
        <v>0</v>
      </c>
      <c r="Q421" s="3" t="s">
        <v>166</v>
      </c>
      <c r="R421" s="12" t="n">
        <v>0.8203</v>
      </c>
      <c r="S421" s="12" t="n">
        <v>0.4451</v>
      </c>
      <c r="T421" s="3" t="n">
        <v>0.4039</v>
      </c>
      <c r="U421" s="12" t="n">
        <v>0.4718</v>
      </c>
      <c r="V421" s="12" t="n">
        <v>0.4775</v>
      </c>
      <c r="W421" s="12" t="n">
        <v>0.4828</v>
      </c>
      <c r="X421" s="3" t="n">
        <v>0.4028</v>
      </c>
      <c r="Y421" s="3" t="n">
        <v>0.7368</v>
      </c>
      <c r="Z421" s="14" t="n">
        <f aca="false">Assumptions!$B$3*R421+Assumptions!$B$4*S421+IF(AA421=1,Assumptions!$B$11,Assumptions!$B$5)*X421+IF(AA421=1,Assumptions!$B$12,Assumptions!$B$6)*T421+Assumptions!$B$7*U421+Assumptions!$B$8*V421+Assumptions!$B$9*Y421</f>
        <v>0.566344</v>
      </c>
      <c r="AA421" s="3" t="n">
        <v>0</v>
      </c>
    </row>
    <row r="422" customFormat="false" ht="15" hidden="false" customHeight="false" outlineLevel="0" collapsed="false">
      <c r="A422" s="3" t="s">
        <v>607</v>
      </c>
      <c r="B422" s="3" t="n">
        <v>590</v>
      </c>
      <c r="C422" s="11" t="str">
        <f aca="false">IF(M422&gt;=Assumptions!$B$17,"S+",IF(M422&gt;=Assumptions!$B$18,"S",IF(M422&gt;=Assumptions!$B$19,"A",IF(M422&gt;=Assumptions!$B$20,"B",IF(M422&gt;=Assumptions!$B$21,"C",IF(M422&gt;=Assumptions!$B$22,"D","F"))))))</f>
        <v>C</v>
      </c>
      <c r="D422" s="3" t="s">
        <v>190</v>
      </c>
      <c r="E422" s="3" t="n">
        <v>7</v>
      </c>
      <c r="F422" s="12" t="n">
        <v>0.8243</v>
      </c>
      <c r="G422" s="12" t="n">
        <v>0.6</v>
      </c>
      <c r="H422" s="12" t="n">
        <v>0.75</v>
      </c>
      <c r="I422" s="12" t="n">
        <v>0.7152</v>
      </c>
      <c r="J422" s="12" t="n">
        <v>0.3437</v>
      </c>
      <c r="K422" s="12" t="n">
        <v>0.5603</v>
      </c>
      <c r="L422" s="3" t="n">
        <v>6</v>
      </c>
      <c r="M422" s="12" t="n">
        <f aca="false">Z422-W422</f>
        <v>0.083359</v>
      </c>
      <c r="N422" s="12" t="n">
        <f aca="false">IFERROR((Z422-J422)/L422,"")</f>
        <v>0.0360931666666667</v>
      </c>
      <c r="O422" s="3" t="n">
        <v>13</v>
      </c>
      <c r="P422" s="13" t="b">
        <f aca="false">FALSE()</f>
        <v>0</v>
      </c>
      <c r="Q422" s="3" t="s">
        <v>166</v>
      </c>
      <c r="R422" s="12" t="n">
        <v>0.4997</v>
      </c>
      <c r="S422" s="12" t="n">
        <v>0.806</v>
      </c>
      <c r="T422" s="3" t="n">
        <v>0.2404</v>
      </c>
      <c r="U422" s="12" t="n">
        <v>0.5326</v>
      </c>
      <c r="V422" s="12" t="n">
        <v>0.4619</v>
      </c>
      <c r="W422" s="12" t="n">
        <v>0.4769</v>
      </c>
      <c r="X422" s="3" t="n">
        <v>0.655</v>
      </c>
      <c r="Y422" s="3" t="n">
        <v>0.7172</v>
      </c>
      <c r="Z422" s="14" t="n">
        <f aca="false">Assumptions!$B$3*R422+Assumptions!$B$4*S422+IF(AA422=1,Assumptions!$B$11,Assumptions!$B$5)*X422+IF(AA422=1,Assumptions!$B$12,Assumptions!$B$6)*T422+Assumptions!$B$7*U422+Assumptions!$B$8*V422+Assumptions!$B$9*Y422</f>
        <v>0.560259</v>
      </c>
      <c r="AA422" s="3" t="n">
        <v>0</v>
      </c>
    </row>
    <row r="423" customFormat="false" ht="15" hidden="false" customHeight="false" outlineLevel="0" collapsed="false">
      <c r="A423" s="3" t="s">
        <v>608</v>
      </c>
      <c r="B423" s="3" t="n">
        <v>405</v>
      </c>
      <c r="C423" s="11" t="str">
        <f aca="false">IF(M423&gt;=Assumptions!$B$17,"S+",IF(M423&gt;=Assumptions!$B$18,"S",IF(M423&gt;=Assumptions!$B$19,"A",IF(M423&gt;=Assumptions!$B$20,"B",IF(M423&gt;=Assumptions!$B$21,"C",IF(M423&gt;=Assumptions!$B$22,"D","F"))))))</f>
        <v>C</v>
      </c>
      <c r="D423" s="3" t="s">
        <v>228</v>
      </c>
      <c r="E423" s="3" t="n">
        <v>7</v>
      </c>
      <c r="F423" s="12" t="n">
        <v>0.7137</v>
      </c>
      <c r="G423" s="12" t="n">
        <v>0.4</v>
      </c>
      <c r="H423" s="12" t="n">
        <v>0.75</v>
      </c>
      <c r="I423" s="12" t="n">
        <v>0.5704</v>
      </c>
      <c r="J423" s="12" t="n">
        <v>0.329</v>
      </c>
      <c r="K423" s="12" t="n">
        <v>0.5594</v>
      </c>
      <c r="L423" s="3" t="n">
        <v>4</v>
      </c>
      <c r="M423" s="12" t="n">
        <f aca="false">Z423-W423</f>
        <v>0.0828730000000001</v>
      </c>
      <c r="N423" s="12" t="n">
        <f aca="false">IFERROR((Z423-J423)/L423,"")</f>
        <v>0.05759325</v>
      </c>
      <c r="O423" s="3" t="n">
        <v>13</v>
      </c>
      <c r="P423" s="13" t="b">
        <f aca="false">FALSE()</f>
        <v>0</v>
      </c>
      <c r="Q423" s="3" t="s">
        <v>166</v>
      </c>
      <c r="R423" s="12" t="n">
        <v>0.6236</v>
      </c>
      <c r="S423" s="12" t="n">
        <v>0.5996</v>
      </c>
      <c r="T423" s="3" t="n">
        <v>0.049</v>
      </c>
      <c r="U423" s="12" t="n">
        <v>0.503</v>
      </c>
      <c r="V423" s="12" t="n">
        <v>0.4987</v>
      </c>
      <c r="W423" s="12" t="n">
        <v>0.4765</v>
      </c>
      <c r="X423" s="3" t="n">
        <v>0.8725</v>
      </c>
      <c r="Y423" s="3" t="n">
        <v>0.5666</v>
      </c>
      <c r="Z423" s="14" t="n">
        <f aca="false">Assumptions!$B$3*R423+Assumptions!$B$4*S423+IF(AA423=1,Assumptions!$B$11,Assumptions!$B$5)*X423+IF(AA423=1,Assumptions!$B$12,Assumptions!$B$6)*T423+Assumptions!$B$7*U423+Assumptions!$B$8*V423+Assumptions!$B$9*Y423</f>
        <v>0.559373</v>
      </c>
      <c r="AA423" s="3" t="n">
        <v>0</v>
      </c>
    </row>
    <row r="424" customFormat="false" ht="15" hidden="false" customHeight="false" outlineLevel="0" collapsed="false">
      <c r="A424" s="3" t="s">
        <v>609</v>
      </c>
      <c r="B424" s="3" t="n">
        <v>520</v>
      </c>
      <c r="C424" s="11" t="str">
        <f aca="false">IF(M424&gt;=Assumptions!$B$17,"S+",IF(M424&gt;=Assumptions!$B$18,"S",IF(M424&gt;=Assumptions!$B$19,"A",IF(M424&gt;=Assumptions!$B$20,"B",IF(M424&gt;=Assumptions!$B$21,"C",IF(M424&gt;=Assumptions!$B$22,"D","F"))))))</f>
        <v>C</v>
      </c>
      <c r="D424" s="3" t="s">
        <v>218</v>
      </c>
      <c r="E424" s="3" t="n">
        <v>1</v>
      </c>
      <c r="F424" s="12" t="n">
        <v>0.7024</v>
      </c>
      <c r="G424" s="12" t="n">
        <v>0.8</v>
      </c>
      <c r="H424" s="12" t="n">
        <v>0.75</v>
      </c>
      <c r="I424" s="12" t="n">
        <v>0.7588</v>
      </c>
      <c r="J424" s="12" t="n">
        <v>0.438</v>
      </c>
      <c r="K424" s="12" t="n">
        <v>0.5872</v>
      </c>
      <c r="L424" s="3" t="n">
        <v>4.47</v>
      </c>
      <c r="M424" s="12" t="n">
        <f aca="false">Z424-W424</f>
        <v>0.0827460000000001</v>
      </c>
      <c r="N424" s="12" t="n">
        <f aca="false">IFERROR((Z424-J424)/L424,"")</f>
        <v>0.0333883668903803</v>
      </c>
      <c r="O424" s="3" t="n">
        <v>19</v>
      </c>
      <c r="P424" s="13" t="b">
        <f aca="false">FALSE()</f>
        <v>0</v>
      </c>
      <c r="Q424" s="3" t="s">
        <v>166</v>
      </c>
      <c r="R424" s="12" t="n">
        <v>0.7872</v>
      </c>
      <c r="S424" s="12" t="n">
        <v>0.6037</v>
      </c>
      <c r="T424" s="3" t="n">
        <v>0.6034</v>
      </c>
      <c r="U424" s="12" t="n">
        <v>0.251</v>
      </c>
      <c r="V424" s="12" t="n">
        <v>0.4579</v>
      </c>
      <c r="W424" s="12" t="n">
        <v>0.5045</v>
      </c>
      <c r="X424" s="3" t="n">
        <v>0.4577</v>
      </c>
      <c r="Y424" s="3" t="n">
        <v>0.7091</v>
      </c>
      <c r="Z424" s="14" t="n">
        <f aca="false">Assumptions!$B$3*R424+Assumptions!$B$4*S424+IF(AA424=1,Assumptions!$B$11,Assumptions!$B$5)*X424+IF(AA424=1,Assumptions!$B$12,Assumptions!$B$6)*T424+Assumptions!$B$7*U424+Assumptions!$B$8*V424+Assumptions!$B$9*Y424</f>
        <v>0.587246</v>
      </c>
      <c r="AA424" s="3" t="n">
        <v>0</v>
      </c>
    </row>
    <row r="425" customFormat="false" ht="15" hidden="false" customHeight="false" outlineLevel="0" collapsed="false">
      <c r="A425" s="3" t="s">
        <v>610</v>
      </c>
      <c r="B425" s="3" t="n">
        <v>510</v>
      </c>
      <c r="C425" s="11" t="str">
        <f aca="false">IF(M425&gt;=Assumptions!$B$17,"S+",IF(M425&gt;=Assumptions!$B$18,"S",IF(M425&gt;=Assumptions!$B$19,"A",IF(M425&gt;=Assumptions!$B$20,"B",IF(M425&gt;=Assumptions!$B$21,"C",IF(M425&gt;=Assumptions!$B$22,"D","F"))))))</f>
        <v>C</v>
      </c>
      <c r="D425" s="3" t="s">
        <v>190</v>
      </c>
      <c r="E425" s="3" t="n">
        <v>5</v>
      </c>
      <c r="F425" s="12" t="n">
        <v>0.7484</v>
      </c>
      <c r="G425" s="12" t="n">
        <v>0.8</v>
      </c>
      <c r="H425" s="12" t="n">
        <v>0.75</v>
      </c>
      <c r="I425" s="12" t="n">
        <v>0.7704</v>
      </c>
      <c r="J425" s="12" t="n">
        <v>0.3963</v>
      </c>
      <c r="K425" s="12" t="n">
        <v>0.5636</v>
      </c>
      <c r="L425" s="3" t="n">
        <v>4.47</v>
      </c>
      <c r="M425" s="12" t="n">
        <f aca="false">Z425-W425</f>
        <v>0.082461</v>
      </c>
      <c r="N425" s="12" t="n">
        <f aca="false">IFERROR((Z425-J425)/L425,"")</f>
        <v>0.0374409395973154</v>
      </c>
      <c r="O425" s="3" t="n">
        <v>15</v>
      </c>
      <c r="P425" s="13" t="b">
        <f aca="false">FALSE()</f>
        <v>0</v>
      </c>
      <c r="Q425" s="3" t="s">
        <v>166</v>
      </c>
      <c r="R425" s="12" t="n">
        <v>0.7827</v>
      </c>
      <c r="S425" s="12" t="n">
        <v>0.6531</v>
      </c>
      <c r="T425" s="3" t="n">
        <v>0.2711</v>
      </c>
      <c r="U425" s="12" t="n">
        <v>0.2616</v>
      </c>
      <c r="V425" s="12" t="n">
        <v>0.4646</v>
      </c>
      <c r="W425" s="12" t="n">
        <v>0.4812</v>
      </c>
      <c r="X425" s="3" t="n">
        <v>0.4691</v>
      </c>
      <c r="Y425" s="3" t="n">
        <v>0.7734</v>
      </c>
      <c r="Z425" s="14" t="n">
        <f aca="false">Assumptions!$B$3*R425+Assumptions!$B$4*S425+IF(AA425=1,Assumptions!$B$11,Assumptions!$B$5)*X425+IF(AA425=1,Assumptions!$B$12,Assumptions!$B$6)*T425+Assumptions!$B$7*U425+Assumptions!$B$8*V425+Assumptions!$B$9*Y425</f>
        <v>0.563661</v>
      </c>
      <c r="AA425" s="3" t="n">
        <v>0</v>
      </c>
    </row>
    <row r="426" customFormat="false" ht="15" hidden="false" customHeight="false" outlineLevel="0" collapsed="false">
      <c r="A426" s="3" t="s">
        <v>611</v>
      </c>
      <c r="B426" s="3" t="n">
        <v>417</v>
      </c>
      <c r="C426" s="11" t="str">
        <f aca="false">IF(M426&gt;=Assumptions!$B$17,"S+",IF(M426&gt;=Assumptions!$B$18,"S",IF(M426&gt;=Assumptions!$B$19,"A",IF(M426&gt;=Assumptions!$B$20,"B",IF(M426&gt;=Assumptions!$B$21,"C",IF(M426&gt;=Assumptions!$B$22,"D","F"))))))</f>
        <v>C</v>
      </c>
      <c r="D426" s="3" t="s">
        <v>218</v>
      </c>
      <c r="E426" s="3" t="n">
        <v>7</v>
      </c>
      <c r="F426" s="12" t="n">
        <v>0.7768</v>
      </c>
      <c r="G426" s="12" t="n">
        <v>0.8</v>
      </c>
      <c r="H426" s="12" t="n">
        <v>0.75</v>
      </c>
      <c r="I426" s="12" t="n">
        <v>0.7826</v>
      </c>
      <c r="J426" s="12" t="n">
        <v>0.3823</v>
      </c>
      <c r="K426" s="12" t="n">
        <v>0.5924</v>
      </c>
      <c r="L426" s="3" t="n">
        <v>6.08</v>
      </c>
      <c r="M426" s="12" t="n">
        <f aca="false">Z426-W426</f>
        <v>0.0817049999999999</v>
      </c>
      <c r="N426" s="12" t="n">
        <f aca="false">IFERROR((Z426-J426)/L426,"")</f>
        <v>0.0345567434210526</v>
      </c>
      <c r="O426" s="3" t="n">
        <v>13</v>
      </c>
      <c r="P426" s="13" t="b">
        <f aca="false">FALSE()</f>
        <v>0</v>
      </c>
      <c r="Q426" s="3" t="s">
        <v>166</v>
      </c>
      <c r="R426" s="12" t="n">
        <v>0.9487</v>
      </c>
      <c r="S426" s="12" t="n">
        <v>0.474</v>
      </c>
      <c r="T426" s="3" t="n">
        <v>0.2319</v>
      </c>
      <c r="U426" s="12" t="n">
        <v>0.4556</v>
      </c>
      <c r="V426" s="12" t="n">
        <v>0.4969</v>
      </c>
      <c r="W426" s="12" t="n">
        <v>0.5107</v>
      </c>
      <c r="X426" s="3" t="n">
        <v>0.4256</v>
      </c>
      <c r="Y426" s="3" t="n">
        <v>0.785</v>
      </c>
      <c r="Z426" s="14" t="n">
        <f aca="false">Assumptions!$B$3*R426+Assumptions!$B$4*S426+IF(AA426=1,Assumptions!$B$11,Assumptions!$B$5)*X426+IF(AA426=1,Assumptions!$B$12,Assumptions!$B$6)*T426+Assumptions!$B$7*U426+Assumptions!$B$8*V426+Assumptions!$B$9*Y426</f>
        <v>0.592405</v>
      </c>
      <c r="AA426" s="3" t="n">
        <v>0</v>
      </c>
    </row>
    <row r="427" customFormat="false" ht="15" hidden="false" customHeight="false" outlineLevel="0" collapsed="false">
      <c r="A427" s="3" t="s">
        <v>612</v>
      </c>
      <c r="B427" s="3" t="n">
        <v>435</v>
      </c>
      <c r="C427" s="11" t="str">
        <f aca="false">IF(M427&gt;=Assumptions!$B$17,"S+",IF(M427&gt;=Assumptions!$B$18,"S",IF(M427&gt;=Assumptions!$B$19,"A",IF(M427&gt;=Assumptions!$B$20,"B",IF(M427&gt;=Assumptions!$B$21,"C",IF(M427&gt;=Assumptions!$B$22,"D","F"))))))</f>
        <v>C</v>
      </c>
      <c r="D427" s="3" t="s">
        <v>253</v>
      </c>
      <c r="E427" s="3" t="n">
        <v>6</v>
      </c>
      <c r="F427" s="12" t="n">
        <v>0.6471</v>
      </c>
      <c r="G427" s="12" t="n">
        <v>0.8</v>
      </c>
      <c r="H427" s="12" t="n">
        <v>0.75</v>
      </c>
      <c r="I427" s="12" t="n">
        <v>0.7411</v>
      </c>
      <c r="J427" s="12" t="n">
        <v>0.3402</v>
      </c>
      <c r="K427" s="12" t="n">
        <v>0.6081</v>
      </c>
      <c r="L427" s="3" t="n">
        <v>6</v>
      </c>
      <c r="M427" s="12" t="n">
        <f aca="false">Z427-W427</f>
        <v>0.08152</v>
      </c>
      <c r="N427" s="12" t="n">
        <f aca="false">IFERROR((Z427-J427)/L427,"")</f>
        <v>0.0446533333333333</v>
      </c>
      <c r="O427" s="3" t="n">
        <v>14</v>
      </c>
      <c r="P427" s="13" t="b">
        <f aca="false">FALSE()</f>
        <v>0</v>
      </c>
      <c r="Q427" s="3" t="s">
        <v>166</v>
      </c>
      <c r="R427" s="12" t="n">
        <v>0.6929</v>
      </c>
      <c r="S427" s="12" t="n">
        <v>0.5977</v>
      </c>
      <c r="T427" s="3" t="n">
        <v>0.0836</v>
      </c>
      <c r="U427" s="12" t="n">
        <v>0.5165</v>
      </c>
      <c r="V427" s="12" t="n">
        <v>0.5235</v>
      </c>
      <c r="W427" s="12" t="n">
        <v>0.5266</v>
      </c>
      <c r="X427" s="3" t="n">
        <v>0.9034</v>
      </c>
      <c r="Y427" s="3" t="n">
        <v>0.745</v>
      </c>
      <c r="Z427" s="14" t="n">
        <f aca="false">Assumptions!$B$3*R427+Assumptions!$B$4*S427+IF(AA427=1,Assumptions!$B$11,Assumptions!$B$5)*X427+IF(AA427=1,Assumptions!$B$12,Assumptions!$B$6)*T427+Assumptions!$B$7*U427+Assumptions!$B$8*V427+Assumptions!$B$9*Y427</f>
        <v>0.60812</v>
      </c>
      <c r="AA427" s="3" t="n">
        <v>0</v>
      </c>
    </row>
    <row r="428" customFormat="false" ht="15" hidden="false" customHeight="false" outlineLevel="0" collapsed="false">
      <c r="A428" s="3" t="s">
        <v>613</v>
      </c>
      <c r="B428" s="3" t="n">
        <v>460</v>
      </c>
      <c r="C428" s="11" t="str">
        <f aca="false">IF(M428&gt;=Assumptions!$B$17,"S+",IF(M428&gt;=Assumptions!$B$18,"S",IF(M428&gt;=Assumptions!$B$19,"A",IF(M428&gt;=Assumptions!$B$20,"B",IF(M428&gt;=Assumptions!$B$21,"C",IF(M428&gt;=Assumptions!$B$22,"D","F"))))))</f>
        <v>C</v>
      </c>
      <c r="D428" s="3" t="s">
        <v>218</v>
      </c>
      <c r="E428" s="3" t="n">
        <v>2</v>
      </c>
      <c r="F428" s="12" t="n">
        <v>0.7655</v>
      </c>
      <c r="G428" s="12" t="n">
        <v>0.8</v>
      </c>
      <c r="H428" s="12" t="n">
        <v>0.75</v>
      </c>
      <c r="I428" s="12" t="n">
        <v>0.779</v>
      </c>
      <c r="J428" s="12" t="n">
        <v>0.4008</v>
      </c>
      <c r="K428" s="12" t="n">
        <v>0.5879</v>
      </c>
      <c r="L428" s="3" t="n">
        <v>3.75</v>
      </c>
      <c r="M428" s="12" t="n">
        <f aca="false">Z428-W428</f>
        <v>0.0811599999999999</v>
      </c>
      <c r="N428" s="12" t="n">
        <f aca="false">IFERROR((Z428-J428)/L428,"")</f>
        <v>0.0498826666666667</v>
      </c>
      <c r="O428" s="3" t="n">
        <v>18</v>
      </c>
      <c r="P428" s="13" t="b">
        <f aca="false">FALSE()</f>
        <v>0</v>
      </c>
      <c r="Q428" s="3" t="s">
        <v>166</v>
      </c>
      <c r="R428" s="12" t="n">
        <v>0.7837</v>
      </c>
      <c r="S428" s="12" t="n">
        <v>0.6035</v>
      </c>
      <c r="T428" s="3" t="n">
        <v>0.3583</v>
      </c>
      <c r="U428" s="12" t="n">
        <v>0.282</v>
      </c>
      <c r="V428" s="12" t="n">
        <v>0.4579</v>
      </c>
      <c r="W428" s="12" t="n">
        <v>0.5067</v>
      </c>
      <c r="X428" s="3" t="n">
        <v>0.6528</v>
      </c>
      <c r="Y428" s="3" t="n">
        <v>0.6756</v>
      </c>
      <c r="Z428" s="14" t="n">
        <f aca="false">Assumptions!$B$3*R428+Assumptions!$B$4*S428+IF(AA428=1,Assumptions!$B$11,Assumptions!$B$5)*X428+IF(AA428=1,Assumptions!$B$12,Assumptions!$B$6)*T428+Assumptions!$B$7*U428+Assumptions!$B$8*V428+Assumptions!$B$9*Y428</f>
        <v>0.58786</v>
      </c>
      <c r="AA428" s="3" t="n">
        <v>0</v>
      </c>
    </row>
    <row r="429" customFormat="false" ht="15" hidden="false" customHeight="false" outlineLevel="0" collapsed="false">
      <c r="A429" s="3" t="s">
        <v>614</v>
      </c>
      <c r="B429" s="3" t="n">
        <v>570</v>
      </c>
      <c r="C429" s="11" t="str">
        <f aca="false">IF(M429&gt;=Assumptions!$B$17,"S+",IF(M429&gt;=Assumptions!$B$18,"S",IF(M429&gt;=Assumptions!$B$19,"A",IF(M429&gt;=Assumptions!$B$20,"B",IF(M429&gt;=Assumptions!$B$21,"C",IF(M429&gt;=Assumptions!$B$22,"D","F"))))))</f>
        <v>C</v>
      </c>
      <c r="D429" s="3" t="s">
        <v>247</v>
      </c>
      <c r="E429" s="3" t="n">
        <v>1</v>
      </c>
      <c r="F429" s="12" t="n">
        <v>0.7689</v>
      </c>
      <c r="G429" s="12" t="n">
        <v>0.6</v>
      </c>
      <c r="H429" s="12" t="n">
        <v>0.75</v>
      </c>
      <c r="I429" s="12" t="n">
        <v>0.684</v>
      </c>
      <c r="J429" s="12" t="n">
        <v>0.3433</v>
      </c>
      <c r="K429" s="12" t="n">
        <v>0.5275</v>
      </c>
      <c r="L429" s="3" t="n">
        <v>3.61</v>
      </c>
      <c r="M429" s="12" t="n">
        <f aca="false">Z429-W429</f>
        <v>0.0808909999999999</v>
      </c>
      <c r="N429" s="12" t="n">
        <f aca="false">IFERROR((Z429-J429)/L429,"")</f>
        <v>0.0510224376731302</v>
      </c>
      <c r="O429" s="3" t="n">
        <v>19</v>
      </c>
      <c r="P429" s="13" t="b">
        <f aca="false">FALSE()</f>
        <v>0</v>
      </c>
      <c r="Q429" s="3" t="s">
        <v>166</v>
      </c>
      <c r="R429" s="12" t="n">
        <v>0.8058</v>
      </c>
      <c r="S429" s="12" t="n">
        <v>0.5519</v>
      </c>
      <c r="T429" s="3" t="n">
        <v>0.0675</v>
      </c>
      <c r="U429" s="12" t="n">
        <v>0.3684</v>
      </c>
      <c r="V429" s="12" t="n">
        <v>0.3172</v>
      </c>
      <c r="W429" s="12" t="n">
        <v>0.4466</v>
      </c>
      <c r="X429" s="3" t="n">
        <v>0.5711</v>
      </c>
      <c r="Y429" s="3" t="n">
        <v>0.6399</v>
      </c>
      <c r="Z429" s="14" t="n">
        <f aca="false">Assumptions!$B$3*R429+Assumptions!$B$4*S429+IF(AA429=1,Assumptions!$B$11,Assumptions!$B$5)*X429+IF(AA429=1,Assumptions!$B$12,Assumptions!$B$6)*T429+Assumptions!$B$7*U429+Assumptions!$B$8*V429+Assumptions!$B$9*Y429</f>
        <v>0.527491</v>
      </c>
      <c r="AA429" s="3" t="n">
        <v>0</v>
      </c>
    </row>
    <row r="430" customFormat="false" ht="15" hidden="false" customHeight="false" outlineLevel="0" collapsed="false">
      <c r="A430" s="3" t="s">
        <v>615</v>
      </c>
      <c r="B430" s="3" t="n">
        <v>304</v>
      </c>
      <c r="C430" s="11" t="str">
        <f aca="false">IF(M430&gt;=Assumptions!$B$17,"S+",IF(M430&gt;=Assumptions!$B$18,"S",IF(M430&gt;=Assumptions!$B$19,"A",IF(M430&gt;=Assumptions!$B$20,"B",IF(M430&gt;=Assumptions!$B$21,"C",IF(M430&gt;=Assumptions!$B$22,"D","F"))))))</f>
        <v>C</v>
      </c>
      <c r="D430" s="3" t="s">
        <v>188</v>
      </c>
      <c r="E430" s="3" t="n">
        <v>3</v>
      </c>
      <c r="F430" s="12" t="n">
        <v>0.7917</v>
      </c>
      <c r="G430" s="12" t="n">
        <v>0.6</v>
      </c>
      <c r="H430" s="12" t="n">
        <v>0.75</v>
      </c>
      <c r="I430" s="12" t="n">
        <v>0.6588</v>
      </c>
      <c r="J430" s="12" t="n">
        <v>0.2726</v>
      </c>
      <c r="K430" s="12" t="n">
        <v>0.4669</v>
      </c>
      <c r="L430" s="3" t="n">
        <v>5.82</v>
      </c>
      <c r="M430" s="12" t="n">
        <f aca="false">Z430-W430</f>
        <v>0.08069</v>
      </c>
      <c r="N430" s="12" t="n">
        <f aca="false">IFERROR((Z430-J430)/L430,"")</f>
        <v>0.0333831615120275</v>
      </c>
      <c r="O430" s="3" t="n">
        <v>17</v>
      </c>
      <c r="P430" s="13" t="b">
        <f aca="false">FALSE()</f>
        <v>0</v>
      </c>
      <c r="Q430" s="3" t="s">
        <v>166</v>
      </c>
      <c r="R430" s="12" t="n">
        <v>0.6516</v>
      </c>
      <c r="S430" s="12" t="n">
        <v>0.138</v>
      </c>
      <c r="T430" s="3" t="n">
        <v>0.4356</v>
      </c>
      <c r="U430" s="12" t="n">
        <v>0.6516</v>
      </c>
      <c r="V430" s="12" t="n">
        <v>0.4954</v>
      </c>
      <c r="W430" s="12" t="n">
        <v>0.3862</v>
      </c>
      <c r="X430" s="3" t="n">
        <v>0.2533</v>
      </c>
      <c r="Y430" s="3" t="n">
        <v>0.6432</v>
      </c>
      <c r="Z430" s="14" t="n">
        <f aca="false">Assumptions!$B$3*R430+Assumptions!$B$4*S430+IF(AA430=1,Assumptions!$B$11,Assumptions!$B$5)*X430+IF(AA430=1,Assumptions!$B$12,Assumptions!$B$6)*T430+Assumptions!$B$7*U430+Assumptions!$B$8*V430+Assumptions!$B$9*Y430</f>
        <v>0.46689</v>
      </c>
      <c r="AA430" s="3" t="n">
        <v>0</v>
      </c>
    </row>
    <row r="431" customFormat="false" ht="15" hidden="false" customHeight="false" outlineLevel="0" collapsed="false">
      <c r="A431" s="3" t="s">
        <v>616</v>
      </c>
      <c r="B431" s="3" t="n">
        <v>500</v>
      </c>
      <c r="C431" s="11" t="str">
        <f aca="false">IF(M431&gt;=Assumptions!$B$17,"S+",IF(M431&gt;=Assumptions!$B$18,"S",IF(M431&gt;=Assumptions!$B$19,"A",IF(M431&gt;=Assumptions!$B$20,"B",IF(M431&gt;=Assumptions!$B$21,"C",IF(M431&gt;=Assumptions!$B$22,"D","F"))))))</f>
        <v>C</v>
      </c>
      <c r="D431" s="3" t="s">
        <v>253</v>
      </c>
      <c r="E431" s="3" t="n">
        <v>6</v>
      </c>
      <c r="F431" s="12" t="n">
        <v>0.9759</v>
      </c>
      <c r="G431" s="12" t="n">
        <v>1</v>
      </c>
      <c r="H431" s="12" t="n">
        <v>0.75</v>
      </c>
      <c r="I431" s="12" t="n">
        <v>0.9423</v>
      </c>
      <c r="J431" s="12" t="n">
        <v>0.378</v>
      </c>
      <c r="K431" s="12" t="n">
        <v>0.6072</v>
      </c>
      <c r="L431" s="3" t="n">
        <v>5</v>
      </c>
      <c r="M431" s="12" t="n">
        <f aca="false">Z431-W431</f>
        <v>0.0805659999999999</v>
      </c>
      <c r="N431" s="12" t="n">
        <f aca="false">IFERROR((Z431-J431)/L431,"")</f>
        <v>0.0458332</v>
      </c>
      <c r="O431" s="3" t="n">
        <v>14</v>
      </c>
      <c r="P431" s="13" t="b">
        <f aca="false">FALSE()</f>
        <v>0</v>
      </c>
      <c r="Q431" s="3" t="s">
        <v>166</v>
      </c>
      <c r="R431" s="12" t="n">
        <v>0.775</v>
      </c>
      <c r="S431" s="12" t="n">
        <v>0.5471</v>
      </c>
      <c r="T431" s="3" t="n">
        <v>0.0673</v>
      </c>
      <c r="U431" s="12" t="n">
        <v>0.456</v>
      </c>
      <c r="V431" s="12" t="n">
        <v>0.4527</v>
      </c>
      <c r="W431" s="12" t="n">
        <v>0.5266</v>
      </c>
      <c r="X431" s="3" t="n">
        <v>0.7863</v>
      </c>
      <c r="Y431" s="3" t="n">
        <v>0.9432</v>
      </c>
      <c r="Z431" s="14" t="n">
        <f aca="false">Assumptions!$B$3*R431+Assumptions!$B$4*S431+IF(AA431=1,Assumptions!$B$11,Assumptions!$B$5)*X431+IF(AA431=1,Assumptions!$B$12,Assumptions!$B$6)*T431+Assumptions!$B$7*U431+Assumptions!$B$8*V431+Assumptions!$B$9*Y431</f>
        <v>0.607166</v>
      </c>
      <c r="AA431" s="3" t="n">
        <v>0</v>
      </c>
    </row>
    <row r="432" customFormat="false" ht="15" hidden="false" customHeight="false" outlineLevel="0" collapsed="false">
      <c r="A432" s="3" t="s">
        <v>617</v>
      </c>
      <c r="B432" s="3" t="n">
        <v>530</v>
      </c>
      <c r="C432" s="11" t="str">
        <f aca="false">IF(M432&gt;=Assumptions!$B$17,"S+",IF(M432&gt;=Assumptions!$B$18,"S",IF(M432&gt;=Assumptions!$B$19,"A",IF(M432&gt;=Assumptions!$B$20,"B",IF(M432&gt;=Assumptions!$B$21,"C",IF(M432&gt;=Assumptions!$B$22,"D","F"))))))</f>
        <v>C</v>
      </c>
      <c r="D432" s="3" t="s">
        <v>190</v>
      </c>
      <c r="E432" s="3" t="n">
        <v>7</v>
      </c>
      <c r="F432" s="12" t="n">
        <v>0.8849</v>
      </c>
      <c r="G432" s="12" t="n">
        <v>1</v>
      </c>
      <c r="H432" s="12" t="n">
        <v>0.75</v>
      </c>
      <c r="I432" s="12" t="n">
        <v>0.9063</v>
      </c>
      <c r="J432" s="12" t="n">
        <v>0.3843</v>
      </c>
      <c r="K432" s="12" t="n">
        <v>0.5575</v>
      </c>
      <c r="L432" s="3" t="n">
        <v>5</v>
      </c>
      <c r="M432" s="12" t="n">
        <f aca="false">Z432-W432</f>
        <v>0.0805720000000001</v>
      </c>
      <c r="N432" s="12" t="n">
        <f aca="false">IFERROR((Z432-J432)/L432,"")</f>
        <v>0.0346344</v>
      </c>
      <c r="O432" s="3" t="n">
        <v>13</v>
      </c>
      <c r="P432" s="13" t="b">
        <f aca="false">FALSE()</f>
        <v>0</v>
      </c>
      <c r="Q432" s="3" t="s">
        <v>166</v>
      </c>
      <c r="R432" s="12" t="n">
        <v>0.8579</v>
      </c>
      <c r="S432" s="12" t="n">
        <v>0.306</v>
      </c>
      <c r="T432" s="3" t="n">
        <v>0.644</v>
      </c>
      <c r="U432" s="12" t="n">
        <v>0.4201</v>
      </c>
      <c r="V432" s="12" t="n">
        <v>0.428</v>
      </c>
      <c r="W432" s="12" t="n">
        <v>0.4769</v>
      </c>
      <c r="X432" s="3" t="n">
        <v>0.1963</v>
      </c>
      <c r="Y432" s="3" t="n">
        <v>0.9074</v>
      </c>
      <c r="Z432" s="14" t="n">
        <f aca="false">Assumptions!$B$3*R432+Assumptions!$B$4*S432+IF(AA432=1,Assumptions!$B$11,Assumptions!$B$5)*X432+IF(AA432=1,Assumptions!$B$12,Assumptions!$B$6)*T432+Assumptions!$B$7*U432+Assumptions!$B$8*V432+Assumptions!$B$9*Y432</f>
        <v>0.557472</v>
      </c>
      <c r="AA432" s="3" t="n">
        <v>0</v>
      </c>
    </row>
    <row r="433" customFormat="false" ht="15" hidden="false" customHeight="false" outlineLevel="0" collapsed="false">
      <c r="A433" s="3" t="s">
        <v>618</v>
      </c>
      <c r="B433" s="3" t="n">
        <v>550</v>
      </c>
      <c r="C433" s="11" t="str">
        <f aca="false">IF(M433&gt;=Assumptions!$B$17,"S+",IF(M433&gt;=Assumptions!$B$18,"S",IF(M433&gt;=Assumptions!$B$19,"A",IF(M433&gt;=Assumptions!$B$20,"B",IF(M433&gt;=Assumptions!$B$21,"C",IF(M433&gt;=Assumptions!$B$22,"D","F"))))))</f>
        <v>C</v>
      </c>
      <c r="D433" s="3" t="s">
        <v>218</v>
      </c>
      <c r="E433" s="3" t="n">
        <v>9</v>
      </c>
      <c r="F433" s="12" t="n">
        <v>0.9613</v>
      </c>
      <c r="G433" s="12" t="n">
        <v>0.8</v>
      </c>
      <c r="H433" s="12" t="n">
        <v>0.75</v>
      </c>
      <c r="I433" s="12" t="n">
        <v>0.8416</v>
      </c>
      <c r="J433" s="12" t="n">
        <v>0.4503</v>
      </c>
      <c r="K433" s="12" t="n">
        <v>0.5911</v>
      </c>
      <c r="L433" s="3" t="n">
        <v>4</v>
      </c>
      <c r="M433" s="12" t="n">
        <f aca="false">Z433-W433</f>
        <v>0.080501</v>
      </c>
      <c r="N433" s="12" t="n">
        <f aca="false">IFERROR((Z433-J433)/L433,"")</f>
        <v>0.03520025</v>
      </c>
      <c r="O433" s="3" t="n">
        <v>11</v>
      </c>
      <c r="P433" s="13" t="b">
        <f aca="false">FALSE()</f>
        <v>0</v>
      </c>
      <c r="Q433" s="3" t="s">
        <v>166</v>
      </c>
      <c r="R433" s="12" t="n">
        <v>0.8342</v>
      </c>
      <c r="S433" s="12" t="n">
        <v>0.7182</v>
      </c>
      <c r="T433" s="3" t="n">
        <v>0.0149</v>
      </c>
      <c r="U433" s="12" t="n">
        <v>0.3077</v>
      </c>
      <c r="V433" s="12" t="n">
        <v>0.4231</v>
      </c>
      <c r="W433" s="12" t="n">
        <v>0.5106</v>
      </c>
      <c r="X433" s="3" t="n">
        <v>0.6445</v>
      </c>
      <c r="Y433" s="3" t="n">
        <v>0.8426</v>
      </c>
      <c r="Z433" s="14" t="n">
        <f aca="false">Assumptions!$B$3*R433+Assumptions!$B$4*S433+IF(AA433=1,Assumptions!$B$11,Assumptions!$B$5)*X433+IF(AA433=1,Assumptions!$B$12,Assumptions!$B$6)*T433+Assumptions!$B$7*U433+Assumptions!$B$8*V433+Assumptions!$B$9*Y433</f>
        <v>0.591101</v>
      </c>
      <c r="AA433" s="3" t="n">
        <v>0</v>
      </c>
    </row>
    <row r="434" customFormat="false" ht="15" hidden="false" customHeight="false" outlineLevel="0" collapsed="false">
      <c r="A434" s="3" t="s">
        <v>619</v>
      </c>
      <c r="B434" s="3" t="n">
        <v>491</v>
      </c>
      <c r="C434" s="11" t="str">
        <f aca="false">IF(M434&gt;=Assumptions!$B$17,"S+",IF(M434&gt;=Assumptions!$B$18,"S",IF(M434&gt;=Assumptions!$B$19,"A",IF(M434&gt;=Assumptions!$B$20,"B",IF(M434&gt;=Assumptions!$B$21,"C",IF(M434&gt;=Assumptions!$B$22,"D","F"))))))</f>
        <v>C</v>
      </c>
      <c r="D434" s="3" t="s">
        <v>218</v>
      </c>
      <c r="E434" s="3" t="n">
        <v>3</v>
      </c>
      <c r="F434" s="12" t="n">
        <v>0.8966</v>
      </c>
      <c r="G434" s="12" t="n">
        <v>1</v>
      </c>
      <c r="H434" s="12" t="n">
        <v>0.75</v>
      </c>
      <c r="I434" s="12" t="n">
        <v>0.9169</v>
      </c>
      <c r="J434" s="12" t="n">
        <v>0.371</v>
      </c>
      <c r="K434" s="12" t="n">
        <v>0.592</v>
      </c>
      <c r="L434" s="3" t="n">
        <v>6.82</v>
      </c>
      <c r="M434" s="12" t="n">
        <f aca="false">Z434-W434</f>
        <v>0.0805300000000001</v>
      </c>
      <c r="N434" s="12" t="n">
        <f aca="false">IFERROR((Z434-J434)/L434,"")</f>
        <v>0.0324090909090909</v>
      </c>
      <c r="O434" s="3" t="n">
        <v>17</v>
      </c>
      <c r="P434" s="13" t="b">
        <f aca="false">FALSE()</f>
        <v>0</v>
      </c>
      <c r="Q434" s="3" t="s">
        <v>166</v>
      </c>
      <c r="R434" s="12" t="n">
        <v>0.7462</v>
      </c>
      <c r="S434" s="12" t="n">
        <v>0.7499</v>
      </c>
      <c r="T434" s="3" t="n">
        <v>0.1074</v>
      </c>
      <c r="U434" s="12" t="n">
        <v>0.3575</v>
      </c>
      <c r="V434" s="12" t="n">
        <v>0.5057</v>
      </c>
      <c r="W434" s="12" t="n">
        <v>0.5115</v>
      </c>
      <c r="X434" s="3" t="n">
        <v>0.5898</v>
      </c>
      <c r="Y434" s="3" t="n">
        <v>0.869</v>
      </c>
      <c r="Z434" s="14" t="n">
        <f aca="false">Assumptions!$B$3*R434+Assumptions!$B$4*S434+IF(AA434=1,Assumptions!$B$11,Assumptions!$B$5)*X434+IF(AA434=1,Assumptions!$B$12,Assumptions!$B$6)*T434+Assumptions!$B$7*U434+Assumptions!$B$8*V434+Assumptions!$B$9*Y434</f>
        <v>0.59203</v>
      </c>
      <c r="AA434" s="3" t="n">
        <v>0</v>
      </c>
    </row>
    <row r="435" customFormat="false" ht="15" hidden="false" customHeight="false" outlineLevel="0" collapsed="false">
      <c r="A435" s="3" t="s">
        <v>620</v>
      </c>
      <c r="B435" s="3" t="n">
        <v>450</v>
      </c>
      <c r="C435" s="11" t="str">
        <f aca="false">IF(M435&gt;=Assumptions!$B$17,"S+",IF(M435&gt;=Assumptions!$B$18,"S",IF(M435&gt;=Assumptions!$B$19,"A",IF(M435&gt;=Assumptions!$B$20,"B",IF(M435&gt;=Assumptions!$B$21,"C",IF(M435&gt;=Assumptions!$B$22,"D","F"))))))</f>
        <v>C</v>
      </c>
      <c r="D435" s="3" t="s">
        <v>206</v>
      </c>
      <c r="E435" s="3" t="n">
        <v>1</v>
      </c>
      <c r="F435" s="12" t="n">
        <v>0.8432</v>
      </c>
      <c r="G435" s="12" t="n">
        <v>0.76</v>
      </c>
      <c r="H435" s="12" t="n">
        <v>0.3889</v>
      </c>
      <c r="I435" s="12" t="n">
        <v>0.6905</v>
      </c>
      <c r="J435" s="12" t="n">
        <v>0.3278</v>
      </c>
      <c r="K435" s="12" t="n">
        <v>0.5116</v>
      </c>
      <c r="L435" s="3" t="n">
        <v>6.74</v>
      </c>
      <c r="M435" s="12" t="n">
        <f aca="false">Z435-W435</f>
        <v>0.0802330000000001</v>
      </c>
      <c r="N435" s="12" t="n">
        <f aca="false">IFERROR((Z435-J435)/L435,"")</f>
        <v>0.0272749258160238</v>
      </c>
      <c r="O435" s="3" t="n">
        <v>19</v>
      </c>
      <c r="P435" s="13" t="b">
        <f aca="false">FALSE()</f>
        <v>0</v>
      </c>
      <c r="Q435" s="3" t="s">
        <v>166</v>
      </c>
      <c r="R435" s="12" t="n">
        <v>0.7593</v>
      </c>
      <c r="S435" s="12" t="n">
        <v>0.4993</v>
      </c>
      <c r="T435" s="3" t="n">
        <v>0.3684</v>
      </c>
      <c r="U435" s="12" t="n">
        <v>0.2672</v>
      </c>
      <c r="V435" s="12" t="n">
        <v>0.3872</v>
      </c>
      <c r="W435" s="12" t="n">
        <v>0.4314</v>
      </c>
      <c r="X435" s="3" t="n">
        <v>0.4033</v>
      </c>
      <c r="Y435" s="3" t="n">
        <v>0.5848</v>
      </c>
      <c r="Z435" s="14" t="n">
        <f aca="false">Assumptions!$B$3*R435+Assumptions!$B$4*S435+IF(AA435=1,Assumptions!$B$11,Assumptions!$B$5)*X435+IF(AA435=1,Assumptions!$B$12,Assumptions!$B$6)*T435+Assumptions!$B$7*U435+Assumptions!$B$8*V435+Assumptions!$B$9*Y435</f>
        <v>0.511633</v>
      </c>
      <c r="AA435" s="3" t="n">
        <v>1</v>
      </c>
    </row>
    <row r="436" customFormat="false" ht="15" hidden="false" customHeight="false" outlineLevel="0" collapsed="false">
      <c r="A436" s="3" t="s">
        <v>621</v>
      </c>
      <c r="B436" s="3" t="n">
        <v>305</v>
      </c>
      <c r="C436" s="11" t="str">
        <f aca="false">IF(M436&gt;=Assumptions!$B$17,"S+",IF(M436&gt;=Assumptions!$B$18,"S",IF(M436&gt;=Assumptions!$B$19,"A",IF(M436&gt;=Assumptions!$B$20,"B",IF(M436&gt;=Assumptions!$B$21,"C",IF(M436&gt;=Assumptions!$B$22,"D","F"))))))</f>
        <v>C</v>
      </c>
      <c r="D436" s="3" t="s">
        <v>173</v>
      </c>
      <c r="E436" s="3" t="n">
        <v>3</v>
      </c>
      <c r="F436" s="12" t="n">
        <v>0.6284</v>
      </c>
      <c r="G436" s="12" t="n">
        <v>0.45</v>
      </c>
      <c r="H436" s="12" t="n">
        <v>0.75</v>
      </c>
      <c r="I436" s="12" t="n">
        <v>0.5421</v>
      </c>
      <c r="J436" s="12" t="n">
        <v>0.2725</v>
      </c>
      <c r="K436" s="12" t="n">
        <v>0.4906</v>
      </c>
      <c r="L436" s="3" t="n">
        <v>5.68</v>
      </c>
      <c r="M436" s="12" t="n">
        <f aca="false">Z436-W436</f>
        <v>0.0802869999999999</v>
      </c>
      <c r="N436" s="12" t="n">
        <f aca="false">IFERROR((Z436-J436)/L436,"")</f>
        <v>0.0383955985915493</v>
      </c>
      <c r="O436" s="3" t="n">
        <v>17</v>
      </c>
      <c r="P436" s="13" t="b">
        <f aca="false">FALSE()</f>
        <v>0</v>
      </c>
      <c r="Q436" s="3" t="s">
        <v>166</v>
      </c>
      <c r="R436" s="12" t="n">
        <v>0.6383</v>
      </c>
      <c r="S436" s="12" t="n">
        <v>0.5449</v>
      </c>
      <c r="T436" s="3" t="n">
        <v>0.0235</v>
      </c>
      <c r="U436" s="12" t="n">
        <v>0.2896</v>
      </c>
      <c r="V436" s="12" t="n">
        <v>0.498</v>
      </c>
      <c r="W436" s="12" t="n">
        <v>0.4103</v>
      </c>
      <c r="X436" s="3" t="n">
        <v>0.4506</v>
      </c>
      <c r="Y436" s="3" t="n">
        <v>0.5007</v>
      </c>
      <c r="Z436" s="14" t="n">
        <f aca="false">Assumptions!$B$3*R436+Assumptions!$B$4*S436+IF(AA436=1,Assumptions!$B$11,Assumptions!$B$5)*X436+IF(AA436=1,Assumptions!$B$12,Assumptions!$B$6)*T436+Assumptions!$B$7*U436+Assumptions!$B$8*V436+Assumptions!$B$9*Y436</f>
        <v>0.490587</v>
      </c>
      <c r="AA436" s="3" t="n">
        <v>1</v>
      </c>
    </row>
    <row r="437" customFormat="false" ht="15" hidden="false" customHeight="false" outlineLevel="0" collapsed="false">
      <c r="A437" s="3" t="s">
        <v>622</v>
      </c>
      <c r="B437" s="3" t="n">
        <v>475</v>
      </c>
      <c r="C437" s="11" t="str">
        <f aca="false">IF(M437&gt;=Assumptions!$B$17,"S+",IF(M437&gt;=Assumptions!$B$18,"S",IF(M437&gt;=Assumptions!$B$19,"A",IF(M437&gt;=Assumptions!$B$20,"B",IF(M437&gt;=Assumptions!$B$21,"C",IF(M437&gt;=Assumptions!$B$22,"D","F"))))))</f>
        <v>C</v>
      </c>
      <c r="D437" s="3" t="s">
        <v>183</v>
      </c>
      <c r="E437" s="3" t="n">
        <v>3</v>
      </c>
      <c r="F437" s="12" t="n">
        <v>0.9082</v>
      </c>
      <c r="G437" s="12" t="n">
        <v>0.36</v>
      </c>
      <c r="H437" s="12" t="n">
        <v>0.5139</v>
      </c>
      <c r="I437" s="12" t="n">
        <v>0.552</v>
      </c>
      <c r="J437" s="12" t="n">
        <v>0.3681</v>
      </c>
      <c r="K437" s="12" t="n">
        <v>0.5698</v>
      </c>
      <c r="L437" s="3" t="n">
        <v>3.82</v>
      </c>
      <c r="M437" s="12" t="n">
        <f aca="false">Z437-W437</f>
        <v>0.0802070000000001</v>
      </c>
      <c r="N437" s="12" t="n">
        <f aca="false">IFERROR((Z437-J437)/L437,"")</f>
        <v>0.0528028795811519</v>
      </c>
      <c r="O437" s="3" t="n">
        <v>17</v>
      </c>
      <c r="P437" s="13" t="b">
        <f aca="false">FALSE()</f>
        <v>0</v>
      </c>
      <c r="Q437" s="3" t="s">
        <v>166</v>
      </c>
      <c r="R437" s="12" t="n">
        <v>0.7341</v>
      </c>
      <c r="S437" s="12" t="n">
        <v>0.6711</v>
      </c>
      <c r="T437" s="3" t="n">
        <v>0.1237</v>
      </c>
      <c r="U437" s="12" t="n">
        <v>0.3439</v>
      </c>
      <c r="V437" s="12" t="n">
        <v>0.5044</v>
      </c>
      <c r="W437" s="12" t="n">
        <v>0.4896</v>
      </c>
      <c r="X437" s="3" t="n">
        <v>0.5461</v>
      </c>
      <c r="Y437" s="3" t="n">
        <v>0.5239</v>
      </c>
      <c r="Z437" s="14" t="n">
        <f aca="false">Assumptions!$B$3*R437+Assumptions!$B$4*S437+IF(AA437=1,Assumptions!$B$11,Assumptions!$B$5)*X437+IF(AA437=1,Assumptions!$B$12,Assumptions!$B$6)*T437+Assumptions!$B$7*U437+Assumptions!$B$8*V437+Assumptions!$B$9*Y437</f>
        <v>0.569807</v>
      </c>
      <c r="AA437" s="3" t="n">
        <v>1</v>
      </c>
    </row>
    <row r="438" customFormat="false" ht="15" hidden="false" customHeight="false" outlineLevel="0" collapsed="false">
      <c r="A438" s="3" t="s">
        <v>623</v>
      </c>
      <c r="B438" s="3" t="n">
        <v>600</v>
      </c>
      <c r="C438" s="11" t="str">
        <f aca="false">IF(M438&gt;=Assumptions!$B$17,"S+",IF(M438&gt;=Assumptions!$B$18,"S",IF(M438&gt;=Assumptions!$B$19,"A",IF(M438&gt;=Assumptions!$B$20,"B",IF(M438&gt;=Assumptions!$B$21,"C",IF(M438&gt;=Assumptions!$B$22,"D","F"))))))</f>
        <v>C</v>
      </c>
      <c r="D438" s="3" t="s">
        <v>253</v>
      </c>
      <c r="E438" s="3" t="n">
        <v>9</v>
      </c>
      <c r="F438" s="12" t="n">
        <v>0.6818</v>
      </c>
      <c r="G438" s="12" t="n">
        <v>0.4</v>
      </c>
      <c r="H438" s="12" t="n">
        <v>0.75</v>
      </c>
      <c r="I438" s="12" t="n">
        <v>0.5602</v>
      </c>
      <c r="J438" s="12" t="n">
        <v>0.3896</v>
      </c>
      <c r="K438" s="12" t="n">
        <v>0.6099</v>
      </c>
      <c r="L438" s="3" t="n">
        <v>4</v>
      </c>
      <c r="M438" s="12" t="n">
        <f aca="false">Z438-W438</f>
        <v>0.0801109999999999</v>
      </c>
      <c r="N438" s="12" t="n">
        <f aca="false">IFERROR((Z438-J438)/L438,"")</f>
        <v>0.05507775</v>
      </c>
      <c r="O438" s="3" t="n">
        <v>11</v>
      </c>
      <c r="P438" s="13" t="b">
        <f aca="false">FALSE()</f>
        <v>0</v>
      </c>
      <c r="Q438" s="3" t="s">
        <v>166</v>
      </c>
      <c r="R438" s="12" t="n">
        <v>0.8212</v>
      </c>
      <c r="S438" s="12" t="n">
        <v>0.6991</v>
      </c>
      <c r="T438" s="3" t="n">
        <v>0.0149</v>
      </c>
      <c r="U438" s="12" t="n">
        <v>0.4615</v>
      </c>
      <c r="V438" s="12" t="n">
        <v>0.4414</v>
      </c>
      <c r="W438" s="12" t="n">
        <v>0.5298</v>
      </c>
      <c r="X438" s="3" t="n">
        <v>0.8677</v>
      </c>
      <c r="Y438" s="3" t="n">
        <v>0.5621</v>
      </c>
      <c r="Z438" s="14" t="n">
        <f aca="false">Assumptions!$B$3*R438+Assumptions!$B$4*S438+IF(AA438=1,Assumptions!$B$11,Assumptions!$B$5)*X438+IF(AA438=1,Assumptions!$B$12,Assumptions!$B$6)*T438+Assumptions!$B$7*U438+Assumptions!$B$8*V438+Assumptions!$B$9*Y438</f>
        <v>0.609911</v>
      </c>
      <c r="AA438" s="3" t="n">
        <v>0</v>
      </c>
    </row>
    <row r="439" customFormat="false" ht="15" hidden="false" customHeight="false" outlineLevel="0" collapsed="false">
      <c r="A439" s="3" t="s">
        <v>624</v>
      </c>
      <c r="B439" s="3" t="n">
        <v>521</v>
      </c>
      <c r="C439" s="11" t="str">
        <f aca="false">IF(M439&gt;=Assumptions!$B$17,"S+",IF(M439&gt;=Assumptions!$B$18,"S",IF(M439&gt;=Assumptions!$B$19,"A",IF(M439&gt;=Assumptions!$B$20,"B",IF(M439&gt;=Assumptions!$B$21,"C",IF(M439&gt;=Assumptions!$B$22,"D","F"))))))</f>
        <v>C</v>
      </c>
      <c r="D439" s="3" t="s">
        <v>218</v>
      </c>
      <c r="E439" s="3" t="n">
        <v>4</v>
      </c>
      <c r="F439" s="12" t="n">
        <v>0.8198</v>
      </c>
      <c r="G439" s="12" t="n">
        <v>1</v>
      </c>
      <c r="H439" s="12" t="n">
        <v>0.75</v>
      </c>
      <c r="I439" s="12" t="n">
        <v>0.8923</v>
      </c>
      <c r="J439" s="12" t="n">
        <v>0.4248</v>
      </c>
      <c r="K439" s="12" t="n">
        <v>0.5889</v>
      </c>
      <c r="L439" s="3" t="n">
        <v>4.34</v>
      </c>
      <c r="M439" s="12" t="n">
        <f aca="false">Z439-W439</f>
        <v>0.0798840000000001</v>
      </c>
      <c r="N439" s="12" t="n">
        <f aca="false">IFERROR((Z439-J439)/L439,"")</f>
        <v>0.0378073732718894</v>
      </c>
      <c r="O439" s="3" t="n">
        <v>16</v>
      </c>
      <c r="P439" s="13" t="b">
        <f aca="false">FALSE()</f>
        <v>0</v>
      </c>
      <c r="Q439" s="3" t="s">
        <v>166</v>
      </c>
      <c r="R439" s="12" t="n">
        <v>0.7478</v>
      </c>
      <c r="S439" s="12" t="n">
        <v>0.6506</v>
      </c>
      <c r="T439" s="3" t="n">
        <v>0.2601</v>
      </c>
      <c r="U439" s="12" t="n">
        <v>0.3894</v>
      </c>
      <c r="V439" s="12" t="n">
        <v>0.3876</v>
      </c>
      <c r="W439" s="12" t="n">
        <v>0.509</v>
      </c>
      <c r="X439" s="3" t="n">
        <v>0.6448</v>
      </c>
      <c r="Y439" s="3" t="n">
        <v>0.8091</v>
      </c>
      <c r="Z439" s="14" t="n">
        <f aca="false">Assumptions!$B$3*R439+Assumptions!$B$4*S439+IF(AA439=1,Assumptions!$B$11,Assumptions!$B$5)*X439+IF(AA439=1,Assumptions!$B$12,Assumptions!$B$6)*T439+Assumptions!$B$7*U439+Assumptions!$B$8*V439+Assumptions!$B$9*Y439</f>
        <v>0.588884</v>
      </c>
      <c r="AA439" s="3" t="n">
        <v>0</v>
      </c>
    </row>
    <row r="440" customFormat="false" ht="15" hidden="false" customHeight="false" outlineLevel="0" collapsed="false">
      <c r="A440" s="3" t="s">
        <v>625</v>
      </c>
      <c r="B440" s="3" t="n">
        <v>528</v>
      </c>
      <c r="C440" s="11" t="str">
        <f aca="false">IF(M440&gt;=Assumptions!$B$17,"S+",IF(M440&gt;=Assumptions!$B$18,"S",IF(M440&gt;=Assumptions!$B$19,"A",IF(M440&gt;=Assumptions!$B$20,"B",IF(M440&gt;=Assumptions!$B$21,"C",IF(M440&gt;=Assumptions!$B$22,"D","F"))))))</f>
        <v>C</v>
      </c>
      <c r="D440" s="3" t="s">
        <v>228</v>
      </c>
      <c r="E440" s="3" t="n">
        <v>7</v>
      </c>
      <c r="F440" s="12" t="n">
        <v>0.8883</v>
      </c>
      <c r="G440" s="12" t="n">
        <v>0.6</v>
      </c>
      <c r="H440" s="12" t="n">
        <v>0.75</v>
      </c>
      <c r="I440" s="12" t="n">
        <v>0.7222</v>
      </c>
      <c r="J440" s="12" t="n">
        <v>0.3693</v>
      </c>
      <c r="K440" s="12" t="n">
        <v>0.5437</v>
      </c>
      <c r="L440" s="3" t="n">
        <v>4</v>
      </c>
      <c r="M440" s="12" t="n">
        <f aca="false">Z440-W440</f>
        <v>0.079575</v>
      </c>
      <c r="N440" s="12" t="n">
        <f aca="false">IFERROR((Z440-J440)/L440,"")</f>
        <v>0.04359375</v>
      </c>
      <c r="O440" s="3" t="n">
        <v>13</v>
      </c>
      <c r="P440" s="13" t="b">
        <f aca="false">FALSE()</f>
        <v>0</v>
      </c>
      <c r="Q440" s="3" t="s">
        <v>166</v>
      </c>
      <c r="R440" s="12" t="n">
        <v>0.8616</v>
      </c>
      <c r="S440" s="12" t="n">
        <v>0.4998</v>
      </c>
      <c r="T440" s="3" t="n">
        <v>0.1433</v>
      </c>
      <c r="U440" s="12" t="n">
        <v>0.3373</v>
      </c>
      <c r="V440" s="12" t="n">
        <v>0.4545</v>
      </c>
      <c r="W440" s="12" t="n">
        <v>0.4641</v>
      </c>
      <c r="X440" s="3" t="n">
        <v>0.4458</v>
      </c>
      <c r="Y440" s="3" t="n">
        <v>0.7244</v>
      </c>
      <c r="Z440" s="14" t="n">
        <f aca="false">Assumptions!$B$3*R440+Assumptions!$B$4*S440+IF(AA440=1,Assumptions!$B$11,Assumptions!$B$5)*X440+IF(AA440=1,Assumptions!$B$12,Assumptions!$B$6)*T440+Assumptions!$B$7*U440+Assumptions!$B$8*V440+Assumptions!$B$9*Y440</f>
        <v>0.543675</v>
      </c>
      <c r="AA440" s="3" t="n">
        <v>0</v>
      </c>
    </row>
    <row r="441" customFormat="false" ht="15" hidden="false" customHeight="false" outlineLevel="0" collapsed="false">
      <c r="A441" s="3" t="s">
        <v>626</v>
      </c>
      <c r="B441" s="3" t="n">
        <v>580</v>
      </c>
      <c r="C441" s="11" t="str">
        <f aca="false">IF(M441&gt;=Assumptions!$B$17,"S+",IF(M441&gt;=Assumptions!$B$18,"S",IF(M441&gt;=Assumptions!$B$19,"A",IF(M441&gt;=Assumptions!$B$20,"B",IF(M441&gt;=Assumptions!$B$21,"C",IF(M441&gt;=Assumptions!$B$22,"D","F"))))))</f>
        <v>C</v>
      </c>
      <c r="D441" s="3" t="s">
        <v>197</v>
      </c>
      <c r="E441" s="3" t="n">
        <v>9</v>
      </c>
      <c r="F441" s="12" t="n">
        <v>0.9091</v>
      </c>
      <c r="G441" s="12" t="n">
        <v>0.4</v>
      </c>
      <c r="H441" s="12" t="n">
        <v>0.75</v>
      </c>
      <c r="I441" s="12" t="n">
        <v>0.6634</v>
      </c>
      <c r="J441" s="12" t="n">
        <v>0.3959</v>
      </c>
      <c r="K441" s="12" t="n">
        <v>0.5652</v>
      </c>
      <c r="L441" s="3" t="n">
        <v>4</v>
      </c>
      <c r="M441" s="12" t="n">
        <f aca="false">Z441-W441</f>
        <v>0.079128</v>
      </c>
      <c r="N441" s="12" t="n">
        <f aca="false">IFERROR((Z441-J441)/L441,"")</f>
        <v>0.042332</v>
      </c>
      <c r="O441" s="3" t="n">
        <v>11</v>
      </c>
      <c r="P441" s="13" t="b">
        <f aca="false">FALSE()</f>
        <v>0</v>
      </c>
      <c r="Q441" s="3" t="s">
        <v>166</v>
      </c>
      <c r="R441" s="12" t="n">
        <v>0.8603</v>
      </c>
      <c r="S441" s="12" t="n">
        <v>0.4202</v>
      </c>
      <c r="T441" s="3" t="n">
        <v>0.378</v>
      </c>
      <c r="U441" s="12" t="n">
        <v>0.4335</v>
      </c>
      <c r="V441" s="12" t="n">
        <v>0.5258</v>
      </c>
      <c r="W441" s="12" t="n">
        <v>0.4861</v>
      </c>
      <c r="X441" s="3" t="n">
        <v>0.4097</v>
      </c>
      <c r="Y441" s="3" t="n">
        <v>0.6642</v>
      </c>
      <c r="Z441" s="14" t="n">
        <f aca="false">Assumptions!$B$3*R441+Assumptions!$B$4*S441+IF(AA441=1,Assumptions!$B$11,Assumptions!$B$5)*X441+IF(AA441=1,Assumptions!$B$12,Assumptions!$B$6)*T441+Assumptions!$B$7*U441+Assumptions!$B$8*V441+Assumptions!$B$9*Y441</f>
        <v>0.565228</v>
      </c>
      <c r="AA441" s="3" t="n">
        <v>0</v>
      </c>
    </row>
    <row r="442" customFormat="false" ht="15" hidden="false" customHeight="false" outlineLevel="0" collapsed="false">
      <c r="A442" s="3" t="s">
        <v>627</v>
      </c>
      <c r="B442" s="3" t="n">
        <v>475</v>
      </c>
      <c r="C442" s="11" t="str">
        <f aca="false">IF(M442&gt;=Assumptions!$B$17,"S+",IF(M442&gt;=Assumptions!$B$18,"S",IF(M442&gt;=Assumptions!$B$19,"A",IF(M442&gt;=Assumptions!$B$20,"B",IF(M442&gt;=Assumptions!$B$21,"C",IF(M442&gt;=Assumptions!$B$22,"D","F"))))))</f>
        <v>C</v>
      </c>
      <c r="D442" s="3" t="s">
        <v>218</v>
      </c>
      <c r="E442" s="3" t="n">
        <v>9</v>
      </c>
      <c r="F442" s="12" t="n">
        <v>0.7498</v>
      </c>
      <c r="G442" s="12" t="n">
        <v>0.6</v>
      </c>
      <c r="H442" s="12" t="n">
        <v>0.75</v>
      </c>
      <c r="I442" s="12" t="n">
        <v>0.6779</v>
      </c>
      <c r="J442" s="12" t="n">
        <v>0.3409</v>
      </c>
      <c r="K442" s="12" t="n">
        <v>0.5894</v>
      </c>
      <c r="L442" s="3" t="n">
        <v>6</v>
      </c>
      <c r="M442" s="12" t="n">
        <f aca="false">Z442-W442</f>
        <v>0.078767</v>
      </c>
      <c r="N442" s="12" t="n">
        <f aca="false">IFERROR((Z442-J442)/L442,"")</f>
        <v>0.0414111666666667</v>
      </c>
      <c r="O442" s="3" t="n">
        <v>11</v>
      </c>
      <c r="P442" s="13" t="b">
        <f aca="false">FALSE()</f>
        <v>0</v>
      </c>
      <c r="Q442" s="3" t="s">
        <v>166</v>
      </c>
      <c r="R442" s="12" t="n">
        <v>0.8384</v>
      </c>
      <c r="S442" s="12" t="n">
        <v>0.6094</v>
      </c>
      <c r="T442" s="3" t="n">
        <v>0.0427</v>
      </c>
      <c r="U442" s="12" t="n">
        <v>0.4825</v>
      </c>
      <c r="V442" s="12" t="n">
        <v>0.4593</v>
      </c>
      <c r="W442" s="12" t="n">
        <v>0.5106</v>
      </c>
      <c r="X442" s="3" t="n">
        <v>0.6756</v>
      </c>
      <c r="Y442" s="3" t="n">
        <v>0.6798</v>
      </c>
      <c r="Z442" s="14" t="n">
        <f aca="false">Assumptions!$B$3*R442+Assumptions!$B$4*S442+IF(AA442=1,Assumptions!$B$11,Assumptions!$B$5)*X442+IF(AA442=1,Assumptions!$B$12,Assumptions!$B$6)*T442+Assumptions!$B$7*U442+Assumptions!$B$8*V442+Assumptions!$B$9*Y442</f>
        <v>0.589367</v>
      </c>
      <c r="AA442" s="3" t="n">
        <v>0</v>
      </c>
    </row>
    <row r="443" customFormat="false" ht="15" hidden="false" customHeight="false" outlineLevel="0" collapsed="false">
      <c r="A443" s="3" t="s">
        <v>628</v>
      </c>
      <c r="B443" s="3" t="n">
        <v>370</v>
      </c>
      <c r="C443" s="11" t="str">
        <f aca="false">IF(M443&gt;=Assumptions!$B$17,"S+",IF(M443&gt;=Assumptions!$B$18,"S",IF(M443&gt;=Assumptions!$B$19,"A",IF(M443&gt;=Assumptions!$B$20,"B",IF(M443&gt;=Assumptions!$B$21,"C",IF(M443&gt;=Assumptions!$B$22,"D","F"))))))</f>
        <v>C</v>
      </c>
      <c r="D443" s="3" t="s">
        <v>247</v>
      </c>
      <c r="E443" s="3" t="n">
        <v>4</v>
      </c>
      <c r="F443" s="12" t="n">
        <v>0.7877</v>
      </c>
      <c r="G443" s="12" t="n">
        <v>0.6</v>
      </c>
      <c r="H443" s="12" t="n">
        <v>0.75</v>
      </c>
      <c r="I443" s="12" t="n">
        <v>0.6901</v>
      </c>
      <c r="J443" s="12" t="n">
        <v>0.3832</v>
      </c>
      <c r="K443" s="12" t="n">
        <v>0.5355</v>
      </c>
      <c r="L443" s="3" t="n">
        <v>4.91</v>
      </c>
      <c r="M443" s="12" t="n">
        <f aca="false">Z443-W443</f>
        <v>0.078558</v>
      </c>
      <c r="N443" s="12" t="n">
        <f aca="false">IFERROR((Z443-J443)/L443,"")</f>
        <v>0.0310097759674134</v>
      </c>
      <c r="O443" s="3" t="n">
        <v>16</v>
      </c>
      <c r="P443" s="13" t="b">
        <f aca="false">FALSE()</f>
        <v>0</v>
      </c>
      <c r="Q443" s="3" t="s">
        <v>166</v>
      </c>
      <c r="R443" s="12" t="n">
        <v>0.7328</v>
      </c>
      <c r="S443" s="12" t="n">
        <v>0.4155</v>
      </c>
      <c r="T443" s="3" t="n">
        <v>0.0509</v>
      </c>
      <c r="U443" s="12" t="n">
        <v>0.3317</v>
      </c>
      <c r="V443" s="12" t="n">
        <v>0.4651</v>
      </c>
      <c r="W443" s="12" t="n">
        <v>0.4569</v>
      </c>
      <c r="X443" s="3" t="n">
        <v>0.7766</v>
      </c>
      <c r="Y443" s="3" t="n">
        <v>0.6791</v>
      </c>
      <c r="Z443" s="14" t="n">
        <f aca="false">Assumptions!$B$3*R443+Assumptions!$B$4*S443+IF(AA443=1,Assumptions!$B$11,Assumptions!$B$5)*X443+IF(AA443=1,Assumptions!$B$12,Assumptions!$B$6)*T443+Assumptions!$B$7*U443+Assumptions!$B$8*V443+Assumptions!$B$9*Y443</f>
        <v>0.535458</v>
      </c>
      <c r="AA443" s="3" t="n">
        <v>0</v>
      </c>
    </row>
    <row r="444" customFormat="false" ht="15" hidden="false" customHeight="false" outlineLevel="0" collapsed="false">
      <c r="A444" s="3" t="s">
        <v>629</v>
      </c>
      <c r="B444" s="3" t="n">
        <v>482</v>
      </c>
      <c r="C444" s="11" t="str">
        <f aca="false">IF(M444&gt;=Assumptions!$B$17,"S+",IF(M444&gt;=Assumptions!$B$18,"S",IF(M444&gt;=Assumptions!$B$19,"A",IF(M444&gt;=Assumptions!$B$20,"B",IF(M444&gt;=Assumptions!$B$21,"C",IF(M444&gt;=Assumptions!$B$22,"D","F"))))))</f>
        <v>C</v>
      </c>
      <c r="D444" s="3" t="s">
        <v>183</v>
      </c>
      <c r="E444" s="3" t="n">
        <v>4</v>
      </c>
      <c r="F444" s="12" t="n">
        <v>0.6655</v>
      </c>
      <c r="G444" s="12" t="n">
        <v>0.76</v>
      </c>
      <c r="H444" s="12" t="n">
        <v>0.4762</v>
      </c>
      <c r="I444" s="12" t="n">
        <v>0.6626</v>
      </c>
      <c r="J444" s="12" t="n">
        <v>0.3258</v>
      </c>
      <c r="K444" s="12" t="n">
        <v>0.5787</v>
      </c>
      <c r="L444" s="3" t="n">
        <v>5.91</v>
      </c>
      <c r="M444" s="12" t="n">
        <f aca="false">Z444-W444</f>
        <v>0.0782200000000001</v>
      </c>
      <c r="N444" s="12" t="n">
        <f aca="false">IFERROR((Z444-J444)/L444,"")</f>
        <v>0.0427952622673435</v>
      </c>
      <c r="O444" s="3" t="n">
        <v>16</v>
      </c>
      <c r="P444" s="13" t="b">
        <f aca="false">FALSE()</f>
        <v>0</v>
      </c>
      <c r="Q444" s="3" t="s">
        <v>201</v>
      </c>
      <c r="R444" s="12" t="n">
        <v>0.6215</v>
      </c>
      <c r="S444" s="12" t="n">
        <v>0.7873</v>
      </c>
      <c r="T444" s="3" t="n">
        <v>0.3891</v>
      </c>
      <c r="U444" s="12" t="n">
        <v>0.3077</v>
      </c>
      <c r="V444" s="12" t="n">
        <v>0.4637</v>
      </c>
      <c r="W444" s="12" t="n">
        <v>0.5005</v>
      </c>
      <c r="X444" s="3" t="n">
        <v>0.5746</v>
      </c>
      <c r="Y444" s="3" t="n">
        <v>0.6379</v>
      </c>
      <c r="Z444" s="14" t="n">
        <f aca="false">Assumptions!$B$3*R444+Assumptions!$B$4*S444+IF(AA444=1,Assumptions!$B$11,Assumptions!$B$5)*X444+IF(AA444=1,Assumptions!$B$12,Assumptions!$B$6)*T444+Assumptions!$B$7*U444+Assumptions!$B$8*V444+Assumptions!$B$9*Y444</f>
        <v>0.57872</v>
      </c>
      <c r="AA444" s="3" t="n">
        <v>1</v>
      </c>
    </row>
    <row r="445" customFormat="false" ht="15" hidden="false" customHeight="false" outlineLevel="0" collapsed="false">
      <c r="A445" s="3" t="s">
        <v>630</v>
      </c>
      <c r="B445" s="3" t="n">
        <v>482</v>
      </c>
      <c r="C445" s="11" t="str">
        <f aca="false">IF(M445&gt;=Assumptions!$B$17,"S+",IF(M445&gt;=Assumptions!$B$18,"S",IF(M445&gt;=Assumptions!$B$19,"A",IF(M445&gt;=Assumptions!$B$20,"B",IF(M445&gt;=Assumptions!$B$21,"C",IF(M445&gt;=Assumptions!$B$22,"D","F"))))))</f>
        <v>C</v>
      </c>
      <c r="D445" s="3" t="s">
        <v>183</v>
      </c>
      <c r="E445" s="3" t="n">
        <v>4</v>
      </c>
      <c r="F445" s="12" t="n">
        <v>0.6655</v>
      </c>
      <c r="G445" s="12" t="n">
        <v>0.76</v>
      </c>
      <c r="H445" s="12" t="n">
        <v>0.4762</v>
      </c>
      <c r="I445" s="12" t="n">
        <v>0.6626</v>
      </c>
      <c r="J445" s="12" t="n">
        <v>0.3258</v>
      </c>
      <c r="K445" s="12" t="n">
        <v>0.5787</v>
      </c>
      <c r="L445" s="3" t="n">
        <v>5.91</v>
      </c>
      <c r="M445" s="12" t="n">
        <f aca="false">Z445-W445</f>
        <v>0.0782200000000001</v>
      </c>
      <c r="N445" s="12" t="n">
        <f aca="false">IFERROR((Z445-J445)/L445,"")</f>
        <v>0.0427952622673435</v>
      </c>
      <c r="O445" s="3" t="n">
        <v>16</v>
      </c>
      <c r="P445" s="13" t="b">
        <f aca="false">FALSE()</f>
        <v>0</v>
      </c>
      <c r="Q445" s="3" t="s">
        <v>201</v>
      </c>
      <c r="R445" s="12" t="n">
        <v>0.6215</v>
      </c>
      <c r="S445" s="12" t="n">
        <v>0.7873</v>
      </c>
      <c r="T445" s="3" t="n">
        <v>0.3891</v>
      </c>
      <c r="U445" s="12" t="n">
        <v>0.3077</v>
      </c>
      <c r="V445" s="12" t="n">
        <v>0.4637</v>
      </c>
      <c r="W445" s="12" t="n">
        <v>0.5005</v>
      </c>
      <c r="X445" s="3" t="n">
        <v>0.5746</v>
      </c>
      <c r="Y445" s="3" t="n">
        <v>0.6379</v>
      </c>
      <c r="Z445" s="14" t="n">
        <f aca="false">Assumptions!$B$3*R445+Assumptions!$B$4*S445+IF(AA445=1,Assumptions!$B$11,Assumptions!$B$5)*X445+IF(AA445=1,Assumptions!$B$12,Assumptions!$B$6)*T445+Assumptions!$B$7*U445+Assumptions!$B$8*V445+Assumptions!$B$9*Y445</f>
        <v>0.57872</v>
      </c>
      <c r="AA445" s="3" t="n">
        <v>1</v>
      </c>
    </row>
    <row r="446" customFormat="false" ht="15" hidden="false" customHeight="false" outlineLevel="0" collapsed="false">
      <c r="A446" s="3" t="s">
        <v>631</v>
      </c>
      <c r="B446" s="3" t="n">
        <v>482</v>
      </c>
      <c r="C446" s="11" t="str">
        <f aca="false">IF(M446&gt;=Assumptions!$B$17,"S+",IF(M446&gt;=Assumptions!$B$18,"S",IF(M446&gt;=Assumptions!$B$19,"A",IF(M446&gt;=Assumptions!$B$20,"B",IF(M446&gt;=Assumptions!$B$21,"C",IF(M446&gt;=Assumptions!$B$22,"D","F"))))))</f>
        <v>C</v>
      </c>
      <c r="D446" s="3" t="s">
        <v>183</v>
      </c>
      <c r="E446" s="3" t="n">
        <v>4</v>
      </c>
      <c r="F446" s="12" t="n">
        <v>0.6655</v>
      </c>
      <c r="G446" s="12" t="n">
        <v>0.76</v>
      </c>
      <c r="H446" s="12" t="n">
        <v>0.4762</v>
      </c>
      <c r="I446" s="12" t="n">
        <v>0.6626</v>
      </c>
      <c r="J446" s="12" t="n">
        <v>0.3258</v>
      </c>
      <c r="K446" s="12" t="n">
        <v>0.5787</v>
      </c>
      <c r="L446" s="3" t="n">
        <v>5.91</v>
      </c>
      <c r="M446" s="12" t="n">
        <f aca="false">Z446-W446</f>
        <v>0.0782200000000001</v>
      </c>
      <c r="N446" s="12" t="n">
        <f aca="false">IFERROR((Z446-J446)/L446,"")</f>
        <v>0.0427952622673435</v>
      </c>
      <c r="O446" s="3" t="n">
        <v>16</v>
      </c>
      <c r="P446" s="13" t="b">
        <f aca="false">FALSE()</f>
        <v>0</v>
      </c>
      <c r="Q446" s="3" t="s">
        <v>201</v>
      </c>
      <c r="R446" s="12" t="n">
        <v>0.6215</v>
      </c>
      <c r="S446" s="12" t="n">
        <v>0.7873</v>
      </c>
      <c r="T446" s="3" t="n">
        <v>0.3891</v>
      </c>
      <c r="U446" s="12" t="n">
        <v>0.3077</v>
      </c>
      <c r="V446" s="12" t="n">
        <v>0.4637</v>
      </c>
      <c r="W446" s="12" t="n">
        <v>0.5005</v>
      </c>
      <c r="X446" s="3" t="n">
        <v>0.5746</v>
      </c>
      <c r="Y446" s="3" t="n">
        <v>0.6379</v>
      </c>
      <c r="Z446" s="14" t="n">
        <f aca="false">Assumptions!$B$3*R446+Assumptions!$B$4*S446+IF(AA446=1,Assumptions!$B$11,Assumptions!$B$5)*X446+IF(AA446=1,Assumptions!$B$12,Assumptions!$B$6)*T446+Assumptions!$B$7*U446+Assumptions!$B$8*V446+Assumptions!$B$9*Y446</f>
        <v>0.57872</v>
      </c>
      <c r="AA446" s="3" t="n">
        <v>1</v>
      </c>
    </row>
    <row r="447" customFormat="false" ht="15" hidden="false" customHeight="false" outlineLevel="0" collapsed="false">
      <c r="A447" s="3" t="s">
        <v>632</v>
      </c>
      <c r="B447" s="3" t="n">
        <v>482</v>
      </c>
      <c r="C447" s="11" t="str">
        <f aca="false">IF(M447&gt;=Assumptions!$B$17,"S+",IF(M447&gt;=Assumptions!$B$18,"S",IF(M447&gt;=Assumptions!$B$19,"A",IF(M447&gt;=Assumptions!$B$20,"B",IF(M447&gt;=Assumptions!$B$21,"C",IF(M447&gt;=Assumptions!$B$22,"D","F"))))))</f>
        <v>C</v>
      </c>
      <c r="D447" s="3" t="s">
        <v>183</v>
      </c>
      <c r="E447" s="3" t="n">
        <v>4</v>
      </c>
      <c r="F447" s="12" t="n">
        <v>0.6655</v>
      </c>
      <c r="G447" s="12" t="n">
        <v>0.76</v>
      </c>
      <c r="H447" s="12" t="n">
        <v>0.4762</v>
      </c>
      <c r="I447" s="12" t="n">
        <v>0.6626</v>
      </c>
      <c r="J447" s="12" t="n">
        <v>0.3258</v>
      </c>
      <c r="K447" s="12" t="n">
        <v>0.5787</v>
      </c>
      <c r="L447" s="3" t="n">
        <v>5.91</v>
      </c>
      <c r="M447" s="12" t="n">
        <f aca="false">Z447-W447</f>
        <v>0.0782200000000001</v>
      </c>
      <c r="N447" s="12" t="n">
        <f aca="false">IFERROR((Z447-J447)/L447,"")</f>
        <v>0.0427952622673435</v>
      </c>
      <c r="O447" s="3" t="n">
        <v>16</v>
      </c>
      <c r="P447" s="13" t="b">
        <f aca="false">FALSE()</f>
        <v>0</v>
      </c>
      <c r="Q447" s="3" t="s">
        <v>201</v>
      </c>
      <c r="R447" s="12" t="n">
        <v>0.6215</v>
      </c>
      <c r="S447" s="12" t="n">
        <v>0.7873</v>
      </c>
      <c r="T447" s="3" t="n">
        <v>0.3891</v>
      </c>
      <c r="U447" s="12" t="n">
        <v>0.3077</v>
      </c>
      <c r="V447" s="12" t="n">
        <v>0.4637</v>
      </c>
      <c r="W447" s="12" t="n">
        <v>0.5005</v>
      </c>
      <c r="X447" s="3" t="n">
        <v>0.5746</v>
      </c>
      <c r="Y447" s="3" t="n">
        <v>0.6379</v>
      </c>
      <c r="Z447" s="14" t="n">
        <f aca="false">Assumptions!$B$3*R447+Assumptions!$B$4*S447+IF(AA447=1,Assumptions!$B$11,Assumptions!$B$5)*X447+IF(AA447=1,Assumptions!$B$12,Assumptions!$B$6)*T447+Assumptions!$B$7*U447+Assumptions!$B$8*V447+Assumptions!$B$9*Y447</f>
        <v>0.57872</v>
      </c>
      <c r="AA447" s="3" t="n">
        <v>1</v>
      </c>
    </row>
    <row r="448" customFormat="false" ht="15" hidden="false" customHeight="false" outlineLevel="0" collapsed="false">
      <c r="A448" s="3" t="s">
        <v>633</v>
      </c>
      <c r="B448" s="3" t="n">
        <v>482</v>
      </c>
      <c r="C448" s="11" t="str">
        <f aca="false">IF(M448&gt;=Assumptions!$B$17,"S+",IF(M448&gt;=Assumptions!$B$18,"S",IF(M448&gt;=Assumptions!$B$19,"A",IF(M448&gt;=Assumptions!$B$20,"B",IF(M448&gt;=Assumptions!$B$21,"C",IF(M448&gt;=Assumptions!$B$22,"D","F"))))))</f>
        <v>C</v>
      </c>
      <c r="D448" s="3" t="s">
        <v>183</v>
      </c>
      <c r="E448" s="3" t="n">
        <v>4</v>
      </c>
      <c r="F448" s="12" t="n">
        <v>0.6655</v>
      </c>
      <c r="G448" s="12" t="n">
        <v>0.76</v>
      </c>
      <c r="H448" s="12" t="n">
        <v>0.4762</v>
      </c>
      <c r="I448" s="12" t="n">
        <v>0.6626</v>
      </c>
      <c r="J448" s="12" t="n">
        <v>0.3258</v>
      </c>
      <c r="K448" s="12" t="n">
        <v>0.5787</v>
      </c>
      <c r="L448" s="3" t="n">
        <v>5.91</v>
      </c>
      <c r="M448" s="12" t="n">
        <f aca="false">Z448-W448</f>
        <v>0.0782200000000001</v>
      </c>
      <c r="N448" s="12" t="n">
        <f aca="false">IFERROR((Z448-J448)/L448,"")</f>
        <v>0.0427952622673435</v>
      </c>
      <c r="O448" s="3" t="n">
        <v>16</v>
      </c>
      <c r="P448" s="13" t="b">
        <f aca="false">FALSE()</f>
        <v>0</v>
      </c>
      <c r="Q448" s="3" t="s">
        <v>201</v>
      </c>
      <c r="R448" s="12" t="n">
        <v>0.6215</v>
      </c>
      <c r="S448" s="12" t="n">
        <v>0.7873</v>
      </c>
      <c r="T448" s="3" t="n">
        <v>0.3891</v>
      </c>
      <c r="U448" s="12" t="n">
        <v>0.3077</v>
      </c>
      <c r="V448" s="12" t="n">
        <v>0.4637</v>
      </c>
      <c r="W448" s="12" t="n">
        <v>0.5005</v>
      </c>
      <c r="X448" s="3" t="n">
        <v>0.5746</v>
      </c>
      <c r="Y448" s="3" t="n">
        <v>0.6379</v>
      </c>
      <c r="Z448" s="14" t="n">
        <f aca="false">Assumptions!$B$3*R448+Assumptions!$B$4*S448+IF(AA448=1,Assumptions!$B$11,Assumptions!$B$5)*X448+IF(AA448=1,Assumptions!$B$12,Assumptions!$B$6)*T448+Assumptions!$B$7*U448+Assumptions!$B$8*V448+Assumptions!$B$9*Y448</f>
        <v>0.57872</v>
      </c>
      <c r="AA448" s="3" t="n">
        <v>1</v>
      </c>
    </row>
    <row r="449" customFormat="false" ht="15" hidden="false" customHeight="false" outlineLevel="0" collapsed="false">
      <c r="A449" s="3" t="s">
        <v>634</v>
      </c>
      <c r="B449" s="3" t="n">
        <v>482</v>
      </c>
      <c r="C449" s="11" t="str">
        <f aca="false">IF(M449&gt;=Assumptions!$B$17,"S+",IF(M449&gt;=Assumptions!$B$18,"S",IF(M449&gt;=Assumptions!$B$19,"A",IF(M449&gt;=Assumptions!$B$20,"B",IF(M449&gt;=Assumptions!$B$21,"C",IF(M449&gt;=Assumptions!$B$22,"D","F"))))))</f>
        <v>C</v>
      </c>
      <c r="D449" s="3" t="s">
        <v>183</v>
      </c>
      <c r="E449" s="3" t="n">
        <v>4</v>
      </c>
      <c r="F449" s="12" t="n">
        <v>0.6655</v>
      </c>
      <c r="G449" s="12" t="n">
        <v>0.76</v>
      </c>
      <c r="H449" s="12" t="n">
        <v>0.4762</v>
      </c>
      <c r="I449" s="12" t="n">
        <v>0.6626</v>
      </c>
      <c r="J449" s="12" t="n">
        <v>0.3258</v>
      </c>
      <c r="K449" s="12" t="n">
        <v>0.5787</v>
      </c>
      <c r="L449" s="3" t="n">
        <v>5.91</v>
      </c>
      <c r="M449" s="12" t="n">
        <f aca="false">Z449-W449</f>
        <v>0.0782200000000001</v>
      </c>
      <c r="N449" s="12" t="n">
        <f aca="false">IFERROR((Z449-J449)/L449,"")</f>
        <v>0.0427952622673435</v>
      </c>
      <c r="O449" s="3" t="n">
        <v>16</v>
      </c>
      <c r="P449" s="13" t="b">
        <f aca="false">FALSE()</f>
        <v>0</v>
      </c>
      <c r="Q449" s="3" t="s">
        <v>201</v>
      </c>
      <c r="R449" s="12" t="n">
        <v>0.6215</v>
      </c>
      <c r="S449" s="12" t="n">
        <v>0.7873</v>
      </c>
      <c r="T449" s="3" t="n">
        <v>0.3891</v>
      </c>
      <c r="U449" s="12" t="n">
        <v>0.3077</v>
      </c>
      <c r="V449" s="12" t="n">
        <v>0.4637</v>
      </c>
      <c r="W449" s="12" t="n">
        <v>0.5005</v>
      </c>
      <c r="X449" s="3" t="n">
        <v>0.5746</v>
      </c>
      <c r="Y449" s="3" t="n">
        <v>0.6379</v>
      </c>
      <c r="Z449" s="14" t="n">
        <f aca="false">Assumptions!$B$3*R449+Assumptions!$B$4*S449+IF(AA449=1,Assumptions!$B$11,Assumptions!$B$5)*X449+IF(AA449=1,Assumptions!$B$12,Assumptions!$B$6)*T449+Assumptions!$B$7*U449+Assumptions!$B$8*V449+Assumptions!$B$9*Y449</f>
        <v>0.57872</v>
      </c>
      <c r="AA449" s="3" t="n">
        <v>1</v>
      </c>
    </row>
    <row r="450" customFormat="false" ht="15" hidden="false" customHeight="false" outlineLevel="0" collapsed="false">
      <c r="A450" s="3" t="s">
        <v>635</v>
      </c>
      <c r="B450" s="3" t="n">
        <v>482</v>
      </c>
      <c r="C450" s="11" t="str">
        <f aca="false">IF(M450&gt;=Assumptions!$B$17,"S+",IF(M450&gt;=Assumptions!$B$18,"S",IF(M450&gt;=Assumptions!$B$19,"A",IF(M450&gt;=Assumptions!$B$20,"B",IF(M450&gt;=Assumptions!$B$21,"C",IF(M450&gt;=Assumptions!$B$22,"D","F"))))))</f>
        <v>C</v>
      </c>
      <c r="D450" s="3" t="s">
        <v>183</v>
      </c>
      <c r="E450" s="3" t="n">
        <v>4</v>
      </c>
      <c r="F450" s="12" t="n">
        <v>0.6655</v>
      </c>
      <c r="G450" s="12" t="n">
        <v>0.76</v>
      </c>
      <c r="H450" s="12" t="n">
        <v>0.4762</v>
      </c>
      <c r="I450" s="12" t="n">
        <v>0.6626</v>
      </c>
      <c r="J450" s="12" t="n">
        <v>0.3258</v>
      </c>
      <c r="K450" s="12" t="n">
        <v>0.5787</v>
      </c>
      <c r="L450" s="3" t="n">
        <v>5.91</v>
      </c>
      <c r="M450" s="12" t="n">
        <f aca="false">Z450-W450</f>
        <v>0.0782200000000001</v>
      </c>
      <c r="N450" s="12" t="n">
        <f aca="false">IFERROR((Z450-J450)/L450,"")</f>
        <v>0.0427952622673435</v>
      </c>
      <c r="O450" s="3" t="n">
        <v>16</v>
      </c>
      <c r="P450" s="13" t="b">
        <f aca="false">FALSE()</f>
        <v>0</v>
      </c>
      <c r="Q450" s="3" t="s">
        <v>201</v>
      </c>
      <c r="R450" s="12" t="n">
        <v>0.6215</v>
      </c>
      <c r="S450" s="12" t="n">
        <v>0.7873</v>
      </c>
      <c r="T450" s="3" t="n">
        <v>0.3891</v>
      </c>
      <c r="U450" s="12" t="n">
        <v>0.3077</v>
      </c>
      <c r="V450" s="12" t="n">
        <v>0.4637</v>
      </c>
      <c r="W450" s="12" t="n">
        <v>0.5005</v>
      </c>
      <c r="X450" s="3" t="n">
        <v>0.5746</v>
      </c>
      <c r="Y450" s="3" t="n">
        <v>0.6379</v>
      </c>
      <c r="Z450" s="14" t="n">
        <f aca="false">Assumptions!$B$3*R450+Assumptions!$B$4*S450+IF(AA450=1,Assumptions!$B$11,Assumptions!$B$5)*X450+IF(AA450=1,Assumptions!$B$12,Assumptions!$B$6)*T450+Assumptions!$B$7*U450+Assumptions!$B$8*V450+Assumptions!$B$9*Y450</f>
        <v>0.57872</v>
      </c>
      <c r="AA450" s="3" t="n">
        <v>1</v>
      </c>
    </row>
    <row r="451" customFormat="false" ht="15" hidden="false" customHeight="false" outlineLevel="0" collapsed="false">
      <c r="A451" s="3" t="s">
        <v>636</v>
      </c>
      <c r="B451" s="3" t="n">
        <v>482</v>
      </c>
      <c r="C451" s="11" t="str">
        <f aca="false">IF(M451&gt;=Assumptions!$B$17,"S+",IF(M451&gt;=Assumptions!$B$18,"S",IF(M451&gt;=Assumptions!$B$19,"A",IF(M451&gt;=Assumptions!$B$20,"B",IF(M451&gt;=Assumptions!$B$21,"C",IF(M451&gt;=Assumptions!$B$22,"D","F"))))))</f>
        <v>C</v>
      </c>
      <c r="D451" s="3" t="s">
        <v>183</v>
      </c>
      <c r="E451" s="3" t="n">
        <v>4</v>
      </c>
      <c r="F451" s="12" t="n">
        <v>0.6655</v>
      </c>
      <c r="G451" s="12" t="n">
        <v>0.76</v>
      </c>
      <c r="H451" s="12" t="n">
        <v>0.4762</v>
      </c>
      <c r="I451" s="12" t="n">
        <v>0.6626</v>
      </c>
      <c r="J451" s="12" t="n">
        <v>0.3258</v>
      </c>
      <c r="K451" s="12" t="n">
        <v>0.5787</v>
      </c>
      <c r="L451" s="3" t="n">
        <v>5.91</v>
      </c>
      <c r="M451" s="12" t="n">
        <f aca="false">Z451-W451</f>
        <v>0.0782200000000001</v>
      </c>
      <c r="N451" s="12" t="n">
        <f aca="false">IFERROR((Z451-J451)/L451,"")</f>
        <v>0.0427952622673435</v>
      </c>
      <c r="O451" s="3" t="n">
        <v>16</v>
      </c>
      <c r="P451" s="13" t="b">
        <f aca="false">FALSE()</f>
        <v>0</v>
      </c>
      <c r="Q451" s="3" t="s">
        <v>201</v>
      </c>
      <c r="R451" s="12" t="n">
        <v>0.6215</v>
      </c>
      <c r="S451" s="12" t="n">
        <v>0.7873</v>
      </c>
      <c r="T451" s="3" t="n">
        <v>0.3891</v>
      </c>
      <c r="U451" s="12" t="n">
        <v>0.3077</v>
      </c>
      <c r="V451" s="12" t="n">
        <v>0.4637</v>
      </c>
      <c r="W451" s="12" t="n">
        <v>0.5005</v>
      </c>
      <c r="X451" s="3" t="n">
        <v>0.5746</v>
      </c>
      <c r="Y451" s="3" t="n">
        <v>0.6379</v>
      </c>
      <c r="Z451" s="14" t="n">
        <f aca="false">Assumptions!$B$3*R451+Assumptions!$B$4*S451+IF(AA451=1,Assumptions!$B$11,Assumptions!$B$5)*X451+IF(AA451=1,Assumptions!$B$12,Assumptions!$B$6)*T451+Assumptions!$B$7*U451+Assumptions!$B$8*V451+Assumptions!$B$9*Y451</f>
        <v>0.57872</v>
      </c>
      <c r="AA451" s="3" t="n">
        <v>1</v>
      </c>
    </row>
    <row r="452" customFormat="false" ht="15" hidden="false" customHeight="false" outlineLevel="0" collapsed="false">
      <c r="A452" s="3" t="s">
        <v>637</v>
      </c>
      <c r="B452" s="3" t="n">
        <v>482</v>
      </c>
      <c r="C452" s="11" t="str">
        <f aca="false">IF(M452&gt;=Assumptions!$B$17,"S+",IF(M452&gt;=Assumptions!$B$18,"S",IF(M452&gt;=Assumptions!$B$19,"A",IF(M452&gt;=Assumptions!$B$20,"B",IF(M452&gt;=Assumptions!$B$21,"C",IF(M452&gt;=Assumptions!$B$22,"D","F"))))))</f>
        <v>C</v>
      </c>
      <c r="D452" s="3" t="s">
        <v>183</v>
      </c>
      <c r="E452" s="3" t="n">
        <v>4</v>
      </c>
      <c r="F452" s="12" t="n">
        <v>0.6655</v>
      </c>
      <c r="G452" s="12" t="n">
        <v>0.76</v>
      </c>
      <c r="H452" s="12" t="n">
        <v>0.4762</v>
      </c>
      <c r="I452" s="12" t="n">
        <v>0.6626</v>
      </c>
      <c r="J452" s="12" t="n">
        <v>0.3258</v>
      </c>
      <c r="K452" s="12" t="n">
        <v>0.5787</v>
      </c>
      <c r="L452" s="3" t="n">
        <v>5.91</v>
      </c>
      <c r="M452" s="12" t="n">
        <f aca="false">Z452-W452</f>
        <v>0.0782200000000001</v>
      </c>
      <c r="N452" s="12" t="n">
        <f aca="false">IFERROR((Z452-J452)/L452,"")</f>
        <v>0.0427952622673435</v>
      </c>
      <c r="O452" s="3" t="n">
        <v>16</v>
      </c>
      <c r="P452" s="13" t="b">
        <f aca="false">FALSE()</f>
        <v>0</v>
      </c>
      <c r="Q452" s="3" t="s">
        <v>201</v>
      </c>
      <c r="R452" s="12" t="n">
        <v>0.6215</v>
      </c>
      <c r="S452" s="12" t="n">
        <v>0.7873</v>
      </c>
      <c r="T452" s="3" t="n">
        <v>0.3891</v>
      </c>
      <c r="U452" s="12" t="n">
        <v>0.3077</v>
      </c>
      <c r="V452" s="12" t="n">
        <v>0.4637</v>
      </c>
      <c r="W452" s="12" t="n">
        <v>0.5005</v>
      </c>
      <c r="X452" s="3" t="n">
        <v>0.5746</v>
      </c>
      <c r="Y452" s="3" t="n">
        <v>0.6379</v>
      </c>
      <c r="Z452" s="14" t="n">
        <f aca="false">Assumptions!$B$3*R452+Assumptions!$B$4*S452+IF(AA452=1,Assumptions!$B$11,Assumptions!$B$5)*X452+IF(AA452=1,Assumptions!$B$12,Assumptions!$B$6)*T452+Assumptions!$B$7*U452+Assumptions!$B$8*V452+Assumptions!$B$9*Y452</f>
        <v>0.57872</v>
      </c>
      <c r="AA452" s="3" t="n">
        <v>1</v>
      </c>
    </row>
    <row r="453" customFormat="false" ht="15" hidden="false" customHeight="false" outlineLevel="0" collapsed="false">
      <c r="A453" s="3" t="s">
        <v>638</v>
      </c>
      <c r="B453" s="3" t="n">
        <v>482</v>
      </c>
      <c r="C453" s="11" t="str">
        <f aca="false">IF(M453&gt;=Assumptions!$B$17,"S+",IF(M453&gt;=Assumptions!$B$18,"S",IF(M453&gt;=Assumptions!$B$19,"A",IF(M453&gt;=Assumptions!$B$20,"B",IF(M453&gt;=Assumptions!$B$21,"C",IF(M453&gt;=Assumptions!$B$22,"D","F"))))))</f>
        <v>C</v>
      </c>
      <c r="D453" s="3" t="s">
        <v>183</v>
      </c>
      <c r="E453" s="3" t="n">
        <v>4</v>
      </c>
      <c r="F453" s="12" t="n">
        <v>0.6655</v>
      </c>
      <c r="G453" s="12" t="n">
        <v>0.76</v>
      </c>
      <c r="H453" s="12" t="n">
        <v>0.4762</v>
      </c>
      <c r="I453" s="12" t="n">
        <v>0.6626</v>
      </c>
      <c r="J453" s="12" t="n">
        <v>0.3258</v>
      </c>
      <c r="K453" s="12" t="n">
        <v>0.5787</v>
      </c>
      <c r="L453" s="3" t="n">
        <v>5.91</v>
      </c>
      <c r="M453" s="12" t="n">
        <f aca="false">Z453-W453</f>
        <v>0.0782200000000001</v>
      </c>
      <c r="N453" s="12" t="n">
        <f aca="false">IFERROR((Z453-J453)/L453,"")</f>
        <v>0.0427952622673435</v>
      </c>
      <c r="O453" s="3" t="n">
        <v>16</v>
      </c>
      <c r="P453" s="13" t="b">
        <f aca="false">FALSE()</f>
        <v>0</v>
      </c>
      <c r="Q453" s="3" t="s">
        <v>166</v>
      </c>
      <c r="R453" s="12" t="n">
        <v>0.6215</v>
      </c>
      <c r="S453" s="12" t="n">
        <v>0.7873</v>
      </c>
      <c r="T453" s="3" t="n">
        <v>0.3891</v>
      </c>
      <c r="U453" s="12" t="n">
        <v>0.3077</v>
      </c>
      <c r="V453" s="12" t="n">
        <v>0.4637</v>
      </c>
      <c r="W453" s="12" t="n">
        <v>0.5005</v>
      </c>
      <c r="X453" s="3" t="n">
        <v>0.5746</v>
      </c>
      <c r="Y453" s="3" t="n">
        <v>0.6379</v>
      </c>
      <c r="Z453" s="14" t="n">
        <f aca="false">Assumptions!$B$3*R453+Assumptions!$B$4*S453+IF(AA453=1,Assumptions!$B$11,Assumptions!$B$5)*X453+IF(AA453=1,Assumptions!$B$12,Assumptions!$B$6)*T453+Assumptions!$B$7*U453+Assumptions!$B$8*V453+Assumptions!$B$9*Y453</f>
        <v>0.57872</v>
      </c>
      <c r="AA453" s="3" t="n">
        <v>1</v>
      </c>
    </row>
    <row r="454" customFormat="false" ht="15" hidden="false" customHeight="false" outlineLevel="0" collapsed="false">
      <c r="A454" s="3" t="s">
        <v>639</v>
      </c>
      <c r="B454" s="3" t="n">
        <v>410</v>
      </c>
      <c r="C454" s="11" t="str">
        <f aca="false">IF(M454&gt;=Assumptions!$B$17,"S+",IF(M454&gt;=Assumptions!$B$18,"S",IF(M454&gt;=Assumptions!$B$19,"A",IF(M454&gt;=Assumptions!$B$20,"B",IF(M454&gt;=Assumptions!$B$21,"C",IF(M454&gt;=Assumptions!$B$22,"D","F"))))))</f>
        <v>C</v>
      </c>
      <c r="D454" s="3" t="s">
        <v>253</v>
      </c>
      <c r="E454" s="3" t="n">
        <v>7</v>
      </c>
      <c r="F454" s="12" t="n">
        <v>0.402</v>
      </c>
      <c r="G454" s="12" t="n">
        <v>1</v>
      </c>
      <c r="H454" s="12" t="n">
        <v>0.75</v>
      </c>
      <c r="I454" s="12" t="n">
        <v>0.7586</v>
      </c>
      <c r="J454" s="12" t="n">
        <v>0.4226</v>
      </c>
      <c r="K454" s="12" t="n">
        <v>0.6073</v>
      </c>
      <c r="L454" s="3" t="n">
        <v>4</v>
      </c>
      <c r="M454" s="12" t="n">
        <f aca="false">Z454-W454</f>
        <v>0.0777530000000001</v>
      </c>
      <c r="N454" s="12" t="n">
        <f aca="false">IFERROR((Z454-J454)/L454,"")</f>
        <v>0.04616325</v>
      </c>
      <c r="O454" s="3" t="n">
        <v>13</v>
      </c>
      <c r="P454" s="13" t="b">
        <f aca="false">FALSE()</f>
        <v>0</v>
      </c>
      <c r="Q454" s="3" t="s">
        <v>166</v>
      </c>
      <c r="R454" s="12" t="n">
        <v>0.922</v>
      </c>
      <c r="S454" s="12" t="n">
        <v>0.4136</v>
      </c>
      <c r="T454" s="3" t="n">
        <v>0.2525</v>
      </c>
      <c r="U454" s="12" t="n">
        <v>0.5681</v>
      </c>
      <c r="V454" s="12" t="n">
        <v>0.4771</v>
      </c>
      <c r="W454" s="12" t="n">
        <v>0.5295</v>
      </c>
      <c r="X454" s="3" t="n">
        <v>0.5612</v>
      </c>
      <c r="Y454" s="3" t="n">
        <v>0.7611</v>
      </c>
      <c r="Z454" s="14" t="n">
        <f aca="false">Assumptions!$B$3*R454+Assumptions!$B$4*S454+IF(AA454=1,Assumptions!$B$11,Assumptions!$B$5)*X454+IF(AA454=1,Assumptions!$B$12,Assumptions!$B$6)*T454+Assumptions!$B$7*U454+Assumptions!$B$8*V454+Assumptions!$B$9*Y454</f>
        <v>0.607253</v>
      </c>
      <c r="AA454" s="3" t="n">
        <v>0</v>
      </c>
    </row>
    <row r="455" customFormat="false" ht="15" hidden="false" customHeight="false" outlineLevel="0" collapsed="false">
      <c r="A455" s="3" t="s">
        <v>640</v>
      </c>
      <c r="B455" s="3" t="n">
        <v>500</v>
      </c>
      <c r="C455" s="11" t="str">
        <f aca="false">IF(M455&gt;=Assumptions!$B$17,"S+",IF(M455&gt;=Assumptions!$B$18,"S",IF(M455&gt;=Assumptions!$B$19,"A",IF(M455&gt;=Assumptions!$B$20,"B",IF(M455&gt;=Assumptions!$B$21,"C",IF(M455&gt;=Assumptions!$B$22,"D","F"))))))</f>
        <v>C</v>
      </c>
      <c r="D455" s="3" t="s">
        <v>218</v>
      </c>
      <c r="E455" s="3" t="n">
        <v>2</v>
      </c>
      <c r="F455" s="12" t="n">
        <v>0.8167</v>
      </c>
      <c r="G455" s="12" t="n">
        <v>1</v>
      </c>
      <c r="H455" s="12" t="n">
        <v>0.75</v>
      </c>
      <c r="I455" s="12" t="n">
        <v>0.8913</v>
      </c>
      <c r="J455" s="12" t="n">
        <v>0.3618</v>
      </c>
      <c r="K455" s="12" t="n">
        <v>0.5792</v>
      </c>
      <c r="L455" s="3" t="n">
        <v>6.81</v>
      </c>
      <c r="M455" s="12" t="n">
        <f aca="false">Z455-W455</f>
        <v>0.0777290000000001</v>
      </c>
      <c r="N455" s="12" t="n">
        <f aca="false">IFERROR((Z455-J455)/L455,"")</f>
        <v>0.0319279001468429</v>
      </c>
      <c r="O455" s="3" t="n">
        <v>18</v>
      </c>
      <c r="P455" s="13" t="b">
        <f aca="false">FALSE()</f>
        <v>0</v>
      </c>
      <c r="Q455" s="3" t="s">
        <v>166</v>
      </c>
      <c r="R455" s="12" t="n">
        <v>0.7903</v>
      </c>
      <c r="S455" s="12" t="n">
        <v>0.4158</v>
      </c>
      <c r="T455" s="3" t="n">
        <v>0.5653</v>
      </c>
      <c r="U455" s="12" t="n">
        <v>0.4701</v>
      </c>
      <c r="V455" s="12" t="n">
        <v>0.4059</v>
      </c>
      <c r="W455" s="12" t="n">
        <v>0.5015</v>
      </c>
      <c r="X455" s="3" t="n">
        <v>0.4181</v>
      </c>
      <c r="Y455" s="3" t="n">
        <v>0.8499</v>
      </c>
      <c r="Z455" s="14" t="n">
        <f aca="false">Assumptions!$B$3*R455+Assumptions!$B$4*S455+IF(AA455=1,Assumptions!$B$11,Assumptions!$B$5)*X455+IF(AA455=1,Assumptions!$B$12,Assumptions!$B$6)*T455+Assumptions!$B$7*U455+Assumptions!$B$8*V455+Assumptions!$B$9*Y455</f>
        <v>0.579229</v>
      </c>
      <c r="AA455" s="3" t="n">
        <v>0</v>
      </c>
    </row>
    <row r="456" customFormat="false" ht="15" hidden="false" customHeight="false" outlineLevel="0" collapsed="false">
      <c r="A456" s="3" t="s">
        <v>641</v>
      </c>
      <c r="B456" s="3" t="n">
        <v>570</v>
      </c>
      <c r="C456" s="11" t="str">
        <f aca="false">IF(M456&gt;=Assumptions!$B$17,"S+",IF(M456&gt;=Assumptions!$B$18,"S",IF(M456&gt;=Assumptions!$B$19,"A",IF(M456&gt;=Assumptions!$B$20,"B",IF(M456&gt;=Assumptions!$B$21,"C",IF(M456&gt;=Assumptions!$B$22,"D","F"))))))</f>
        <v>C</v>
      </c>
      <c r="D456" s="3" t="s">
        <v>197</v>
      </c>
      <c r="E456" s="3" t="n">
        <v>1</v>
      </c>
      <c r="F456" s="12" t="n">
        <v>0.8831</v>
      </c>
      <c r="G456" s="12" t="n">
        <v>0.8</v>
      </c>
      <c r="H456" s="12" t="n">
        <v>0.75</v>
      </c>
      <c r="I456" s="12" t="n">
        <v>0.8216</v>
      </c>
      <c r="J456" s="12" t="n">
        <v>0.4229</v>
      </c>
      <c r="K456" s="12" t="n">
        <v>0.5841</v>
      </c>
      <c r="L456" s="3" t="n">
        <v>3.61</v>
      </c>
      <c r="M456" s="12" t="n">
        <f aca="false">Z456-W456</f>
        <v>0.077199</v>
      </c>
      <c r="N456" s="12" t="n">
        <f aca="false">IFERROR((Z456-J456)/L456,"")</f>
        <v>0.0446534626038781</v>
      </c>
      <c r="O456" s="3" t="n">
        <v>19</v>
      </c>
      <c r="P456" s="13" t="b">
        <f aca="false">FALSE()</f>
        <v>0</v>
      </c>
      <c r="Q456" s="3" t="s">
        <v>166</v>
      </c>
      <c r="R456" s="12" t="n">
        <v>0.779</v>
      </c>
      <c r="S456" s="12" t="n">
        <v>0.6662</v>
      </c>
      <c r="T456" s="3" t="n">
        <v>0.5034</v>
      </c>
      <c r="U456" s="12" t="n">
        <v>0.3684</v>
      </c>
      <c r="V456" s="12" t="n">
        <v>0.4953</v>
      </c>
      <c r="W456" s="12" t="n">
        <v>0.5069</v>
      </c>
      <c r="X456" s="3" t="n">
        <v>0.3408</v>
      </c>
      <c r="Y456" s="3" t="n">
        <v>0.7537</v>
      </c>
      <c r="Z456" s="14" t="n">
        <f aca="false">Assumptions!$B$3*R456+Assumptions!$B$4*S456+IF(AA456=1,Assumptions!$B$11,Assumptions!$B$5)*X456+IF(AA456=1,Assumptions!$B$12,Assumptions!$B$6)*T456+Assumptions!$B$7*U456+Assumptions!$B$8*V456+Assumptions!$B$9*Y456</f>
        <v>0.584099</v>
      </c>
      <c r="AA456" s="3" t="n">
        <v>0</v>
      </c>
    </row>
    <row r="457" customFormat="false" ht="15" hidden="false" customHeight="false" outlineLevel="0" collapsed="false">
      <c r="A457" s="3" t="s">
        <v>642</v>
      </c>
      <c r="B457" s="3" t="n">
        <v>480</v>
      </c>
      <c r="C457" s="11" t="str">
        <f aca="false">IF(M457&gt;=Assumptions!$B$17,"S+",IF(M457&gt;=Assumptions!$B$18,"S",IF(M457&gt;=Assumptions!$B$19,"A",IF(M457&gt;=Assumptions!$B$20,"B",IF(M457&gt;=Assumptions!$B$21,"C",IF(M457&gt;=Assumptions!$B$22,"D","F"))))))</f>
        <v>C</v>
      </c>
      <c r="D457" s="3" t="s">
        <v>173</v>
      </c>
      <c r="E457" s="3" t="n">
        <v>2</v>
      </c>
      <c r="F457" s="12" t="n">
        <v>0.6845</v>
      </c>
      <c r="G457" s="12" t="n">
        <v>0.6</v>
      </c>
      <c r="H457" s="12" t="n">
        <v>0.75</v>
      </c>
      <c r="I457" s="12" t="n">
        <v>0.6452</v>
      </c>
      <c r="J457" s="12" t="n">
        <v>0.3485</v>
      </c>
      <c r="K457" s="12" t="n">
        <v>0.5266</v>
      </c>
      <c r="L457" s="3" t="n">
        <v>5.75</v>
      </c>
      <c r="M457" s="12" t="n">
        <f aca="false">Z457-W457</f>
        <v>0.07691</v>
      </c>
      <c r="N457" s="12" t="n">
        <f aca="false">IFERROR((Z457-J457)/L457,"")</f>
        <v>0.0309756521739131</v>
      </c>
      <c r="O457" s="3" t="n">
        <v>18</v>
      </c>
      <c r="P457" s="13" t="b">
        <f aca="false">FALSE()</f>
        <v>0</v>
      </c>
      <c r="Q457" s="3" t="s">
        <v>166</v>
      </c>
      <c r="R457" s="12" t="n">
        <v>0.6671</v>
      </c>
      <c r="S457" s="12" t="n">
        <v>0.6285</v>
      </c>
      <c r="T457" s="3" t="n">
        <v>0.3072</v>
      </c>
      <c r="U457" s="12" t="n">
        <v>0.3632</v>
      </c>
      <c r="V457" s="12" t="n">
        <v>0.5195</v>
      </c>
      <c r="W457" s="12" t="n">
        <v>0.4497</v>
      </c>
      <c r="X457" s="3" t="n">
        <v>0.3879</v>
      </c>
      <c r="Y457" s="3" t="n">
        <v>0.6004</v>
      </c>
      <c r="Z457" s="14" t="n">
        <f aca="false">Assumptions!$B$3*R457+Assumptions!$B$4*S457+IF(AA457=1,Assumptions!$B$11,Assumptions!$B$5)*X457+IF(AA457=1,Assumptions!$B$12,Assumptions!$B$6)*T457+Assumptions!$B$7*U457+Assumptions!$B$8*V457+Assumptions!$B$9*Y457</f>
        <v>0.52661</v>
      </c>
      <c r="AA457" s="3" t="n">
        <v>1</v>
      </c>
    </row>
    <row r="458" customFormat="false" ht="15" hidden="false" customHeight="false" outlineLevel="0" collapsed="false">
      <c r="A458" s="3" t="s">
        <v>643</v>
      </c>
      <c r="B458" s="3" t="n">
        <v>490</v>
      </c>
      <c r="C458" s="11" t="str">
        <f aca="false">IF(M458&gt;=Assumptions!$B$17,"S+",IF(M458&gt;=Assumptions!$B$18,"S",IF(M458&gt;=Assumptions!$B$19,"A",IF(M458&gt;=Assumptions!$B$20,"B",IF(M458&gt;=Assumptions!$B$21,"C",IF(M458&gt;=Assumptions!$B$22,"D","F"))))))</f>
        <v>C</v>
      </c>
      <c r="D458" s="3" t="s">
        <v>190</v>
      </c>
      <c r="E458" s="3" t="n">
        <v>3</v>
      </c>
      <c r="F458" s="12" t="n">
        <v>0.4117</v>
      </c>
      <c r="G458" s="12" t="n">
        <v>1</v>
      </c>
      <c r="H458" s="12" t="n">
        <v>0.75</v>
      </c>
      <c r="I458" s="12" t="n">
        <v>0.7265</v>
      </c>
      <c r="J458" s="12" t="n">
        <v>0.3127</v>
      </c>
      <c r="K458" s="12" t="n">
        <v>0.5583</v>
      </c>
      <c r="L458" s="3" t="n">
        <v>3.82</v>
      </c>
      <c r="M458" s="12" t="n">
        <f aca="false">Z458-W458</f>
        <v>0.076535</v>
      </c>
      <c r="N458" s="12" t="n">
        <f aca="false">IFERROR((Z458-J458)/L458,"")</f>
        <v>0.0642761780104712</v>
      </c>
      <c r="O458" s="3" t="n">
        <v>17</v>
      </c>
      <c r="P458" s="13" t="b">
        <f aca="false">FALSE()</f>
        <v>0</v>
      </c>
      <c r="Q458" s="3" t="s">
        <v>166</v>
      </c>
      <c r="R458" s="12" t="n">
        <v>0.7689</v>
      </c>
      <c r="S458" s="12" t="n">
        <v>0.615</v>
      </c>
      <c r="T458" s="3" t="n">
        <v>0.2902</v>
      </c>
      <c r="U458" s="12" t="n">
        <v>0.4027</v>
      </c>
      <c r="V458" s="12" t="n">
        <v>0.4887</v>
      </c>
      <c r="W458" s="12" t="n">
        <v>0.4817</v>
      </c>
      <c r="X458" s="3" t="n">
        <v>0.4415</v>
      </c>
      <c r="Y458" s="3" t="n">
        <v>0.6658</v>
      </c>
      <c r="Z458" s="14" t="n">
        <f aca="false">Assumptions!$B$3*R458+Assumptions!$B$4*S458+IF(AA458=1,Assumptions!$B$11,Assumptions!$B$5)*X458+IF(AA458=1,Assumptions!$B$12,Assumptions!$B$6)*T458+Assumptions!$B$7*U458+Assumptions!$B$8*V458+Assumptions!$B$9*Y458</f>
        <v>0.558235</v>
      </c>
      <c r="AA458" s="3" t="n">
        <v>0</v>
      </c>
    </row>
    <row r="459" customFormat="false" ht="15" hidden="false" customHeight="false" outlineLevel="0" collapsed="false">
      <c r="A459" s="3" t="s">
        <v>644</v>
      </c>
      <c r="B459" s="3" t="n">
        <v>340</v>
      </c>
      <c r="C459" s="11" t="str">
        <f aca="false">IF(M459&gt;=Assumptions!$B$17,"S+",IF(M459&gt;=Assumptions!$B$18,"S",IF(M459&gt;=Assumptions!$B$19,"A",IF(M459&gt;=Assumptions!$B$20,"B",IF(M459&gt;=Assumptions!$B$21,"C",IF(M459&gt;=Assumptions!$B$22,"D","F"))))))</f>
        <v>C</v>
      </c>
      <c r="D459" s="3" t="s">
        <v>206</v>
      </c>
      <c r="E459" s="3" t="n">
        <v>1</v>
      </c>
      <c r="F459" s="12" t="n">
        <v>0.553</v>
      </c>
      <c r="G459" s="12" t="n">
        <v>0.36</v>
      </c>
      <c r="H459" s="12" t="n">
        <v>0.4901</v>
      </c>
      <c r="I459" s="12" t="n">
        <v>0.4466</v>
      </c>
      <c r="J459" s="12" t="n">
        <v>0.2862</v>
      </c>
      <c r="K459" s="12" t="n">
        <v>0.4916</v>
      </c>
      <c r="L459" s="3" t="n">
        <v>5.58</v>
      </c>
      <c r="M459" s="12" t="n">
        <f aca="false">Z459-W459</f>
        <v>0.0762090000000001</v>
      </c>
      <c r="N459" s="12" t="n">
        <f aca="false">IFERROR((Z459-J459)/L459,"")</f>
        <v>0.0368116487455197</v>
      </c>
      <c r="O459" s="3" t="n">
        <v>19</v>
      </c>
      <c r="P459" s="13" t="b">
        <f aca="false">FALSE()</f>
        <v>0</v>
      </c>
      <c r="Q459" s="3" t="s">
        <v>166</v>
      </c>
      <c r="R459" s="12" t="n">
        <v>0.7066</v>
      </c>
      <c r="S459" s="12" t="n">
        <v>0.4975</v>
      </c>
      <c r="T459" s="3" t="n">
        <v>0.0803</v>
      </c>
      <c r="U459" s="12" t="n">
        <v>0.2389</v>
      </c>
      <c r="V459" s="12" t="n">
        <v>0.503</v>
      </c>
      <c r="W459" s="12" t="n">
        <v>0.4154</v>
      </c>
      <c r="X459" s="3" t="n">
        <v>0.4554</v>
      </c>
      <c r="Y459" s="3" t="n">
        <v>0.4154</v>
      </c>
      <c r="Z459" s="14" t="n">
        <f aca="false">Assumptions!$B$3*R459+Assumptions!$B$4*S459+IF(AA459=1,Assumptions!$B$11,Assumptions!$B$5)*X459+IF(AA459=1,Assumptions!$B$12,Assumptions!$B$6)*T459+Assumptions!$B$7*U459+Assumptions!$B$8*V459+Assumptions!$B$9*Y459</f>
        <v>0.491609</v>
      </c>
      <c r="AA459" s="3" t="n">
        <v>1</v>
      </c>
    </row>
    <row r="460" customFormat="false" ht="15" hidden="false" customHeight="false" outlineLevel="0" collapsed="false">
      <c r="A460" s="3" t="s">
        <v>645</v>
      </c>
      <c r="B460" s="3" t="n">
        <v>555</v>
      </c>
      <c r="C460" s="11" t="str">
        <f aca="false">IF(M460&gt;=Assumptions!$B$17,"S+",IF(M460&gt;=Assumptions!$B$18,"S",IF(M460&gt;=Assumptions!$B$19,"A",IF(M460&gt;=Assumptions!$B$20,"B",IF(M460&gt;=Assumptions!$B$21,"C",IF(M460&gt;=Assumptions!$B$22,"D","F"))))))</f>
        <v>C</v>
      </c>
      <c r="D460" s="3" t="s">
        <v>197</v>
      </c>
      <c r="E460" s="3" t="n">
        <v>4</v>
      </c>
      <c r="F460" s="12" t="n">
        <v>0.8202</v>
      </c>
      <c r="G460" s="12" t="n">
        <v>0.4</v>
      </c>
      <c r="H460" s="12" t="n">
        <v>0.75</v>
      </c>
      <c r="I460" s="12" t="n">
        <v>0.6297</v>
      </c>
      <c r="J460" s="12" t="n">
        <v>0.3786</v>
      </c>
      <c r="K460" s="12" t="n">
        <v>0.5632</v>
      </c>
      <c r="L460" s="3" t="n">
        <v>3.94</v>
      </c>
      <c r="M460" s="12" t="n">
        <f aca="false">Z460-W460</f>
        <v>0.076184</v>
      </c>
      <c r="N460" s="12" t="n">
        <f aca="false">IFERROR((Z460-J460)/L460,"")</f>
        <v>0.046848730964467</v>
      </c>
      <c r="O460" s="3" t="n">
        <v>16</v>
      </c>
      <c r="P460" s="13" t="b">
        <f aca="false">FALSE()</f>
        <v>0</v>
      </c>
      <c r="Q460" s="3" t="s">
        <v>166</v>
      </c>
      <c r="R460" s="12" t="n">
        <v>0.7271</v>
      </c>
      <c r="S460" s="12" t="n">
        <v>0.5257</v>
      </c>
      <c r="T460" s="3" t="n">
        <v>0.7354</v>
      </c>
      <c r="U460" s="12" t="n">
        <v>0.4952</v>
      </c>
      <c r="V460" s="12" t="n">
        <v>0.5167</v>
      </c>
      <c r="W460" s="12" t="n">
        <v>0.487</v>
      </c>
      <c r="X460" s="3" t="n">
        <v>0.2693</v>
      </c>
      <c r="Y460" s="3" t="n">
        <v>0.5759</v>
      </c>
      <c r="Z460" s="14" t="n">
        <f aca="false">Assumptions!$B$3*R460+Assumptions!$B$4*S460+IF(AA460=1,Assumptions!$B$11,Assumptions!$B$5)*X460+IF(AA460=1,Assumptions!$B$12,Assumptions!$B$6)*T460+Assumptions!$B$7*U460+Assumptions!$B$8*V460+Assumptions!$B$9*Y460</f>
        <v>0.563184</v>
      </c>
      <c r="AA460" s="3" t="n">
        <v>0</v>
      </c>
    </row>
    <row r="461" customFormat="false" ht="15" hidden="false" customHeight="false" outlineLevel="0" collapsed="false">
      <c r="A461" s="3" t="s">
        <v>646</v>
      </c>
      <c r="B461" s="3" t="n">
        <v>525</v>
      </c>
      <c r="C461" s="11" t="str">
        <f aca="false">IF(M461&gt;=Assumptions!$B$17,"S+",IF(M461&gt;=Assumptions!$B$18,"S",IF(M461&gt;=Assumptions!$B$19,"A",IF(M461&gt;=Assumptions!$B$20,"B",IF(M461&gt;=Assumptions!$B$21,"C",IF(M461&gt;=Assumptions!$B$22,"D","F"))))))</f>
        <v>C</v>
      </c>
      <c r="D461" s="3" t="s">
        <v>190</v>
      </c>
      <c r="E461" s="3" t="n">
        <v>6</v>
      </c>
      <c r="F461" s="12" t="n">
        <v>0.8715</v>
      </c>
      <c r="G461" s="12" t="n">
        <v>0.8</v>
      </c>
      <c r="H461" s="12" t="n">
        <v>0.75</v>
      </c>
      <c r="I461" s="12" t="n">
        <v>0.8172</v>
      </c>
      <c r="J461" s="12" t="n">
        <v>0.4383</v>
      </c>
      <c r="K461" s="12" t="n">
        <v>0.5533</v>
      </c>
      <c r="L461" s="3" t="n">
        <v>6</v>
      </c>
      <c r="M461" s="12" t="n">
        <f aca="false">Z461-W461</f>
        <v>0.076038</v>
      </c>
      <c r="N461" s="12" t="n">
        <f aca="false">IFERROR((Z461-J461)/L461,"")</f>
        <v>0.019173</v>
      </c>
      <c r="O461" s="3" t="n">
        <v>14</v>
      </c>
      <c r="P461" s="13" t="b">
        <f aca="false">FALSE()</f>
        <v>0</v>
      </c>
      <c r="Q461" s="3" t="s">
        <v>166</v>
      </c>
      <c r="R461" s="12" t="n">
        <v>0.8477</v>
      </c>
      <c r="S461" s="12" t="n">
        <v>0.4207</v>
      </c>
      <c r="T461" s="3" t="n">
        <v>0.3733</v>
      </c>
      <c r="U461" s="12" t="n">
        <v>0.3791</v>
      </c>
      <c r="V461" s="12" t="n">
        <v>0.4527</v>
      </c>
      <c r="W461" s="12" t="n">
        <v>0.4773</v>
      </c>
      <c r="X461" s="3" t="n">
        <v>0.3463</v>
      </c>
      <c r="Y461" s="3" t="n">
        <v>0.8192</v>
      </c>
      <c r="Z461" s="14" t="n">
        <f aca="false">Assumptions!$B$3*R461+Assumptions!$B$4*S461+IF(AA461=1,Assumptions!$B$11,Assumptions!$B$5)*X461+IF(AA461=1,Assumptions!$B$12,Assumptions!$B$6)*T461+Assumptions!$B$7*U461+Assumptions!$B$8*V461+Assumptions!$B$9*Y461</f>
        <v>0.553338</v>
      </c>
      <c r="AA461" s="3" t="n">
        <v>0</v>
      </c>
    </row>
    <row r="462" customFormat="false" ht="15" hidden="false" customHeight="false" outlineLevel="0" collapsed="false">
      <c r="A462" s="3" t="s">
        <v>647</v>
      </c>
      <c r="B462" s="3" t="n">
        <v>520</v>
      </c>
      <c r="C462" s="11" t="str">
        <f aca="false">IF(M462&gt;=Assumptions!$B$17,"S+",IF(M462&gt;=Assumptions!$B$18,"S",IF(M462&gt;=Assumptions!$B$19,"A",IF(M462&gt;=Assumptions!$B$20,"B",IF(M462&gt;=Assumptions!$B$21,"C",IF(M462&gt;=Assumptions!$B$22,"D","F"))))))</f>
        <v>C</v>
      </c>
      <c r="D462" s="3" t="s">
        <v>190</v>
      </c>
      <c r="E462" s="3" t="n">
        <v>7</v>
      </c>
      <c r="F462" s="12" t="n">
        <v>0.8372</v>
      </c>
      <c r="G462" s="12" t="n">
        <v>0.6</v>
      </c>
      <c r="H462" s="12" t="n">
        <v>0.75</v>
      </c>
      <c r="I462" s="12" t="n">
        <v>0.7201</v>
      </c>
      <c r="J462" s="12" t="n">
        <v>0.4125</v>
      </c>
      <c r="K462" s="12" t="n">
        <v>0.5528</v>
      </c>
      <c r="L462" s="3" t="n">
        <v>6</v>
      </c>
      <c r="M462" s="12" t="n">
        <f aca="false">Z462-W462</f>
        <v>0.0758490000000001</v>
      </c>
      <c r="N462" s="12" t="n">
        <f aca="false">IFERROR((Z462-J462)/L462,"")</f>
        <v>0.0233748333333333</v>
      </c>
      <c r="O462" s="3" t="n">
        <v>13</v>
      </c>
      <c r="P462" s="13" t="b">
        <f aca="false">FALSE()</f>
        <v>0</v>
      </c>
      <c r="Q462" s="3" t="s">
        <v>166</v>
      </c>
      <c r="R462" s="12" t="n">
        <v>0.8964</v>
      </c>
      <c r="S462" s="12" t="n">
        <v>0.4195</v>
      </c>
      <c r="T462" s="3" t="n">
        <v>0.405</v>
      </c>
      <c r="U462" s="12" t="n">
        <v>0.3787</v>
      </c>
      <c r="V462" s="12" t="n">
        <v>0.457</v>
      </c>
      <c r="W462" s="12" t="n">
        <v>0.4769</v>
      </c>
      <c r="X462" s="3" t="n">
        <v>0.299</v>
      </c>
      <c r="Y462" s="3" t="n">
        <v>0.7218</v>
      </c>
      <c r="Z462" s="14" t="n">
        <f aca="false">Assumptions!$B$3*R462+Assumptions!$B$4*S462+IF(AA462=1,Assumptions!$B$11,Assumptions!$B$5)*X462+IF(AA462=1,Assumptions!$B$12,Assumptions!$B$6)*T462+Assumptions!$B$7*U462+Assumptions!$B$8*V462+Assumptions!$B$9*Y462</f>
        <v>0.552749</v>
      </c>
      <c r="AA462" s="3" t="n">
        <v>0</v>
      </c>
    </row>
    <row r="463" customFormat="false" ht="15" hidden="false" customHeight="false" outlineLevel="0" collapsed="false">
      <c r="A463" s="3" t="s">
        <v>648</v>
      </c>
      <c r="B463" s="3" t="n">
        <v>475</v>
      </c>
      <c r="C463" s="11" t="str">
        <f aca="false">IF(M463&gt;=Assumptions!$B$17,"S+",IF(M463&gt;=Assumptions!$B$18,"S",IF(M463&gt;=Assumptions!$B$19,"A",IF(M463&gt;=Assumptions!$B$20,"B",IF(M463&gt;=Assumptions!$B$21,"C",IF(M463&gt;=Assumptions!$B$22,"D","F"))))))</f>
        <v>C</v>
      </c>
      <c r="D463" s="3" t="s">
        <v>253</v>
      </c>
      <c r="E463" s="3" t="n">
        <v>4</v>
      </c>
      <c r="F463" s="12" t="n">
        <v>0.8192</v>
      </c>
      <c r="G463" s="12" t="n">
        <v>0.6</v>
      </c>
      <c r="H463" s="12" t="n">
        <v>0.75</v>
      </c>
      <c r="I463" s="12" t="n">
        <v>0.7002</v>
      </c>
      <c r="J463" s="12" t="n">
        <v>0.4008</v>
      </c>
      <c r="K463" s="12" t="n">
        <v>0.6019</v>
      </c>
      <c r="L463" s="3" t="n">
        <v>5</v>
      </c>
      <c r="M463" s="12" t="n">
        <f aca="false">Z463-W463</f>
        <v>0.0755480000000001</v>
      </c>
      <c r="N463" s="12" t="n">
        <f aca="false">IFERROR((Z463-J463)/L463,"")</f>
        <v>0.0402296</v>
      </c>
      <c r="O463" s="3" t="n">
        <v>16</v>
      </c>
      <c r="P463" s="13" t="b">
        <f aca="false">FALSE()</f>
        <v>0</v>
      </c>
      <c r="Q463" s="3" t="s">
        <v>166</v>
      </c>
      <c r="R463" s="12" t="n">
        <v>0.6991</v>
      </c>
      <c r="S463" s="12" t="n">
        <v>0.5381</v>
      </c>
      <c r="T463" s="3" t="n">
        <v>0.4308</v>
      </c>
      <c r="U463" s="12" t="n">
        <v>0.5385</v>
      </c>
      <c r="V463" s="12" t="n">
        <v>0.5075</v>
      </c>
      <c r="W463" s="12" t="n">
        <v>0.5264</v>
      </c>
      <c r="X463" s="3" t="n">
        <v>0.6746</v>
      </c>
      <c r="Y463" s="3" t="n">
        <v>0.7016</v>
      </c>
      <c r="Z463" s="14" t="n">
        <f aca="false">Assumptions!$B$3*R463+Assumptions!$B$4*S463+IF(AA463=1,Assumptions!$B$11,Assumptions!$B$5)*X463+IF(AA463=1,Assumptions!$B$12,Assumptions!$B$6)*T463+Assumptions!$B$7*U463+Assumptions!$B$8*V463+Assumptions!$B$9*Y463</f>
        <v>0.601948</v>
      </c>
      <c r="AA463" s="3" t="n">
        <v>0</v>
      </c>
    </row>
    <row r="464" customFormat="false" ht="15" hidden="false" customHeight="false" outlineLevel="0" collapsed="false">
      <c r="A464" s="3" t="s">
        <v>649</v>
      </c>
      <c r="B464" s="3" t="n">
        <v>500</v>
      </c>
      <c r="C464" s="11" t="str">
        <f aca="false">IF(M464&gt;=Assumptions!$B$17,"S+",IF(M464&gt;=Assumptions!$B$18,"S",IF(M464&gt;=Assumptions!$B$19,"A",IF(M464&gt;=Assumptions!$B$20,"B",IF(M464&gt;=Assumptions!$B$21,"C",IF(M464&gt;=Assumptions!$B$22,"D","F"))))))</f>
        <v>C</v>
      </c>
      <c r="D464" s="3" t="s">
        <v>218</v>
      </c>
      <c r="E464" s="3" t="n">
        <v>2</v>
      </c>
      <c r="F464" s="12" t="n">
        <v>0.7738</v>
      </c>
      <c r="G464" s="12" t="n">
        <v>0.6</v>
      </c>
      <c r="H464" s="12" t="n">
        <v>0.75</v>
      </c>
      <c r="I464" s="12" t="n">
        <v>0.6856</v>
      </c>
      <c r="J464" s="12" t="n">
        <v>0.3894</v>
      </c>
      <c r="K464" s="12" t="n">
        <v>0.5912</v>
      </c>
      <c r="L464" s="3" t="n">
        <v>3.69</v>
      </c>
      <c r="M464" s="12" t="n">
        <f aca="false">Z464-W464</f>
        <v>0.075271</v>
      </c>
      <c r="N464" s="12" t="n">
        <f aca="false">IFERROR((Z464-J464)/L464,"")</f>
        <v>0.054680487804878</v>
      </c>
      <c r="O464" s="3" t="n">
        <v>18</v>
      </c>
      <c r="P464" s="13" t="b">
        <f aca="false">FALSE()</f>
        <v>0</v>
      </c>
      <c r="Q464" s="3" t="s">
        <v>166</v>
      </c>
      <c r="R464" s="12" t="n">
        <v>0.8105</v>
      </c>
      <c r="S464" s="12" t="n">
        <v>0.749</v>
      </c>
      <c r="T464" s="3" t="n">
        <v>0.1851</v>
      </c>
      <c r="U464" s="12" t="n">
        <v>0.4017</v>
      </c>
      <c r="V464" s="12" t="n">
        <v>0.5437</v>
      </c>
      <c r="W464" s="12" t="n">
        <v>0.5159</v>
      </c>
      <c r="X464" s="3" t="n">
        <v>0.5382</v>
      </c>
      <c r="Y464" s="3" t="n">
        <v>0.5979</v>
      </c>
      <c r="Z464" s="14" t="n">
        <f aca="false">Assumptions!$B$3*R464+Assumptions!$B$4*S464+IF(AA464=1,Assumptions!$B$11,Assumptions!$B$5)*X464+IF(AA464=1,Assumptions!$B$12,Assumptions!$B$6)*T464+Assumptions!$B$7*U464+Assumptions!$B$8*V464+Assumptions!$B$9*Y464</f>
        <v>0.591171</v>
      </c>
      <c r="AA464" s="3" t="n">
        <v>0</v>
      </c>
    </row>
    <row r="465" customFormat="false" ht="15" hidden="false" customHeight="false" outlineLevel="0" collapsed="false">
      <c r="A465" s="3" t="s">
        <v>650</v>
      </c>
      <c r="B465" s="3" t="n">
        <v>465</v>
      </c>
      <c r="C465" s="11" t="str">
        <f aca="false">IF(M465&gt;=Assumptions!$B$17,"S+",IF(M465&gt;=Assumptions!$B$18,"S",IF(M465&gt;=Assumptions!$B$19,"A",IF(M465&gt;=Assumptions!$B$20,"B",IF(M465&gt;=Assumptions!$B$21,"C",IF(M465&gt;=Assumptions!$B$22,"D","F"))))))</f>
        <v>C</v>
      </c>
      <c r="D465" s="3" t="s">
        <v>190</v>
      </c>
      <c r="E465" s="3" t="n">
        <v>2</v>
      </c>
      <c r="F465" s="12" t="n">
        <v>0.729</v>
      </c>
      <c r="G465" s="12" t="n">
        <v>0.4</v>
      </c>
      <c r="H465" s="12" t="n">
        <v>0.75</v>
      </c>
      <c r="I465" s="12" t="n">
        <v>0.595</v>
      </c>
      <c r="J465" s="12" t="n">
        <v>0.3472</v>
      </c>
      <c r="K465" s="12" t="n">
        <v>0.5601</v>
      </c>
      <c r="L465" s="3" t="n">
        <v>5.67</v>
      </c>
      <c r="M465" s="12" t="n">
        <f aca="false">Z465-W465</f>
        <v>0.075113</v>
      </c>
      <c r="N465" s="12" t="n">
        <f aca="false">IFERROR((Z465-J465)/L465,"")</f>
        <v>0.0375507936507937</v>
      </c>
      <c r="O465" s="3" t="n">
        <v>18</v>
      </c>
      <c r="P465" s="13" t="b">
        <f aca="false">FALSE()</f>
        <v>0</v>
      </c>
      <c r="Q465" s="3" t="s">
        <v>166</v>
      </c>
      <c r="R465" s="12" t="n">
        <v>0.7787</v>
      </c>
      <c r="S465" s="12" t="n">
        <v>0.489</v>
      </c>
      <c r="T465" s="3" t="n">
        <v>0.4373</v>
      </c>
      <c r="U465" s="12" t="n">
        <v>0.3718</v>
      </c>
      <c r="V465" s="12" t="n">
        <v>0.4579</v>
      </c>
      <c r="W465" s="12" t="n">
        <v>0.485</v>
      </c>
      <c r="X465" s="3" t="n">
        <v>0.5426</v>
      </c>
      <c r="Y465" s="3" t="n">
        <v>0.5746</v>
      </c>
      <c r="Z465" s="14" t="n">
        <f aca="false">Assumptions!$B$3*R465+Assumptions!$B$4*S465+IF(AA465=1,Assumptions!$B$11,Assumptions!$B$5)*X465+IF(AA465=1,Assumptions!$B$12,Assumptions!$B$6)*T465+Assumptions!$B$7*U465+Assumptions!$B$8*V465+Assumptions!$B$9*Y465</f>
        <v>0.560113</v>
      </c>
      <c r="AA465" s="3" t="n">
        <v>0</v>
      </c>
    </row>
    <row r="466" customFormat="false" ht="15" hidden="false" customHeight="false" outlineLevel="0" collapsed="false">
      <c r="A466" s="3" t="s">
        <v>651</v>
      </c>
      <c r="B466" s="3" t="n">
        <v>484</v>
      </c>
      <c r="C466" s="11" t="str">
        <f aca="false">IF(M466&gt;=Assumptions!$B$17,"S+",IF(M466&gt;=Assumptions!$B$18,"S",IF(M466&gt;=Assumptions!$B$19,"A",IF(M466&gt;=Assumptions!$B$20,"B",IF(M466&gt;=Assumptions!$B$21,"C",IF(M466&gt;=Assumptions!$B$22,"D","F"))))))</f>
        <v>C</v>
      </c>
      <c r="D466" s="3" t="s">
        <v>190</v>
      </c>
      <c r="E466" s="3" t="n">
        <v>3</v>
      </c>
      <c r="F466" s="12" t="n">
        <v>0.8954</v>
      </c>
      <c r="G466" s="12" t="n">
        <v>0.6</v>
      </c>
      <c r="H466" s="12" t="n">
        <v>0.75</v>
      </c>
      <c r="I466" s="12" t="n">
        <v>0.7422</v>
      </c>
      <c r="J466" s="12" t="n">
        <v>0.3875</v>
      </c>
      <c r="K466" s="12" t="n">
        <v>0.569</v>
      </c>
      <c r="L466" s="3" t="n">
        <v>5.82</v>
      </c>
      <c r="M466" s="12" t="n">
        <f aca="false">Z466-W466</f>
        <v>0.0750070000000001</v>
      </c>
      <c r="N466" s="12" t="n">
        <f aca="false">IFERROR((Z466-J466)/L466,"")</f>
        <v>0.0311867697594502</v>
      </c>
      <c r="O466" s="3" t="n">
        <v>17</v>
      </c>
      <c r="P466" s="13" t="b">
        <f aca="false">FALSE()</f>
        <v>0</v>
      </c>
      <c r="Q466" s="3" t="s">
        <v>166</v>
      </c>
      <c r="R466" s="12" t="n">
        <v>0.7847</v>
      </c>
      <c r="S466" s="12" t="n">
        <v>0.5259</v>
      </c>
      <c r="T466" s="3" t="n">
        <v>0.526</v>
      </c>
      <c r="U466" s="12" t="n">
        <v>0.3348</v>
      </c>
      <c r="V466" s="12" t="n">
        <v>0.5242</v>
      </c>
      <c r="W466" s="12" t="n">
        <v>0.494</v>
      </c>
      <c r="X466" s="3" t="n">
        <v>0.3578</v>
      </c>
      <c r="Y466" s="3" t="n">
        <v>0.7459</v>
      </c>
      <c r="Z466" s="14" t="n">
        <f aca="false">Assumptions!$B$3*R466+Assumptions!$B$4*S466+IF(AA466=1,Assumptions!$B$11,Assumptions!$B$5)*X466+IF(AA466=1,Assumptions!$B$12,Assumptions!$B$6)*T466+Assumptions!$B$7*U466+Assumptions!$B$8*V466+Assumptions!$B$9*Y466</f>
        <v>0.569007</v>
      </c>
      <c r="AA466" s="3" t="n">
        <v>0</v>
      </c>
    </row>
    <row r="467" customFormat="false" ht="15" hidden="false" customHeight="false" outlineLevel="0" collapsed="false">
      <c r="A467" s="3" t="s">
        <v>652</v>
      </c>
      <c r="B467" s="3" t="n">
        <v>590</v>
      </c>
      <c r="C467" s="11" t="str">
        <f aca="false">IF(M467&gt;=Assumptions!$B$17,"S+",IF(M467&gt;=Assumptions!$B$18,"S",IF(M467&gt;=Assumptions!$B$19,"A",IF(M467&gt;=Assumptions!$B$20,"B",IF(M467&gt;=Assumptions!$B$21,"C",IF(M467&gt;=Assumptions!$B$22,"D","F"))))))</f>
        <v>C</v>
      </c>
      <c r="D467" s="3" t="s">
        <v>190</v>
      </c>
      <c r="E467" s="3" t="n">
        <v>1</v>
      </c>
      <c r="F467" s="12" t="n">
        <v>0.8662</v>
      </c>
      <c r="G467" s="12" t="n">
        <v>0.8</v>
      </c>
      <c r="H467" s="12" t="n">
        <v>0.75</v>
      </c>
      <c r="I467" s="12" t="n">
        <v>0.8152</v>
      </c>
      <c r="J467" s="12" t="n">
        <v>0.4169</v>
      </c>
      <c r="K467" s="12" t="n">
        <v>0.5656</v>
      </c>
      <c r="L467" s="3" t="n">
        <v>3.66</v>
      </c>
      <c r="M467" s="12" t="n">
        <f aca="false">Z467-W467</f>
        <v>0.0747</v>
      </c>
      <c r="N467" s="12" t="n">
        <f aca="false">IFERROR((Z467-J467)/L467,"")</f>
        <v>0.0406284153005464</v>
      </c>
      <c r="O467" s="3" t="n">
        <v>19</v>
      </c>
      <c r="P467" s="13" t="b">
        <f aca="false">FALSE()</f>
        <v>0</v>
      </c>
      <c r="Q467" s="3" t="s">
        <v>166</v>
      </c>
      <c r="R467" s="12" t="n">
        <v>0.7956</v>
      </c>
      <c r="S467" s="12" t="n">
        <v>0.5765</v>
      </c>
      <c r="T467" s="3" t="n">
        <v>0.5487</v>
      </c>
      <c r="U467" s="12" t="n">
        <v>0.3684</v>
      </c>
      <c r="V467" s="12" t="n">
        <v>0.4025</v>
      </c>
      <c r="W467" s="12" t="n">
        <v>0.4909</v>
      </c>
      <c r="X467" s="3" t="n">
        <v>0.2945</v>
      </c>
      <c r="Y467" s="3" t="n">
        <v>0.7819</v>
      </c>
      <c r="Z467" s="14" t="n">
        <f aca="false">Assumptions!$B$3*R467+Assumptions!$B$4*S467+IF(AA467=1,Assumptions!$B$11,Assumptions!$B$5)*X467+IF(AA467=1,Assumptions!$B$12,Assumptions!$B$6)*T467+Assumptions!$B$7*U467+Assumptions!$B$8*V467+Assumptions!$B$9*Y467</f>
        <v>0.5656</v>
      </c>
      <c r="AA467" s="3" t="n">
        <v>0</v>
      </c>
    </row>
    <row r="468" customFormat="false" ht="15" hidden="false" customHeight="false" outlineLevel="0" collapsed="false">
      <c r="A468" s="3" t="s">
        <v>653</v>
      </c>
      <c r="B468" s="3" t="n">
        <v>600</v>
      </c>
      <c r="C468" s="11" t="str">
        <f aca="false">IF(M468&gt;=Assumptions!$B$17,"S+",IF(M468&gt;=Assumptions!$B$18,"S",IF(M468&gt;=Assumptions!$B$19,"A",IF(M468&gt;=Assumptions!$B$20,"B",IF(M468&gt;=Assumptions!$B$21,"C",IF(M468&gt;=Assumptions!$B$22,"D","F"))))))</f>
        <v>C</v>
      </c>
      <c r="D468" s="3" t="s">
        <v>218</v>
      </c>
      <c r="E468" s="3" t="n">
        <v>7</v>
      </c>
      <c r="F468" s="12" t="n">
        <v>0.7267</v>
      </c>
      <c r="G468" s="12" t="n">
        <v>0.6</v>
      </c>
      <c r="H468" s="12" t="n">
        <v>0.75</v>
      </c>
      <c r="I468" s="12" t="n">
        <v>0.6705</v>
      </c>
      <c r="J468" s="12" t="n">
        <v>0.3567</v>
      </c>
      <c r="K468" s="12" t="n">
        <v>0.5848</v>
      </c>
      <c r="L468" s="3" t="n">
        <v>4</v>
      </c>
      <c r="M468" s="12" t="n">
        <f aca="false">Z468-W468</f>
        <v>0.074133</v>
      </c>
      <c r="N468" s="12" t="n">
        <f aca="false">IFERROR((Z468-J468)/L468,"")</f>
        <v>0.05703325</v>
      </c>
      <c r="O468" s="3" t="n">
        <v>13</v>
      </c>
      <c r="P468" s="13" t="b">
        <f aca="false">FALSE()</f>
        <v>0</v>
      </c>
      <c r="Q468" s="3" t="s">
        <v>201</v>
      </c>
      <c r="R468" s="12" t="n">
        <v>0.8453</v>
      </c>
      <c r="S468" s="12" t="n">
        <v>0.5805</v>
      </c>
      <c r="T468" s="3" t="n">
        <v>0.2397</v>
      </c>
      <c r="U468" s="12" t="n">
        <v>0.497</v>
      </c>
      <c r="V468" s="12" t="n">
        <v>0.4372</v>
      </c>
      <c r="W468" s="12" t="n">
        <v>0.5107</v>
      </c>
      <c r="X468" s="3" t="n">
        <v>0.5259</v>
      </c>
      <c r="Y468" s="3" t="n">
        <v>0.6728</v>
      </c>
      <c r="Z468" s="14" t="n">
        <f aca="false">Assumptions!$B$3*R468+Assumptions!$B$4*S468+IF(AA468=1,Assumptions!$B$11,Assumptions!$B$5)*X468+IF(AA468=1,Assumptions!$B$12,Assumptions!$B$6)*T468+Assumptions!$B$7*U468+Assumptions!$B$8*V468+Assumptions!$B$9*Y468</f>
        <v>0.584833</v>
      </c>
      <c r="AA468" s="3" t="n">
        <v>0</v>
      </c>
    </row>
    <row r="469" customFormat="false" ht="15" hidden="false" customHeight="false" outlineLevel="0" collapsed="false">
      <c r="A469" s="3" t="s">
        <v>654</v>
      </c>
      <c r="B469" s="3" t="n">
        <v>500</v>
      </c>
      <c r="C469" s="11" t="str">
        <f aca="false">IF(M469&gt;=Assumptions!$B$17,"S+",IF(M469&gt;=Assumptions!$B$18,"S",IF(M469&gt;=Assumptions!$B$19,"A",IF(M469&gt;=Assumptions!$B$20,"B",IF(M469&gt;=Assumptions!$B$21,"C",IF(M469&gt;=Assumptions!$B$22,"D","F"))))))</f>
        <v>C</v>
      </c>
      <c r="D469" s="3" t="s">
        <v>197</v>
      </c>
      <c r="E469" s="3" t="n">
        <v>3</v>
      </c>
      <c r="F469" s="12" t="n">
        <v>0.9492</v>
      </c>
      <c r="G469" s="12" t="n">
        <v>0.6</v>
      </c>
      <c r="H469" s="12" t="n">
        <v>0.75</v>
      </c>
      <c r="I469" s="12" t="n">
        <v>0.7627</v>
      </c>
      <c r="J469" s="12" t="n">
        <v>0.4057</v>
      </c>
      <c r="K469" s="12" t="n">
        <v>0.5839</v>
      </c>
      <c r="L469" s="3" t="n">
        <v>3.91</v>
      </c>
      <c r="M469" s="12" t="n">
        <f aca="false">Z469-W469</f>
        <v>0.074041</v>
      </c>
      <c r="N469" s="12" t="n">
        <f aca="false">IFERROR((Z469-J469)/L469,"")</f>
        <v>0.0455859335038363</v>
      </c>
      <c r="O469" s="3" t="n">
        <v>17</v>
      </c>
      <c r="P469" s="13" t="b">
        <f aca="false">FALSE()</f>
        <v>0</v>
      </c>
      <c r="Q469" s="3" t="s">
        <v>201</v>
      </c>
      <c r="R469" s="12" t="n">
        <v>0.8009</v>
      </c>
      <c r="S469" s="12" t="n">
        <v>0.4976</v>
      </c>
      <c r="T469" s="3" t="n">
        <v>0.557</v>
      </c>
      <c r="U469" s="12" t="n">
        <v>0.4661</v>
      </c>
      <c r="V469" s="12" t="n">
        <v>0.5251</v>
      </c>
      <c r="W469" s="12" t="n">
        <v>0.5099</v>
      </c>
      <c r="X469" s="3" t="n">
        <v>0.3416</v>
      </c>
      <c r="Y469" s="3" t="n">
        <v>0.752</v>
      </c>
      <c r="Z469" s="14" t="n">
        <f aca="false">Assumptions!$B$3*R469+Assumptions!$B$4*S469+IF(AA469=1,Assumptions!$B$11,Assumptions!$B$5)*X469+IF(AA469=1,Assumptions!$B$12,Assumptions!$B$6)*T469+Assumptions!$B$7*U469+Assumptions!$B$8*V469+Assumptions!$B$9*Y469</f>
        <v>0.583941</v>
      </c>
      <c r="AA469" s="3" t="n">
        <v>0</v>
      </c>
    </row>
    <row r="470" customFormat="false" ht="15" hidden="false" customHeight="false" outlineLevel="0" collapsed="false">
      <c r="A470" s="3" t="s">
        <v>655</v>
      </c>
      <c r="B470" s="3" t="n">
        <v>585</v>
      </c>
      <c r="C470" s="11" t="str">
        <f aca="false">IF(M470&gt;=Assumptions!$B$17,"S+",IF(M470&gt;=Assumptions!$B$18,"S",IF(M470&gt;=Assumptions!$B$19,"A",IF(M470&gt;=Assumptions!$B$20,"B",IF(M470&gt;=Assumptions!$B$21,"C",IF(M470&gt;=Assumptions!$B$22,"D","F"))))))</f>
        <v>C</v>
      </c>
      <c r="D470" s="3" t="s">
        <v>218</v>
      </c>
      <c r="E470" s="3" t="n">
        <v>13</v>
      </c>
      <c r="F470" s="12" t="n">
        <v>0.9805</v>
      </c>
      <c r="G470" s="12" t="n">
        <v>0.8</v>
      </c>
      <c r="H470" s="12" t="n">
        <v>0.75</v>
      </c>
      <c r="I470" s="12" t="n">
        <v>0.8478</v>
      </c>
      <c r="J470" s="12" t="n">
        <v>0.4244</v>
      </c>
      <c r="K470" s="12" t="n">
        <v>0.583</v>
      </c>
      <c r="L470" s="3" t="n">
        <v>4</v>
      </c>
      <c r="M470" s="12" t="n">
        <f aca="false">Z470-W470</f>
        <v>0.074018</v>
      </c>
      <c r="N470" s="12" t="n">
        <f aca="false">IFERROR((Z470-J470)/L470,"")</f>
        <v>0.0396545</v>
      </c>
      <c r="O470" s="3" t="n">
        <v>7</v>
      </c>
      <c r="P470" s="13" t="b">
        <f aca="false">FALSE()</f>
        <v>0</v>
      </c>
      <c r="Q470" s="3" t="s">
        <v>166</v>
      </c>
      <c r="R470" s="12" t="n">
        <v>0.8386</v>
      </c>
      <c r="S470" s="12" t="n">
        <v>0.7073</v>
      </c>
      <c r="T470" s="3" t="n">
        <v>0</v>
      </c>
      <c r="U470" s="12" t="n">
        <v>0.3077</v>
      </c>
      <c r="V470" s="12" t="n">
        <v>0.4947</v>
      </c>
      <c r="W470" s="12" t="n">
        <v>0.509</v>
      </c>
      <c r="X470" s="3" t="n">
        <v>0.5555</v>
      </c>
      <c r="Y470" s="3" t="n">
        <v>0.8482</v>
      </c>
      <c r="Z470" s="14" t="n">
        <f aca="false">Assumptions!$B$3*R470+Assumptions!$B$4*S470+IF(AA470=1,Assumptions!$B$11,Assumptions!$B$5)*X470+IF(AA470=1,Assumptions!$B$12,Assumptions!$B$6)*T470+Assumptions!$B$7*U470+Assumptions!$B$8*V470+Assumptions!$B$9*Y470</f>
        <v>0.583018</v>
      </c>
      <c r="AA470" s="3" t="n">
        <v>0</v>
      </c>
    </row>
    <row r="471" customFormat="false" ht="15" hidden="false" customHeight="false" outlineLevel="0" collapsed="false">
      <c r="A471" s="3" t="s">
        <v>656</v>
      </c>
      <c r="B471" s="3" t="n">
        <v>370</v>
      </c>
      <c r="C471" s="11" t="str">
        <f aca="false">IF(M471&gt;=Assumptions!$B$17,"S+",IF(M471&gt;=Assumptions!$B$18,"S",IF(M471&gt;=Assumptions!$B$19,"A",IF(M471&gt;=Assumptions!$B$20,"B",IF(M471&gt;=Assumptions!$B$21,"C",IF(M471&gt;=Assumptions!$B$22,"D","F"))))))</f>
        <v>C</v>
      </c>
      <c r="D471" s="3" t="s">
        <v>180</v>
      </c>
      <c r="E471" s="3" t="n">
        <v>4</v>
      </c>
      <c r="F471" s="12" t="n">
        <v>0.5355</v>
      </c>
      <c r="G471" s="12" t="n">
        <v>1</v>
      </c>
      <c r="H471" s="12" t="n">
        <v>0.4722</v>
      </c>
      <c r="I471" s="12" t="n">
        <v>0.8015</v>
      </c>
      <c r="J471" s="12" t="n">
        <v>0.3616</v>
      </c>
      <c r="K471" s="12" t="n">
        <v>0.5692</v>
      </c>
      <c r="L471" s="3" t="n">
        <v>4.75</v>
      </c>
      <c r="M471" s="12" t="n">
        <f aca="false">Z471-W471</f>
        <v>0.0738820000000001</v>
      </c>
      <c r="N471" s="12" t="n">
        <f aca="false">IFERROR((Z471-J471)/L471,"")</f>
        <v>0.0437014736842106</v>
      </c>
      <c r="O471" s="3" t="n">
        <v>16</v>
      </c>
      <c r="P471" s="13" t="b">
        <f aca="false">FALSE()</f>
        <v>0</v>
      </c>
      <c r="Q471" s="3" t="s">
        <v>166</v>
      </c>
      <c r="R471" s="12" t="n">
        <v>0.5657</v>
      </c>
      <c r="S471" s="12" t="n">
        <v>0.4979</v>
      </c>
      <c r="T471" s="3" t="n">
        <v>0.0748</v>
      </c>
      <c r="U471" s="12" t="n">
        <v>0.4952</v>
      </c>
      <c r="V471" s="12" t="n">
        <v>0.4651</v>
      </c>
      <c r="W471" s="12" t="n">
        <v>0.4953</v>
      </c>
      <c r="X471" s="3" t="n">
        <v>0.6923</v>
      </c>
      <c r="Y471" s="3" t="n">
        <v>0.7759</v>
      </c>
      <c r="Z471" s="14" t="n">
        <f aca="false">Assumptions!$B$3*R471+Assumptions!$B$4*S471+IF(AA471=1,Assumptions!$B$11,Assumptions!$B$5)*X471+IF(AA471=1,Assumptions!$B$12,Assumptions!$B$6)*T471+Assumptions!$B$7*U471+Assumptions!$B$8*V471+Assumptions!$B$9*Y471</f>
        <v>0.569182</v>
      </c>
      <c r="AA471" s="3" t="n">
        <v>1</v>
      </c>
    </row>
    <row r="472" customFormat="false" ht="15" hidden="false" customHeight="false" outlineLevel="0" collapsed="false">
      <c r="A472" s="3" t="s">
        <v>657</v>
      </c>
      <c r="B472" s="3" t="n">
        <v>505</v>
      </c>
      <c r="C472" s="11" t="str">
        <f aca="false">IF(M472&gt;=Assumptions!$B$17,"S+",IF(M472&gt;=Assumptions!$B$18,"S",IF(M472&gt;=Assumptions!$B$19,"A",IF(M472&gt;=Assumptions!$B$20,"B",IF(M472&gt;=Assumptions!$B$21,"C",IF(M472&gt;=Assumptions!$B$22,"D","F"))))))</f>
        <v>C</v>
      </c>
      <c r="D472" s="3" t="s">
        <v>218</v>
      </c>
      <c r="E472" s="3" t="n">
        <v>4</v>
      </c>
      <c r="F472" s="12" t="n">
        <v>0.8849</v>
      </c>
      <c r="G472" s="12" t="n">
        <v>0.6</v>
      </c>
      <c r="H472" s="12" t="n">
        <v>0.75</v>
      </c>
      <c r="I472" s="12" t="n">
        <v>0.7212</v>
      </c>
      <c r="J472" s="12" t="n">
        <v>0.3978</v>
      </c>
      <c r="K472" s="12" t="n">
        <v>0.5869</v>
      </c>
      <c r="L472" s="3" t="n">
        <v>5.88</v>
      </c>
      <c r="M472" s="12" t="n">
        <f aca="false">Z472-W472</f>
        <v>0.073781</v>
      </c>
      <c r="N472" s="12" t="n">
        <f aca="false">IFERROR((Z472-J472)/L472,"")</f>
        <v>0.0321566326530612</v>
      </c>
      <c r="O472" s="3" t="n">
        <v>16</v>
      </c>
      <c r="P472" s="13" t="b">
        <f aca="false">FALSE()</f>
        <v>0</v>
      </c>
      <c r="Q472" s="3" t="s">
        <v>166</v>
      </c>
      <c r="R472" s="12" t="n">
        <v>0.8542</v>
      </c>
      <c r="S472" s="12" t="n">
        <v>0.5971</v>
      </c>
      <c r="T472" s="3" t="n">
        <v>0.3291</v>
      </c>
      <c r="U472" s="12" t="n">
        <v>0.5144</v>
      </c>
      <c r="V472" s="12" t="n">
        <v>0.4616</v>
      </c>
      <c r="W472" s="12" t="n">
        <v>0.5131</v>
      </c>
      <c r="X472" s="3" t="n">
        <v>0.3931</v>
      </c>
      <c r="Y472" s="3" t="n">
        <v>0.7062</v>
      </c>
      <c r="Z472" s="14" t="n">
        <f aca="false">Assumptions!$B$3*R472+Assumptions!$B$4*S472+IF(AA472=1,Assumptions!$B$11,Assumptions!$B$5)*X472+IF(AA472=1,Assumptions!$B$12,Assumptions!$B$6)*T472+Assumptions!$B$7*U472+Assumptions!$B$8*V472+Assumptions!$B$9*Y472</f>
        <v>0.586881</v>
      </c>
      <c r="AA472" s="3" t="n">
        <v>0</v>
      </c>
    </row>
    <row r="473" customFormat="false" ht="15" hidden="false" customHeight="false" outlineLevel="0" collapsed="false">
      <c r="A473" s="3" t="s">
        <v>658</v>
      </c>
      <c r="B473" s="3" t="n">
        <v>470</v>
      </c>
      <c r="C473" s="11" t="str">
        <f aca="false">IF(M473&gt;=Assumptions!$B$17,"S+",IF(M473&gt;=Assumptions!$B$18,"S",IF(M473&gt;=Assumptions!$B$19,"A",IF(M473&gt;=Assumptions!$B$20,"B",IF(M473&gt;=Assumptions!$B$21,"C",IF(M473&gt;=Assumptions!$B$22,"D","F"))))))</f>
        <v>C</v>
      </c>
      <c r="D473" s="3" t="s">
        <v>218</v>
      </c>
      <c r="E473" s="3" t="n">
        <v>6</v>
      </c>
      <c r="F473" s="12" t="n">
        <v>0.7014</v>
      </c>
      <c r="G473" s="12" t="n">
        <v>0.8</v>
      </c>
      <c r="H473" s="12" t="n">
        <v>0.75</v>
      </c>
      <c r="I473" s="12" t="n">
        <v>0.7584</v>
      </c>
      <c r="J473" s="12" t="n">
        <v>0.2428</v>
      </c>
      <c r="K473" s="12" t="n">
        <v>0.5802</v>
      </c>
      <c r="L473" s="3" t="n">
        <v>6</v>
      </c>
      <c r="M473" s="12" t="n">
        <f aca="false">Z473-W473</f>
        <v>0.0736419999999999</v>
      </c>
      <c r="N473" s="12" t="n">
        <f aca="false">IFERROR((Z473-J473)/L473,"")</f>
        <v>0.0562403333333333</v>
      </c>
      <c r="O473" s="3" t="n">
        <v>14</v>
      </c>
      <c r="P473" s="13" t="b">
        <f aca="false">FALSE()</f>
        <v>0</v>
      </c>
      <c r="Q473" s="3" t="s">
        <v>166</v>
      </c>
      <c r="R473" s="12" t="n">
        <v>0.7629</v>
      </c>
      <c r="S473" s="12" t="n">
        <v>0.3948</v>
      </c>
      <c r="T473" s="3" t="n">
        <v>0.5267</v>
      </c>
      <c r="U473" s="12" t="n">
        <v>0.3956</v>
      </c>
      <c r="V473" s="12" t="n">
        <v>0.4646</v>
      </c>
      <c r="W473" s="12" t="n">
        <v>0.5066</v>
      </c>
      <c r="X473" s="3" t="n">
        <v>0.5893</v>
      </c>
      <c r="Y473" s="3" t="n">
        <v>0.7451</v>
      </c>
      <c r="Z473" s="14" t="n">
        <f aca="false">Assumptions!$B$3*R473+Assumptions!$B$4*S473+IF(AA473=1,Assumptions!$B$11,Assumptions!$B$5)*X473+IF(AA473=1,Assumptions!$B$12,Assumptions!$B$6)*T473+Assumptions!$B$7*U473+Assumptions!$B$8*V473+Assumptions!$B$9*Y473</f>
        <v>0.580242</v>
      </c>
      <c r="AA473" s="3" t="n">
        <v>0</v>
      </c>
    </row>
    <row r="474" customFormat="false" ht="15" hidden="false" customHeight="false" outlineLevel="0" collapsed="false">
      <c r="A474" s="3" t="s">
        <v>659</v>
      </c>
      <c r="B474" s="3" t="n">
        <v>469</v>
      </c>
      <c r="C474" s="11" t="str">
        <f aca="false">IF(M474&gt;=Assumptions!$B$17,"S+",IF(M474&gt;=Assumptions!$B$18,"S",IF(M474&gt;=Assumptions!$B$19,"A",IF(M474&gt;=Assumptions!$B$20,"B",IF(M474&gt;=Assumptions!$B$21,"C",IF(M474&gt;=Assumptions!$B$22,"D","F"))))))</f>
        <v>C</v>
      </c>
      <c r="D474" s="3" t="s">
        <v>218</v>
      </c>
      <c r="E474" s="3" t="n">
        <v>3</v>
      </c>
      <c r="F474" s="12" t="n">
        <v>0.7032</v>
      </c>
      <c r="G474" s="12" t="n">
        <v>0.6</v>
      </c>
      <c r="H474" s="12" t="n">
        <v>0.75</v>
      </c>
      <c r="I474" s="12" t="n">
        <v>0.663</v>
      </c>
      <c r="J474" s="12" t="n">
        <v>0.4532</v>
      </c>
      <c r="K474" s="12" t="n">
        <v>0.5873</v>
      </c>
      <c r="L474" s="3" t="n">
        <v>3.79</v>
      </c>
      <c r="M474" s="12" t="n">
        <f aca="false">Z474-W474</f>
        <v>0.073467</v>
      </c>
      <c r="N474" s="12" t="n">
        <f aca="false">IFERROR((Z474-J474)/L474,"")</f>
        <v>0.0353738786279683</v>
      </c>
      <c r="O474" s="3" t="n">
        <v>17</v>
      </c>
      <c r="P474" s="13" t="b">
        <f aca="false">FALSE()</f>
        <v>0</v>
      </c>
      <c r="Q474" s="3" t="s">
        <v>166</v>
      </c>
      <c r="R474" s="12" t="n">
        <v>0.7255</v>
      </c>
      <c r="S474" s="12" t="n">
        <v>0.6641</v>
      </c>
      <c r="T474" s="3" t="n">
        <v>0.3107</v>
      </c>
      <c r="U474" s="12" t="n">
        <v>0.4887</v>
      </c>
      <c r="V474" s="12" t="n">
        <v>0.5436</v>
      </c>
      <c r="W474" s="12" t="n">
        <v>0.5138</v>
      </c>
      <c r="X474" s="3" t="n">
        <v>0.5487</v>
      </c>
      <c r="Y474" s="3" t="n">
        <v>0.6528</v>
      </c>
      <c r="Z474" s="14" t="n">
        <f aca="false">Assumptions!$B$3*R474+Assumptions!$B$4*S474+IF(AA474=1,Assumptions!$B$11,Assumptions!$B$5)*X474+IF(AA474=1,Assumptions!$B$12,Assumptions!$B$6)*T474+Assumptions!$B$7*U474+Assumptions!$B$8*V474+Assumptions!$B$9*Y474</f>
        <v>0.587267</v>
      </c>
      <c r="AA474" s="3" t="n">
        <v>0</v>
      </c>
    </row>
    <row r="475" customFormat="false" ht="15" hidden="false" customHeight="false" outlineLevel="0" collapsed="false">
      <c r="A475" s="3" t="s">
        <v>660</v>
      </c>
      <c r="B475" s="3" t="n">
        <v>525</v>
      </c>
      <c r="C475" s="11" t="str">
        <f aca="false">IF(M475&gt;=Assumptions!$B$17,"S+",IF(M475&gt;=Assumptions!$B$18,"S",IF(M475&gt;=Assumptions!$B$19,"A",IF(M475&gt;=Assumptions!$B$20,"B",IF(M475&gt;=Assumptions!$B$21,"C",IF(M475&gt;=Assumptions!$B$22,"D","F"))))))</f>
        <v>C</v>
      </c>
      <c r="D475" s="3" t="s">
        <v>228</v>
      </c>
      <c r="E475" s="3" t="n">
        <v>4</v>
      </c>
      <c r="F475" s="12" t="n">
        <v>0.9077</v>
      </c>
      <c r="G475" s="12" t="n">
        <v>0.6</v>
      </c>
      <c r="H475" s="12" t="n">
        <v>0.75</v>
      </c>
      <c r="I475" s="12" t="n">
        <v>0.7285</v>
      </c>
      <c r="J475" s="12" t="n">
        <v>0.3779</v>
      </c>
      <c r="K475" s="12" t="n">
        <v>0.5508</v>
      </c>
      <c r="L475" s="3" t="n">
        <v>3.88</v>
      </c>
      <c r="M475" s="12" t="n">
        <f aca="false">Z475-W475</f>
        <v>0.072858</v>
      </c>
      <c r="N475" s="12" t="n">
        <f aca="false">IFERROR((Z475-J475)/L475,"")</f>
        <v>0.044551030927835</v>
      </c>
      <c r="O475" s="3" t="n">
        <v>16</v>
      </c>
      <c r="P475" s="13" t="b">
        <f aca="false">FALSE()</f>
        <v>0</v>
      </c>
      <c r="Q475" s="3" t="s">
        <v>166</v>
      </c>
      <c r="R475" s="12" t="n">
        <v>0.8288</v>
      </c>
      <c r="S475" s="12" t="n">
        <v>0.4669</v>
      </c>
      <c r="T475" s="3" t="n">
        <v>0.3732</v>
      </c>
      <c r="U475" s="12" t="n">
        <v>0.3846</v>
      </c>
      <c r="V475" s="12" t="n">
        <v>0.5143</v>
      </c>
      <c r="W475" s="12" t="n">
        <v>0.4779</v>
      </c>
      <c r="X475" s="3" t="n">
        <v>0.3283</v>
      </c>
      <c r="Y475" s="3" t="n">
        <v>0.7289</v>
      </c>
      <c r="Z475" s="14" t="n">
        <f aca="false">Assumptions!$B$3*R475+Assumptions!$B$4*S475+IF(AA475=1,Assumptions!$B$11,Assumptions!$B$5)*X475+IF(AA475=1,Assumptions!$B$12,Assumptions!$B$6)*T475+Assumptions!$B$7*U475+Assumptions!$B$8*V475+Assumptions!$B$9*Y475</f>
        <v>0.550758</v>
      </c>
      <c r="AA475" s="3" t="n">
        <v>0</v>
      </c>
    </row>
    <row r="476" customFormat="false" ht="15" hidden="false" customHeight="false" outlineLevel="0" collapsed="false">
      <c r="A476" s="3" t="s">
        <v>661</v>
      </c>
      <c r="B476" s="3" t="n">
        <v>420</v>
      </c>
      <c r="C476" s="11" t="str">
        <f aca="false">IF(M476&gt;=Assumptions!$B$17,"S+",IF(M476&gt;=Assumptions!$B$18,"S",IF(M476&gt;=Assumptions!$B$19,"A",IF(M476&gt;=Assumptions!$B$20,"B",IF(M476&gt;=Assumptions!$B$21,"C",IF(M476&gt;=Assumptions!$B$22,"D","F"))))))</f>
        <v>C</v>
      </c>
      <c r="D476" s="3" t="s">
        <v>197</v>
      </c>
      <c r="E476" s="3" t="n">
        <v>2</v>
      </c>
      <c r="F476" s="12" t="n">
        <v>0.8468</v>
      </c>
      <c r="G476" s="12" t="n">
        <v>0.6</v>
      </c>
      <c r="H476" s="12" t="n">
        <v>0.75</v>
      </c>
      <c r="I476" s="12" t="n">
        <v>0.7238</v>
      </c>
      <c r="J476" s="12" t="n">
        <v>0.384</v>
      </c>
      <c r="K476" s="12" t="n">
        <v>0.572</v>
      </c>
      <c r="L476" s="3" t="n">
        <v>5.72</v>
      </c>
      <c r="M476" s="12" t="n">
        <f aca="false">Z476-W476</f>
        <v>0.0725799999999999</v>
      </c>
      <c r="N476" s="12" t="n">
        <f aca="false">IFERROR((Z476-J476)/L476,"")</f>
        <v>0.0328636363636364</v>
      </c>
      <c r="O476" s="3" t="n">
        <v>18</v>
      </c>
      <c r="P476" s="13" t="b">
        <f aca="false">FALSE()</f>
        <v>0</v>
      </c>
      <c r="Q476" s="3" t="s">
        <v>166</v>
      </c>
      <c r="R476" s="12" t="n">
        <v>0.6689</v>
      </c>
      <c r="S476" s="12" t="n">
        <v>0.4481</v>
      </c>
      <c r="T476" s="3" t="n">
        <v>0.5816</v>
      </c>
      <c r="U476" s="12" t="n">
        <v>0.5299</v>
      </c>
      <c r="V476" s="12" t="n">
        <v>0.5081</v>
      </c>
      <c r="W476" s="12" t="n">
        <v>0.4994</v>
      </c>
      <c r="X476" s="3" t="n">
        <v>0.5243</v>
      </c>
      <c r="Y476" s="3" t="n">
        <v>0.6829</v>
      </c>
      <c r="Z476" s="14" t="n">
        <f aca="false">Assumptions!$B$3*R476+Assumptions!$B$4*S476+IF(AA476=1,Assumptions!$B$11,Assumptions!$B$5)*X476+IF(AA476=1,Assumptions!$B$12,Assumptions!$B$6)*T476+Assumptions!$B$7*U476+Assumptions!$B$8*V476+Assumptions!$B$9*Y476</f>
        <v>0.57198</v>
      </c>
      <c r="AA476" s="3" t="n">
        <v>0</v>
      </c>
    </row>
    <row r="477" customFormat="false" ht="15" hidden="false" customHeight="false" outlineLevel="0" collapsed="false">
      <c r="A477" s="3" t="s">
        <v>662</v>
      </c>
      <c r="B477" s="3" t="n">
        <v>525</v>
      </c>
      <c r="C477" s="11" t="str">
        <f aca="false">IF(M477&gt;=Assumptions!$B$17,"S+",IF(M477&gt;=Assumptions!$B$18,"S",IF(M477&gt;=Assumptions!$B$19,"A",IF(M477&gt;=Assumptions!$B$20,"B",IF(M477&gt;=Assumptions!$B$21,"C",IF(M477&gt;=Assumptions!$B$22,"D","F"))))))</f>
        <v>C</v>
      </c>
      <c r="D477" s="3" t="s">
        <v>253</v>
      </c>
      <c r="E477" s="3" t="n">
        <v>4</v>
      </c>
      <c r="F477" s="12" t="n">
        <v>0.951</v>
      </c>
      <c r="G477" s="12" t="n">
        <v>0.6</v>
      </c>
      <c r="H477" s="12" t="n">
        <v>0.75</v>
      </c>
      <c r="I477" s="12" t="n">
        <v>0.7423</v>
      </c>
      <c r="J477" s="12" t="n">
        <v>0.4093</v>
      </c>
      <c r="K477" s="12" t="n">
        <v>0.6029</v>
      </c>
      <c r="L477" s="3" t="n">
        <v>3.97</v>
      </c>
      <c r="M477" s="12" t="n">
        <f aca="false">Z477-W477</f>
        <v>0.0725490000000001</v>
      </c>
      <c r="N477" s="12" t="n">
        <f aca="false">IFERROR((Z477-J477)/L477,"")</f>
        <v>0.0487780856423174</v>
      </c>
      <c r="O477" s="3" t="n">
        <v>16</v>
      </c>
      <c r="P477" s="13" t="b">
        <f aca="false">FALSE()</f>
        <v>0</v>
      </c>
      <c r="Q477" s="3" t="s">
        <v>166</v>
      </c>
      <c r="R477" s="12" t="n">
        <v>0.7785</v>
      </c>
      <c r="S477" s="12" t="n">
        <v>0.513</v>
      </c>
      <c r="T477" s="3" t="n">
        <v>0.4947</v>
      </c>
      <c r="U477" s="12" t="n">
        <v>0.3654</v>
      </c>
      <c r="V477" s="12" t="n">
        <v>0.4651</v>
      </c>
      <c r="W477" s="12" t="n">
        <v>0.5304</v>
      </c>
      <c r="X477" s="3" t="n">
        <v>0.6534</v>
      </c>
      <c r="Y477" s="3" t="n">
        <v>0.7198</v>
      </c>
      <c r="Z477" s="14" t="n">
        <f aca="false">Assumptions!$B$3*R477+Assumptions!$B$4*S477+IF(AA477=1,Assumptions!$B$11,Assumptions!$B$5)*X477+IF(AA477=1,Assumptions!$B$12,Assumptions!$B$6)*T477+Assumptions!$B$7*U477+Assumptions!$B$8*V477+Assumptions!$B$9*Y477</f>
        <v>0.602949</v>
      </c>
      <c r="AA477" s="3" t="n">
        <v>0</v>
      </c>
    </row>
    <row r="478" customFormat="false" ht="15" hidden="false" customHeight="false" outlineLevel="0" collapsed="false">
      <c r="A478" s="3" t="s">
        <v>663</v>
      </c>
      <c r="B478" s="3" t="n">
        <v>507</v>
      </c>
      <c r="C478" s="11" t="str">
        <f aca="false">IF(M478&gt;=Assumptions!$B$17,"S+",IF(M478&gt;=Assumptions!$B$18,"S",IF(M478&gt;=Assumptions!$B$19,"A",IF(M478&gt;=Assumptions!$B$20,"B",IF(M478&gt;=Assumptions!$B$21,"C",IF(M478&gt;=Assumptions!$B$22,"D","F"))))))</f>
        <v>C</v>
      </c>
      <c r="D478" s="3" t="s">
        <v>197</v>
      </c>
      <c r="E478" s="3" t="n">
        <v>4</v>
      </c>
      <c r="F478" s="12" t="n">
        <v>0.8708</v>
      </c>
      <c r="G478" s="12" t="n">
        <v>0.8</v>
      </c>
      <c r="H478" s="12" t="n">
        <v>0.75</v>
      </c>
      <c r="I478" s="12" t="n">
        <v>0.8169</v>
      </c>
      <c r="J478" s="12" t="n">
        <v>0.4233</v>
      </c>
      <c r="K478" s="12" t="n">
        <v>0.5668</v>
      </c>
      <c r="L478" s="3" t="n">
        <v>5</v>
      </c>
      <c r="M478" s="12" t="n">
        <f aca="false">Z478-W478</f>
        <v>0.0724069999999999</v>
      </c>
      <c r="N478" s="12" t="n">
        <f aca="false">IFERROR((Z478-J478)/L478,"")</f>
        <v>0.0287014</v>
      </c>
      <c r="O478" s="3" t="n">
        <v>16</v>
      </c>
      <c r="P478" s="13" t="b">
        <f aca="false">FALSE()</f>
        <v>0</v>
      </c>
      <c r="Q478" s="3" t="s">
        <v>166</v>
      </c>
      <c r="R478" s="12" t="n">
        <v>0.9292</v>
      </c>
      <c r="S478" s="12" t="n">
        <v>0.4505</v>
      </c>
      <c r="T478" s="3" t="n">
        <v>0.4985</v>
      </c>
      <c r="U478" s="12" t="n">
        <v>0.2452</v>
      </c>
      <c r="V478" s="12" t="n">
        <v>0.4384</v>
      </c>
      <c r="W478" s="12" t="n">
        <v>0.4944</v>
      </c>
      <c r="X478" s="3" t="n">
        <v>0.2691</v>
      </c>
      <c r="Y478" s="3" t="n">
        <v>0.8202</v>
      </c>
      <c r="Z478" s="14" t="n">
        <f aca="false">Assumptions!$B$3*R478+Assumptions!$B$4*S478+IF(AA478=1,Assumptions!$B$11,Assumptions!$B$5)*X478+IF(AA478=1,Assumptions!$B$12,Assumptions!$B$6)*T478+Assumptions!$B$7*U478+Assumptions!$B$8*V478+Assumptions!$B$9*Y478</f>
        <v>0.566807</v>
      </c>
      <c r="AA478" s="3" t="n">
        <v>0</v>
      </c>
    </row>
    <row r="479" customFormat="false" ht="15" hidden="false" customHeight="false" outlineLevel="0" collapsed="false">
      <c r="A479" s="3" t="s">
        <v>664</v>
      </c>
      <c r="B479" s="3" t="n">
        <v>520</v>
      </c>
      <c r="C479" s="11" t="str">
        <f aca="false">IF(M479&gt;=Assumptions!$B$17,"S+",IF(M479&gt;=Assumptions!$B$18,"S",IF(M479&gt;=Assumptions!$B$19,"A",IF(M479&gt;=Assumptions!$B$20,"B",IF(M479&gt;=Assumptions!$B$21,"C",IF(M479&gt;=Assumptions!$B$22,"D","F"))))))</f>
        <v>C</v>
      </c>
      <c r="D479" s="3" t="s">
        <v>253</v>
      </c>
      <c r="E479" s="3" t="n">
        <v>8</v>
      </c>
      <c r="F479" s="12" t="n">
        <v>0.8196</v>
      </c>
      <c r="G479" s="12" t="n">
        <v>0.4</v>
      </c>
      <c r="H479" s="12" t="n">
        <v>0.75</v>
      </c>
      <c r="I479" s="12" t="n">
        <v>0.6043</v>
      </c>
      <c r="J479" s="12" t="n">
        <v>0.3198</v>
      </c>
      <c r="K479" s="12" t="n">
        <v>0.6025</v>
      </c>
      <c r="L479" s="3" t="n">
        <v>4</v>
      </c>
      <c r="M479" s="12" t="n">
        <f aca="false">Z479-W479</f>
        <v>0.072372</v>
      </c>
      <c r="N479" s="12" t="n">
        <f aca="false">IFERROR((Z479-J479)/L479,"")</f>
        <v>0.070668</v>
      </c>
      <c r="O479" s="3" t="n">
        <v>12</v>
      </c>
      <c r="P479" s="13" t="b">
        <f aca="false">FALSE()</f>
        <v>0</v>
      </c>
      <c r="Q479" s="3" t="s">
        <v>166</v>
      </c>
      <c r="R479" s="12" t="n">
        <v>0.7162</v>
      </c>
      <c r="S479" s="12" t="n">
        <v>0.6681</v>
      </c>
      <c r="T479" s="3" t="n">
        <v>0.0803</v>
      </c>
      <c r="U479" s="12" t="n">
        <v>0.3526</v>
      </c>
      <c r="V479" s="12" t="n">
        <v>0.4831</v>
      </c>
      <c r="W479" s="12" t="n">
        <v>0.5301</v>
      </c>
      <c r="X479" s="3" t="n">
        <v>0.9838</v>
      </c>
      <c r="Y479" s="3" t="n">
        <v>0.606</v>
      </c>
      <c r="Z479" s="14" t="n">
        <f aca="false">Assumptions!$B$3*R479+Assumptions!$B$4*S479+IF(AA479=1,Assumptions!$B$11,Assumptions!$B$5)*X479+IF(AA479=1,Assumptions!$B$12,Assumptions!$B$6)*T479+Assumptions!$B$7*U479+Assumptions!$B$8*V479+Assumptions!$B$9*Y479</f>
        <v>0.602472</v>
      </c>
      <c r="AA479" s="3" t="n">
        <v>0</v>
      </c>
    </row>
    <row r="480" customFormat="false" ht="15" hidden="false" customHeight="false" outlineLevel="0" collapsed="false">
      <c r="A480" s="3" t="s">
        <v>665</v>
      </c>
      <c r="B480" s="3" t="n">
        <v>570</v>
      </c>
      <c r="C480" s="11" t="str">
        <f aca="false">IF(M480&gt;=Assumptions!$B$17,"S+",IF(M480&gt;=Assumptions!$B$18,"S",IF(M480&gt;=Assumptions!$B$19,"A",IF(M480&gt;=Assumptions!$B$20,"B",IF(M480&gt;=Assumptions!$B$21,"C",IF(M480&gt;=Assumptions!$B$22,"D","F"))))))</f>
        <v>C</v>
      </c>
      <c r="D480" s="3" t="s">
        <v>197</v>
      </c>
      <c r="E480" s="3" t="n">
        <v>1</v>
      </c>
      <c r="F480" s="12" t="n">
        <v>0.9436</v>
      </c>
      <c r="G480" s="12" t="n">
        <v>0.6</v>
      </c>
      <c r="H480" s="12" t="n">
        <v>0.75</v>
      </c>
      <c r="I480" s="12" t="n">
        <v>0.7606</v>
      </c>
      <c r="J480" s="12" t="n">
        <v>0.4342</v>
      </c>
      <c r="K480" s="12" t="n">
        <v>0.5795</v>
      </c>
      <c r="L480" s="3" t="n">
        <v>3.42</v>
      </c>
      <c r="M480" s="12" t="n">
        <f aca="false">Z480-W480</f>
        <v>0.072305</v>
      </c>
      <c r="N480" s="12" t="n">
        <f aca="false">IFERROR((Z480-J480)/L480,"")</f>
        <v>0.0424868421052632</v>
      </c>
      <c r="O480" s="3" t="n">
        <v>19</v>
      </c>
      <c r="P480" s="13" t="b">
        <f aca="false">FALSE()</f>
        <v>0</v>
      </c>
      <c r="Q480" s="3" t="s">
        <v>166</v>
      </c>
      <c r="R480" s="12" t="n">
        <v>0.854</v>
      </c>
      <c r="S480" s="12" t="n">
        <v>0.4361</v>
      </c>
      <c r="T480" s="3" t="n">
        <v>0.5253</v>
      </c>
      <c r="U480" s="12" t="n">
        <v>0.1984</v>
      </c>
      <c r="V480" s="12" t="n">
        <v>0.5168</v>
      </c>
      <c r="W480" s="12" t="n">
        <v>0.5072</v>
      </c>
      <c r="X480" s="3" t="n">
        <v>0.5246</v>
      </c>
      <c r="Y480" s="3" t="n">
        <v>0.6839</v>
      </c>
      <c r="Z480" s="14" t="n">
        <f aca="false">Assumptions!$B$3*R480+Assumptions!$B$4*S480+IF(AA480=1,Assumptions!$B$11,Assumptions!$B$5)*X480+IF(AA480=1,Assumptions!$B$12,Assumptions!$B$6)*T480+Assumptions!$B$7*U480+Assumptions!$B$8*V480+Assumptions!$B$9*Y480</f>
        <v>0.579505</v>
      </c>
      <c r="AA480" s="3" t="n">
        <v>0</v>
      </c>
    </row>
    <row r="481" customFormat="false" ht="15" hidden="false" customHeight="false" outlineLevel="0" collapsed="false">
      <c r="A481" s="3" t="s">
        <v>666</v>
      </c>
      <c r="B481" s="3" t="n">
        <v>475</v>
      </c>
      <c r="C481" s="11" t="str">
        <f aca="false">IF(M481&gt;=Assumptions!$B$17,"S+",IF(M481&gt;=Assumptions!$B$18,"S",IF(M481&gt;=Assumptions!$B$19,"A",IF(M481&gt;=Assumptions!$B$20,"B",IF(M481&gt;=Assumptions!$B$21,"C",IF(M481&gt;=Assumptions!$B$22,"D","F"))))))</f>
        <v>C</v>
      </c>
      <c r="D481" s="3" t="s">
        <v>183</v>
      </c>
      <c r="E481" s="3" t="n">
        <v>2</v>
      </c>
      <c r="F481" s="12" t="n">
        <v>0.9082</v>
      </c>
      <c r="G481" s="12" t="n">
        <v>0.36</v>
      </c>
      <c r="H481" s="12" t="n">
        <v>0.5139</v>
      </c>
      <c r="I481" s="12" t="n">
        <v>0.552</v>
      </c>
      <c r="J481" s="12" t="n">
        <v>0.3685</v>
      </c>
      <c r="K481" s="12" t="n">
        <v>0.5618</v>
      </c>
      <c r="L481" s="3" t="n">
        <v>3.75</v>
      </c>
      <c r="M481" s="12" t="n">
        <f aca="false">Z481-W481</f>
        <v>0.071419</v>
      </c>
      <c r="N481" s="12" t="n">
        <f aca="false">IFERROR((Z481-J481)/L481,"")</f>
        <v>0.0515517333333333</v>
      </c>
      <c r="O481" s="3" t="n">
        <v>18</v>
      </c>
      <c r="P481" s="13" t="b">
        <f aca="false">FALSE()</f>
        <v>0</v>
      </c>
      <c r="Q481" s="3" t="s">
        <v>166</v>
      </c>
      <c r="R481" s="12" t="n">
        <v>0.729</v>
      </c>
      <c r="S481" s="12" t="n">
        <v>0.6849</v>
      </c>
      <c r="T481" s="3" t="n">
        <v>0.1391</v>
      </c>
      <c r="U481" s="12" t="n">
        <v>0.329</v>
      </c>
      <c r="V481" s="12" t="n">
        <v>0.5052</v>
      </c>
      <c r="W481" s="12" t="n">
        <v>0.4904</v>
      </c>
      <c r="X481" s="3" t="n">
        <v>0.5157</v>
      </c>
      <c r="Y481" s="3" t="n">
        <v>0.5174</v>
      </c>
      <c r="Z481" s="14" t="n">
        <f aca="false">Assumptions!$B$3*R481+Assumptions!$B$4*S481+IF(AA481=1,Assumptions!$B$11,Assumptions!$B$5)*X481+IF(AA481=1,Assumptions!$B$12,Assumptions!$B$6)*T481+Assumptions!$B$7*U481+Assumptions!$B$8*V481+Assumptions!$B$9*Y481</f>
        <v>0.561819</v>
      </c>
      <c r="AA481" s="3" t="n">
        <v>1</v>
      </c>
    </row>
    <row r="482" customFormat="false" ht="15" hidden="false" customHeight="false" outlineLevel="0" collapsed="false">
      <c r="A482" s="3" t="s">
        <v>667</v>
      </c>
      <c r="B482" s="3" t="n">
        <v>495</v>
      </c>
      <c r="C482" s="11" t="str">
        <f aca="false">IF(M482&gt;=Assumptions!$B$17,"S+",IF(M482&gt;=Assumptions!$B$18,"S",IF(M482&gt;=Assumptions!$B$19,"A",IF(M482&gt;=Assumptions!$B$20,"B",IF(M482&gt;=Assumptions!$B$21,"C",IF(M482&gt;=Assumptions!$B$22,"D","F"))))))</f>
        <v>C</v>
      </c>
      <c r="D482" s="3" t="s">
        <v>253</v>
      </c>
      <c r="E482" s="3" t="n">
        <v>7</v>
      </c>
      <c r="F482" s="12" t="n">
        <v>0.8571</v>
      </c>
      <c r="G482" s="12" t="n">
        <v>0.4</v>
      </c>
      <c r="H482" s="12" t="n">
        <v>0.75</v>
      </c>
      <c r="I482" s="12" t="n">
        <v>0.6163</v>
      </c>
      <c r="J482" s="12" t="n">
        <v>0.3861</v>
      </c>
      <c r="K482" s="12" t="n">
        <v>0.6005</v>
      </c>
      <c r="L482" s="3" t="n">
        <v>4</v>
      </c>
      <c r="M482" s="12" t="n">
        <f aca="false">Z482-W482</f>
        <v>0.0710370000000001</v>
      </c>
      <c r="N482" s="12" t="n">
        <f aca="false">IFERROR((Z482-J482)/L482,"")</f>
        <v>0.05360925</v>
      </c>
      <c r="O482" s="3" t="n">
        <v>13</v>
      </c>
      <c r="P482" s="13" t="b">
        <f aca="false">FALSE()</f>
        <v>0</v>
      </c>
      <c r="Q482" s="3" t="s">
        <v>201</v>
      </c>
      <c r="R482" s="12" t="n">
        <v>0.7189</v>
      </c>
      <c r="S482" s="12" t="n">
        <v>0.6113</v>
      </c>
      <c r="T482" s="3" t="n">
        <v>0.1689</v>
      </c>
      <c r="U482" s="12" t="n">
        <v>0.4556</v>
      </c>
      <c r="V482" s="12" t="n">
        <v>0.5366</v>
      </c>
      <c r="W482" s="12" t="n">
        <v>0.5295</v>
      </c>
      <c r="X482" s="3" t="n">
        <v>0.8454</v>
      </c>
      <c r="Y482" s="3" t="n">
        <v>0.6181</v>
      </c>
      <c r="Z482" s="14" t="n">
        <f aca="false">Assumptions!$B$3*R482+Assumptions!$B$4*S482+IF(AA482=1,Assumptions!$B$11,Assumptions!$B$5)*X482+IF(AA482=1,Assumptions!$B$12,Assumptions!$B$6)*T482+Assumptions!$B$7*U482+Assumptions!$B$8*V482+Assumptions!$B$9*Y482</f>
        <v>0.600537</v>
      </c>
      <c r="AA482" s="3" t="n">
        <v>0</v>
      </c>
    </row>
    <row r="483" customFormat="false" ht="15" hidden="false" customHeight="false" outlineLevel="0" collapsed="false">
      <c r="A483" s="3" t="s">
        <v>668</v>
      </c>
      <c r="B483" s="3" t="n">
        <v>495</v>
      </c>
      <c r="C483" s="11" t="str">
        <f aca="false">IF(M483&gt;=Assumptions!$B$17,"S+",IF(M483&gt;=Assumptions!$B$18,"S",IF(M483&gt;=Assumptions!$B$19,"A",IF(M483&gt;=Assumptions!$B$20,"B",IF(M483&gt;=Assumptions!$B$21,"C",IF(M483&gt;=Assumptions!$B$22,"D","F"))))))</f>
        <v>C</v>
      </c>
      <c r="D483" s="3" t="s">
        <v>253</v>
      </c>
      <c r="E483" s="3" t="n">
        <v>7</v>
      </c>
      <c r="F483" s="12" t="n">
        <v>0.8571</v>
      </c>
      <c r="G483" s="12" t="n">
        <v>0.4</v>
      </c>
      <c r="H483" s="12" t="n">
        <v>0.75</v>
      </c>
      <c r="I483" s="12" t="n">
        <v>0.6163</v>
      </c>
      <c r="J483" s="12" t="n">
        <v>0.3861</v>
      </c>
      <c r="K483" s="12" t="n">
        <v>0.6005</v>
      </c>
      <c r="L483" s="3" t="n">
        <v>4</v>
      </c>
      <c r="M483" s="12" t="n">
        <f aca="false">Z483-W483</f>
        <v>0.0710370000000001</v>
      </c>
      <c r="N483" s="12" t="n">
        <f aca="false">IFERROR((Z483-J483)/L483,"")</f>
        <v>0.05360925</v>
      </c>
      <c r="O483" s="3" t="n">
        <v>13</v>
      </c>
      <c r="P483" s="13" t="b">
        <f aca="false">FALSE()</f>
        <v>0</v>
      </c>
      <c r="Q483" s="3" t="s">
        <v>201</v>
      </c>
      <c r="R483" s="12" t="n">
        <v>0.7189</v>
      </c>
      <c r="S483" s="12" t="n">
        <v>0.6113</v>
      </c>
      <c r="T483" s="3" t="n">
        <v>0.1689</v>
      </c>
      <c r="U483" s="12" t="n">
        <v>0.4556</v>
      </c>
      <c r="V483" s="12" t="n">
        <v>0.5366</v>
      </c>
      <c r="W483" s="12" t="n">
        <v>0.5295</v>
      </c>
      <c r="X483" s="3" t="n">
        <v>0.8454</v>
      </c>
      <c r="Y483" s="3" t="n">
        <v>0.6181</v>
      </c>
      <c r="Z483" s="14" t="n">
        <f aca="false">Assumptions!$B$3*R483+Assumptions!$B$4*S483+IF(AA483=1,Assumptions!$B$11,Assumptions!$B$5)*X483+IF(AA483=1,Assumptions!$B$12,Assumptions!$B$6)*T483+Assumptions!$B$7*U483+Assumptions!$B$8*V483+Assumptions!$B$9*Y483</f>
        <v>0.600537</v>
      </c>
      <c r="AA483" s="3" t="n">
        <v>0</v>
      </c>
    </row>
    <row r="484" customFormat="false" ht="15" hidden="false" customHeight="false" outlineLevel="0" collapsed="false">
      <c r="A484" s="3" t="s">
        <v>669</v>
      </c>
      <c r="B484" s="3" t="n">
        <v>495</v>
      </c>
      <c r="C484" s="11" t="str">
        <f aca="false">IF(M484&gt;=Assumptions!$B$17,"S+",IF(M484&gt;=Assumptions!$B$18,"S",IF(M484&gt;=Assumptions!$B$19,"A",IF(M484&gt;=Assumptions!$B$20,"B",IF(M484&gt;=Assumptions!$B$21,"C",IF(M484&gt;=Assumptions!$B$22,"D","F"))))))</f>
        <v>C</v>
      </c>
      <c r="D484" s="3" t="s">
        <v>253</v>
      </c>
      <c r="E484" s="3" t="n">
        <v>7</v>
      </c>
      <c r="F484" s="12" t="n">
        <v>0.8571</v>
      </c>
      <c r="G484" s="12" t="n">
        <v>0.4</v>
      </c>
      <c r="H484" s="12" t="n">
        <v>0.75</v>
      </c>
      <c r="I484" s="12" t="n">
        <v>0.6163</v>
      </c>
      <c r="J484" s="12" t="n">
        <v>0.3861</v>
      </c>
      <c r="K484" s="12" t="n">
        <v>0.6005</v>
      </c>
      <c r="L484" s="3" t="n">
        <v>4</v>
      </c>
      <c r="M484" s="12" t="n">
        <f aca="false">Z484-W484</f>
        <v>0.0710370000000001</v>
      </c>
      <c r="N484" s="12" t="n">
        <f aca="false">IFERROR((Z484-J484)/L484,"")</f>
        <v>0.05360925</v>
      </c>
      <c r="O484" s="3" t="n">
        <v>13</v>
      </c>
      <c r="P484" s="13" t="b">
        <f aca="false">FALSE()</f>
        <v>0</v>
      </c>
      <c r="Q484" s="3" t="s">
        <v>201</v>
      </c>
      <c r="R484" s="12" t="n">
        <v>0.7189</v>
      </c>
      <c r="S484" s="12" t="n">
        <v>0.6113</v>
      </c>
      <c r="T484" s="3" t="n">
        <v>0.1689</v>
      </c>
      <c r="U484" s="12" t="n">
        <v>0.4556</v>
      </c>
      <c r="V484" s="12" t="n">
        <v>0.5366</v>
      </c>
      <c r="W484" s="12" t="n">
        <v>0.5295</v>
      </c>
      <c r="X484" s="3" t="n">
        <v>0.8454</v>
      </c>
      <c r="Y484" s="3" t="n">
        <v>0.6181</v>
      </c>
      <c r="Z484" s="14" t="n">
        <f aca="false">Assumptions!$B$3*R484+Assumptions!$B$4*S484+IF(AA484=1,Assumptions!$B$11,Assumptions!$B$5)*X484+IF(AA484=1,Assumptions!$B$12,Assumptions!$B$6)*T484+Assumptions!$B$7*U484+Assumptions!$B$8*V484+Assumptions!$B$9*Y484</f>
        <v>0.600537</v>
      </c>
      <c r="AA484" s="3" t="n">
        <v>0</v>
      </c>
    </row>
    <row r="485" customFormat="false" ht="15" hidden="false" customHeight="false" outlineLevel="0" collapsed="false">
      <c r="A485" s="3" t="s">
        <v>670</v>
      </c>
      <c r="B485" s="3" t="n">
        <v>495</v>
      </c>
      <c r="C485" s="11" t="str">
        <f aca="false">IF(M485&gt;=Assumptions!$B$17,"S+",IF(M485&gt;=Assumptions!$B$18,"S",IF(M485&gt;=Assumptions!$B$19,"A",IF(M485&gt;=Assumptions!$B$20,"B",IF(M485&gt;=Assumptions!$B$21,"C",IF(M485&gt;=Assumptions!$B$22,"D","F"))))))</f>
        <v>C</v>
      </c>
      <c r="D485" s="3" t="s">
        <v>253</v>
      </c>
      <c r="E485" s="3" t="n">
        <v>7</v>
      </c>
      <c r="F485" s="12" t="n">
        <v>0.8571</v>
      </c>
      <c r="G485" s="12" t="n">
        <v>0.4</v>
      </c>
      <c r="H485" s="12" t="n">
        <v>0.75</v>
      </c>
      <c r="I485" s="12" t="n">
        <v>0.6163</v>
      </c>
      <c r="J485" s="12" t="n">
        <v>0.3861</v>
      </c>
      <c r="K485" s="12" t="n">
        <v>0.6005</v>
      </c>
      <c r="L485" s="3" t="n">
        <v>4</v>
      </c>
      <c r="M485" s="12" t="n">
        <f aca="false">Z485-W485</f>
        <v>0.0710370000000001</v>
      </c>
      <c r="N485" s="12" t="n">
        <f aca="false">IFERROR((Z485-J485)/L485,"")</f>
        <v>0.05360925</v>
      </c>
      <c r="O485" s="3" t="n">
        <v>13</v>
      </c>
      <c r="P485" s="13" t="b">
        <f aca="false">FALSE()</f>
        <v>0</v>
      </c>
      <c r="Q485" s="3" t="s">
        <v>201</v>
      </c>
      <c r="R485" s="12" t="n">
        <v>0.7189</v>
      </c>
      <c r="S485" s="12" t="n">
        <v>0.6113</v>
      </c>
      <c r="T485" s="3" t="n">
        <v>0.1689</v>
      </c>
      <c r="U485" s="12" t="n">
        <v>0.4556</v>
      </c>
      <c r="V485" s="12" t="n">
        <v>0.5366</v>
      </c>
      <c r="W485" s="12" t="n">
        <v>0.5295</v>
      </c>
      <c r="X485" s="3" t="n">
        <v>0.8454</v>
      </c>
      <c r="Y485" s="3" t="n">
        <v>0.6181</v>
      </c>
      <c r="Z485" s="14" t="n">
        <f aca="false">Assumptions!$B$3*R485+Assumptions!$B$4*S485+IF(AA485=1,Assumptions!$B$11,Assumptions!$B$5)*X485+IF(AA485=1,Assumptions!$B$12,Assumptions!$B$6)*T485+Assumptions!$B$7*U485+Assumptions!$B$8*V485+Assumptions!$B$9*Y485</f>
        <v>0.600537</v>
      </c>
      <c r="AA485" s="3" t="n">
        <v>0</v>
      </c>
    </row>
    <row r="486" customFormat="false" ht="15" hidden="false" customHeight="false" outlineLevel="0" collapsed="false">
      <c r="A486" s="3" t="s">
        <v>671</v>
      </c>
      <c r="B486" s="3" t="n">
        <v>495</v>
      </c>
      <c r="C486" s="11" t="str">
        <f aca="false">IF(M486&gt;=Assumptions!$B$17,"S+",IF(M486&gt;=Assumptions!$B$18,"S",IF(M486&gt;=Assumptions!$B$19,"A",IF(M486&gt;=Assumptions!$B$20,"B",IF(M486&gt;=Assumptions!$B$21,"C",IF(M486&gt;=Assumptions!$B$22,"D","F"))))))</f>
        <v>C</v>
      </c>
      <c r="D486" s="3" t="s">
        <v>253</v>
      </c>
      <c r="E486" s="3" t="n">
        <v>7</v>
      </c>
      <c r="F486" s="12" t="n">
        <v>0.8571</v>
      </c>
      <c r="G486" s="12" t="n">
        <v>0.4</v>
      </c>
      <c r="H486" s="12" t="n">
        <v>0.75</v>
      </c>
      <c r="I486" s="12" t="n">
        <v>0.6163</v>
      </c>
      <c r="J486" s="12" t="n">
        <v>0.3861</v>
      </c>
      <c r="K486" s="12" t="n">
        <v>0.6005</v>
      </c>
      <c r="L486" s="3" t="n">
        <v>5</v>
      </c>
      <c r="M486" s="12" t="n">
        <f aca="false">Z486-W486</f>
        <v>0.0710370000000001</v>
      </c>
      <c r="N486" s="12" t="n">
        <f aca="false">IFERROR((Z486-J486)/L486,"")</f>
        <v>0.0428874</v>
      </c>
      <c r="O486" s="3" t="n">
        <v>13</v>
      </c>
      <c r="P486" s="13" t="b">
        <f aca="false">FALSE()</f>
        <v>0</v>
      </c>
      <c r="Q486" s="3" t="s">
        <v>166</v>
      </c>
      <c r="R486" s="12" t="n">
        <v>0.7189</v>
      </c>
      <c r="S486" s="12" t="n">
        <v>0.6113</v>
      </c>
      <c r="T486" s="3" t="n">
        <v>0.1689</v>
      </c>
      <c r="U486" s="12" t="n">
        <v>0.4556</v>
      </c>
      <c r="V486" s="12" t="n">
        <v>0.5366</v>
      </c>
      <c r="W486" s="12" t="n">
        <v>0.5295</v>
      </c>
      <c r="X486" s="3" t="n">
        <v>0.8454</v>
      </c>
      <c r="Y486" s="3" t="n">
        <v>0.6181</v>
      </c>
      <c r="Z486" s="14" t="n">
        <f aca="false">Assumptions!$B$3*R486+Assumptions!$B$4*S486+IF(AA486=1,Assumptions!$B$11,Assumptions!$B$5)*X486+IF(AA486=1,Assumptions!$B$12,Assumptions!$B$6)*T486+Assumptions!$B$7*U486+Assumptions!$B$8*V486+Assumptions!$B$9*Y486</f>
        <v>0.600537</v>
      </c>
      <c r="AA486" s="3" t="n">
        <v>0</v>
      </c>
    </row>
    <row r="487" customFormat="false" ht="15" hidden="false" customHeight="false" outlineLevel="0" collapsed="false">
      <c r="A487" s="3" t="s">
        <v>672</v>
      </c>
      <c r="B487" s="3" t="n">
        <v>495</v>
      </c>
      <c r="C487" s="11" t="str">
        <f aca="false">IF(M487&gt;=Assumptions!$B$17,"S+",IF(M487&gt;=Assumptions!$B$18,"S",IF(M487&gt;=Assumptions!$B$19,"A",IF(M487&gt;=Assumptions!$B$20,"B",IF(M487&gt;=Assumptions!$B$21,"C",IF(M487&gt;=Assumptions!$B$22,"D","F"))))))</f>
        <v>C</v>
      </c>
      <c r="D487" s="3" t="s">
        <v>253</v>
      </c>
      <c r="E487" s="3" t="n">
        <v>7</v>
      </c>
      <c r="F487" s="12" t="n">
        <v>0.8571</v>
      </c>
      <c r="G487" s="12" t="n">
        <v>0.4</v>
      </c>
      <c r="H487" s="12" t="n">
        <v>0.75</v>
      </c>
      <c r="I487" s="12" t="n">
        <v>0.6163</v>
      </c>
      <c r="J487" s="12" t="n">
        <v>0.3861</v>
      </c>
      <c r="K487" s="12" t="n">
        <v>0.6005</v>
      </c>
      <c r="L487" s="3" t="n">
        <v>5</v>
      </c>
      <c r="M487" s="12" t="n">
        <f aca="false">Z487-W487</f>
        <v>0.0710370000000001</v>
      </c>
      <c r="N487" s="12" t="n">
        <f aca="false">IFERROR((Z487-J487)/L487,"")</f>
        <v>0.0428874</v>
      </c>
      <c r="O487" s="3" t="n">
        <v>13</v>
      </c>
      <c r="P487" s="13" t="b">
        <f aca="false">FALSE()</f>
        <v>0</v>
      </c>
      <c r="Q487" s="3" t="s">
        <v>166</v>
      </c>
      <c r="R487" s="12" t="n">
        <v>0.7189</v>
      </c>
      <c r="S487" s="12" t="n">
        <v>0.6113</v>
      </c>
      <c r="T487" s="3" t="n">
        <v>0.1689</v>
      </c>
      <c r="U487" s="12" t="n">
        <v>0.4556</v>
      </c>
      <c r="V487" s="12" t="n">
        <v>0.5366</v>
      </c>
      <c r="W487" s="12" t="n">
        <v>0.5295</v>
      </c>
      <c r="X487" s="3" t="n">
        <v>0.8454</v>
      </c>
      <c r="Y487" s="3" t="n">
        <v>0.6181</v>
      </c>
      <c r="Z487" s="14" t="n">
        <f aca="false">Assumptions!$B$3*R487+Assumptions!$B$4*S487+IF(AA487=1,Assumptions!$B$11,Assumptions!$B$5)*X487+IF(AA487=1,Assumptions!$B$12,Assumptions!$B$6)*T487+Assumptions!$B$7*U487+Assumptions!$B$8*V487+Assumptions!$B$9*Y487</f>
        <v>0.600537</v>
      </c>
      <c r="AA487" s="3" t="n">
        <v>0</v>
      </c>
    </row>
    <row r="488" customFormat="false" ht="15" hidden="false" customHeight="false" outlineLevel="0" collapsed="false">
      <c r="A488" s="3" t="s">
        <v>673</v>
      </c>
      <c r="B488" s="3" t="n">
        <v>495</v>
      </c>
      <c r="C488" s="11" t="str">
        <f aca="false">IF(M488&gt;=Assumptions!$B$17,"S+",IF(M488&gt;=Assumptions!$B$18,"S",IF(M488&gt;=Assumptions!$B$19,"A",IF(M488&gt;=Assumptions!$B$20,"B",IF(M488&gt;=Assumptions!$B$21,"C",IF(M488&gt;=Assumptions!$B$22,"D","F"))))))</f>
        <v>C</v>
      </c>
      <c r="D488" s="3" t="s">
        <v>253</v>
      </c>
      <c r="E488" s="3" t="n">
        <v>7</v>
      </c>
      <c r="F488" s="12" t="n">
        <v>0.8571</v>
      </c>
      <c r="G488" s="12" t="n">
        <v>0.4</v>
      </c>
      <c r="H488" s="12" t="n">
        <v>0.75</v>
      </c>
      <c r="I488" s="12" t="n">
        <v>0.6163</v>
      </c>
      <c r="J488" s="12" t="n">
        <v>0.3861</v>
      </c>
      <c r="K488" s="12" t="n">
        <v>0.6005</v>
      </c>
      <c r="L488" s="3" t="n">
        <v>4</v>
      </c>
      <c r="M488" s="12" t="n">
        <f aca="false">Z488-W488</f>
        <v>0.0710370000000001</v>
      </c>
      <c r="N488" s="12" t="n">
        <f aca="false">IFERROR((Z488-J488)/L488,"")</f>
        <v>0.05360925</v>
      </c>
      <c r="O488" s="3" t="n">
        <v>13</v>
      </c>
      <c r="P488" s="13" t="b">
        <f aca="false">FALSE()</f>
        <v>0</v>
      </c>
      <c r="Q488" s="3" t="s">
        <v>201</v>
      </c>
      <c r="R488" s="12" t="n">
        <v>0.7189</v>
      </c>
      <c r="S488" s="12" t="n">
        <v>0.6113</v>
      </c>
      <c r="T488" s="3" t="n">
        <v>0.1689</v>
      </c>
      <c r="U488" s="12" t="n">
        <v>0.4556</v>
      </c>
      <c r="V488" s="12" t="n">
        <v>0.5366</v>
      </c>
      <c r="W488" s="12" t="n">
        <v>0.5295</v>
      </c>
      <c r="X488" s="3" t="n">
        <v>0.8454</v>
      </c>
      <c r="Y488" s="3" t="n">
        <v>0.6181</v>
      </c>
      <c r="Z488" s="14" t="n">
        <f aca="false">Assumptions!$B$3*R488+Assumptions!$B$4*S488+IF(AA488=1,Assumptions!$B$11,Assumptions!$B$5)*X488+IF(AA488=1,Assumptions!$B$12,Assumptions!$B$6)*T488+Assumptions!$B$7*U488+Assumptions!$B$8*V488+Assumptions!$B$9*Y488</f>
        <v>0.600537</v>
      </c>
      <c r="AA488" s="3" t="n">
        <v>0</v>
      </c>
    </row>
    <row r="489" customFormat="false" ht="15" hidden="false" customHeight="false" outlineLevel="0" collapsed="false">
      <c r="A489" s="3" t="s">
        <v>674</v>
      </c>
      <c r="B489" s="3" t="n">
        <v>495</v>
      </c>
      <c r="C489" s="11" t="str">
        <f aca="false">IF(M489&gt;=Assumptions!$B$17,"S+",IF(M489&gt;=Assumptions!$B$18,"S",IF(M489&gt;=Assumptions!$B$19,"A",IF(M489&gt;=Assumptions!$B$20,"B",IF(M489&gt;=Assumptions!$B$21,"C",IF(M489&gt;=Assumptions!$B$22,"D","F"))))))</f>
        <v>C</v>
      </c>
      <c r="D489" s="3" t="s">
        <v>253</v>
      </c>
      <c r="E489" s="3" t="n">
        <v>7</v>
      </c>
      <c r="F489" s="12" t="n">
        <v>0.8571</v>
      </c>
      <c r="G489" s="12" t="n">
        <v>0.4</v>
      </c>
      <c r="H489" s="12" t="n">
        <v>0.75</v>
      </c>
      <c r="I489" s="12" t="n">
        <v>0.6163</v>
      </c>
      <c r="J489" s="12" t="n">
        <v>0.3861</v>
      </c>
      <c r="K489" s="12" t="n">
        <v>0.6005</v>
      </c>
      <c r="L489" s="3" t="n">
        <v>4</v>
      </c>
      <c r="M489" s="12" t="n">
        <f aca="false">Z489-W489</f>
        <v>0.0710370000000001</v>
      </c>
      <c r="N489" s="12" t="n">
        <f aca="false">IFERROR((Z489-J489)/L489,"")</f>
        <v>0.05360925</v>
      </c>
      <c r="O489" s="3" t="n">
        <v>13</v>
      </c>
      <c r="P489" s="13" t="b">
        <f aca="false">FALSE()</f>
        <v>0</v>
      </c>
      <c r="Q489" s="3" t="s">
        <v>201</v>
      </c>
      <c r="R489" s="12" t="n">
        <v>0.7189</v>
      </c>
      <c r="S489" s="12" t="n">
        <v>0.6113</v>
      </c>
      <c r="T489" s="3" t="n">
        <v>0.1689</v>
      </c>
      <c r="U489" s="12" t="n">
        <v>0.4556</v>
      </c>
      <c r="V489" s="12" t="n">
        <v>0.5366</v>
      </c>
      <c r="W489" s="12" t="n">
        <v>0.5295</v>
      </c>
      <c r="X489" s="3" t="n">
        <v>0.8454</v>
      </c>
      <c r="Y489" s="3" t="n">
        <v>0.6181</v>
      </c>
      <c r="Z489" s="14" t="n">
        <f aca="false">Assumptions!$B$3*R489+Assumptions!$B$4*S489+IF(AA489=1,Assumptions!$B$11,Assumptions!$B$5)*X489+IF(AA489=1,Assumptions!$B$12,Assumptions!$B$6)*T489+Assumptions!$B$7*U489+Assumptions!$B$8*V489+Assumptions!$B$9*Y489</f>
        <v>0.600537</v>
      </c>
      <c r="AA489" s="3" t="n">
        <v>0</v>
      </c>
    </row>
    <row r="490" customFormat="false" ht="15" hidden="false" customHeight="false" outlineLevel="0" collapsed="false">
      <c r="A490" s="3" t="s">
        <v>675</v>
      </c>
      <c r="B490" s="3" t="n">
        <v>495</v>
      </c>
      <c r="C490" s="11" t="str">
        <f aca="false">IF(M490&gt;=Assumptions!$B$17,"S+",IF(M490&gt;=Assumptions!$B$18,"S",IF(M490&gt;=Assumptions!$B$19,"A",IF(M490&gt;=Assumptions!$B$20,"B",IF(M490&gt;=Assumptions!$B$21,"C",IF(M490&gt;=Assumptions!$B$22,"D","F"))))))</f>
        <v>C</v>
      </c>
      <c r="D490" s="3" t="s">
        <v>253</v>
      </c>
      <c r="E490" s="3" t="n">
        <v>7</v>
      </c>
      <c r="F490" s="12" t="n">
        <v>0.8571</v>
      </c>
      <c r="G490" s="12" t="n">
        <v>0.4</v>
      </c>
      <c r="H490" s="12" t="n">
        <v>0.75</v>
      </c>
      <c r="I490" s="12" t="n">
        <v>0.6163</v>
      </c>
      <c r="J490" s="12" t="n">
        <v>0.3861</v>
      </c>
      <c r="K490" s="12" t="n">
        <v>0.6005</v>
      </c>
      <c r="L490" s="3" t="n">
        <v>4</v>
      </c>
      <c r="M490" s="12" t="n">
        <f aca="false">Z490-W490</f>
        <v>0.0710370000000001</v>
      </c>
      <c r="N490" s="12" t="n">
        <f aca="false">IFERROR((Z490-J490)/L490,"")</f>
        <v>0.05360925</v>
      </c>
      <c r="O490" s="3" t="n">
        <v>13</v>
      </c>
      <c r="P490" s="13" t="b">
        <f aca="false">FALSE()</f>
        <v>0</v>
      </c>
      <c r="Q490" s="3" t="s">
        <v>201</v>
      </c>
      <c r="R490" s="12" t="n">
        <v>0.7189</v>
      </c>
      <c r="S490" s="12" t="n">
        <v>0.6113</v>
      </c>
      <c r="T490" s="3" t="n">
        <v>0.1689</v>
      </c>
      <c r="U490" s="12" t="n">
        <v>0.4556</v>
      </c>
      <c r="V490" s="12" t="n">
        <v>0.5366</v>
      </c>
      <c r="W490" s="12" t="n">
        <v>0.5295</v>
      </c>
      <c r="X490" s="3" t="n">
        <v>0.8454</v>
      </c>
      <c r="Y490" s="3" t="n">
        <v>0.6181</v>
      </c>
      <c r="Z490" s="14" t="n">
        <f aca="false">Assumptions!$B$3*R490+Assumptions!$B$4*S490+IF(AA490=1,Assumptions!$B$11,Assumptions!$B$5)*X490+IF(AA490=1,Assumptions!$B$12,Assumptions!$B$6)*T490+Assumptions!$B$7*U490+Assumptions!$B$8*V490+Assumptions!$B$9*Y490</f>
        <v>0.600537</v>
      </c>
      <c r="AA490" s="3" t="n">
        <v>0</v>
      </c>
    </row>
    <row r="491" customFormat="false" ht="15" hidden="false" customHeight="false" outlineLevel="0" collapsed="false">
      <c r="A491" s="3" t="s">
        <v>676</v>
      </c>
      <c r="B491" s="3" t="n">
        <v>495</v>
      </c>
      <c r="C491" s="11" t="str">
        <f aca="false">IF(M491&gt;=Assumptions!$B$17,"S+",IF(M491&gt;=Assumptions!$B$18,"S",IF(M491&gt;=Assumptions!$B$19,"A",IF(M491&gt;=Assumptions!$B$20,"B",IF(M491&gt;=Assumptions!$B$21,"C",IF(M491&gt;=Assumptions!$B$22,"D","F"))))))</f>
        <v>C</v>
      </c>
      <c r="D491" s="3" t="s">
        <v>253</v>
      </c>
      <c r="E491" s="3" t="n">
        <v>7</v>
      </c>
      <c r="F491" s="12" t="n">
        <v>0.8571</v>
      </c>
      <c r="G491" s="12" t="n">
        <v>0.4</v>
      </c>
      <c r="H491" s="12" t="n">
        <v>0.75</v>
      </c>
      <c r="I491" s="12" t="n">
        <v>0.6163</v>
      </c>
      <c r="J491" s="12" t="n">
        <v>0.3861</v>
      </c>
      <c r="K491" s="12" t="n">
        <v>0.6005</v>
      </c>
      <c r="L491" s="3" t="n">
        <v>4</v>
      </c>
      <c r="M491" s="12" t="n">
        <f aca="false">Z491-W491</f>
        <v>0.0710370000000001</v>
      </c>
      <c r="N491" s="12" t="n">
        <f aca="false">IFERROR((Z491-J491)/L491,"")</f>
        <v>0.05360925</v>
      </c>
      <c r="O491" s="3" t="n">
        <v>13</v>
      </c>
      <c r="P491" s="13" t="b">
        <f aca="false">FALSE()</f>
        <v>0</v>
      </c>
      <c r="Q491" s="3" t="s">
        <v>201</v>
      </c>
      <c r="R491" s="12" t="n">
        <v>0.7189</v>
      </c>
      <c r="S491" s="12" t="n">
        <v>0.6113</v>
      </c>
      <c r="T491" s="3" t="n">
        <v>0.1689</v>
      </c>
      <c r="U491" s="12" t="n">
        <v>0.4556</v>
      </c>
      <c r="V491" s="12" t="n">
        <v>0.5366</v>
      </c>
      <c r="W491" s="12" t="n">
        <v>0.5295</v>
      </c>
      <c r="X491" s="3" t="n">
        <v>0.8454</v>
      </c>
      <c r="Y491" s="3" t="n">
        <v>0.6181</v>
      </c>
      <c r="Z491" s="14" t="n">
        <f aca="false">Assumptions!$B$3*R491+Assumptions!$B$4*S491+IF(AA491=1,Assumptions!$B$11,Assumptions!$B$5)*X491+IF(AA491=1,Assumptions!$B$12,Assumptions!$B$6)*T491+Assumptions!$B$7*U491+Assumptions!$B$8*V491+Assumptions!$B$9*Y491</f>
        <v>0.600537</v>
      </c>
      <c r="AA491" s="3" t="n">
        <v>0</v>
      </c>
    </row>
    <row r="492" customFormat="false" ht="15" hidden="false" customHeight="false" outlineLevel="0" collapsed="false">
      <c r="A492" s="3" t="s">
        <v>677</v>
      </c>
      <c r="B492" s="3" t="n">
        <v>495</v>
      </c>
      <c r="C492" s="11" t="str">
        <f aca="false">IF(M492&gt;=Assumptions!$B$17,"S+",IF(M492&gt;=Assumptions!$B$18,"S",IF(M492&gt;=Assumptions!$B$19,"A",IF(M492&gt;=Assumptions!$B$20,"B",IF(M492&gt;=Assumptions!$B$21,"C",IF(M492&gt;=Assumptions!$B$22,"D","F"))))))</f>
        <v>C</v>
      </c>
      <c r="D492" s="3" t="s">
        <v>253</v>
      </c>
      <c r="E492" s="3" t="n">
        <v>7</v>
      </c>
      <c r="F492" s="12" t="n">
        <v>0.8571</v>
      </c>
      <c r="G492" s="12" t="n">
        <v>0.4</v>
      </c>
      <c r="H492" s="12" t="n">
        <v>0.75</v>
      </c>
      <c r="I492" s="12" t="n">
        <v>0.6163</v>
      </c>
      <c r="J492" s="12" t="n">
        <v>0.3861</v>
      </c>
      <c r="K492" s="12" t="n">
        <v>0.6005</v>
      </c>
      <c r="L492" s="3" t="n">
        <v>4</v>
      </c>
      <c r="M492" s="12" t="n">
        <f aca="false">Z492-W492</f>
        <v>0.0710370000000001</v>
      </c>
      <c r="N492" s="12" t="n">
        <f aca="false">IFERROR((Z492-J492)/L492,"")</f>
        <v>0.05360925</v>
      </c>
      <c r="O492" s="3" t="n">
        <v>13</v>
      </c>
      <c r="P492" s="13" t="b">
        <f aca="false">FALSE()</f>
        <v>0</v>
      </c>
      <c r="Q492" s="3" t="s">
        <v>201</v>
      </c>
      <c r="R492" s="12" t="n">
        <v>0.7189</v>
      </c>
      <c r="S492" s="12" t="n">
        <v>0.6113</v>
      </c>
      <c r="T492" s="3" t="n">
        <v>0.1689</v>
      </c>
      <c r="U492" s="12" t="n">
        <v>0.4556</v>
      </c>
      <c r="V492" s="12" t="n">
        <v>0.5366</v>
      </c>
      <c r="W492" s="12" t="n">
        <v>0.5295</v>
      </c>
      <c r="X492" s="3" t="n">
        <v>0.8454</v>
      </c>
      <c r="Y492" s="3" t="n">
        <v>0.6181</v>
      </c>
      <c r="Z492" s="14" t="n">
        <f aca="false">Assumptions!$B$3*R492+Assumptions!$B$4*S492+IF(AA492=1,Assumptions!$B$11,Assumptions!$B$5)*X492+IF(AA492=1,Assumptions!$B$12,Assumptions!$B$6)*T492+Assumptions!$B$7*U492+Assumptions!$B$8*V492+Assumptions!$B$9*Y492</f>
        <v>0.600537</v>
      </c>
      <c r="AA492" s="3" t="n">
        <v>0</v>
      </c>
    </row>
    <row r="493" customFormat="false" ht="15" hidden="false" customHeight="false" outlineLevel="0" collapsed="false">
      <c r="A493" s="3" t="s">
        <v>678</v>
      </c>
      <c r="B493" s="3" t="n">
        <v>495</v>
      </c>
      <c r="C493" s="11" t="str">
        <f aca="false">IF(M493&gt;=Assumptions!$B$17,"S+",IF(M493&gt;=Assumptions!$B$18,"S",IF(M493&gt;=Assumptions!$B$19,"A",IF(M493&gt;=Assumptions!$B$20,"B",IF(M493&gt;=Assumptions!$B$21,"C",IF(M493&gt;=Assumptions!$B$22,"D","F"))))))</f>
        <v>C</v>
      </c>
      <c r="D493" s="3" t="s">
        <v>253</v>
      </c>
      <c r="E493" s="3" t="n">
        <v>7</v>
      </c>
      <c r="F493" s="12" t="n">
        <v>0.8571</v>
      </c>
      <c r="G493" s="12" t="n">
        <v>0.4</v>
      </c>
      <c r="H493" s="12" t="n">
        <v>0.75</v>
      </c>
      <c r="I493" s="12" t="n">
        <v>0.6163</v>
      </c>
      <c r="J493" s="12" t="n">
        <v>0.3861</v>
      </c>
      <c r="K493" s="12" t="n">
        <v>0.6005</v>
      </c>
      <c r="L493" s="3" t="n">
        <v>4</v>
      </c>
      <c r="M493" s="12" t="n">
        <f aca="false">Z493-W493</f>
        <v>0.0710370000000001</v>
      </c>
      <c r="N493" s="12" t="n">
        <f aca="false">IFERROR((Z493-J493)/L493,"")</f>
        <v>0.05360925</v>
      </c>
      <c r="O493" s="3" t="n">
        <v>13</v>
      </c>
      <c r="P493" s="13" t="b">
        <f aca="false">FALSE()</f>
        <v>0</v>
      </c>
      <c r="Q493" s="3" t="s">
        <v>201</v>
      </c>
      <c r="R493" s="12" t="n">
        <v>0.7189</v>
      </c>
      <c r="S493" s="12" t="n">
        <v>0.6113</v>
      </c>
      <c r="T493" s="3" t="n">
        <v>0.1689</v>
      </c>
      <c r="U493" s="12" t="n">
        <v>0.4556</v>
      </c>
      <c r="V493" s="12" t="n">
        <v>0.5366</v>
      </c>
      <c r="W493" s="12" t="n">
        <v>0.5295</v>
      </c>
      <c r="X493" s="3" t="n">
        <v>0.8454</v>
      </c>
      <c r="Y493" s="3" t="n">
        <v>0.6181</v>
      </c>
      <c r="Z493" s="14" t="n">
        <f aca="false">Assumptions!$B$3*R493+Assumptions!$B$4*S493+IF(AA493=1,Assumptions!$B$11,Assumptions!$B$5)*X493+IF(AA493=1,Assumptions!$B$12,Assumptions!$B$6)*T493+Assumptions!$B$7*U493+Assumptions!$B$8*V493+Assumptions!$B$9*Y493</f>
        <v>0.600537</v>
      </c>
      <c r="AA493" s="3" t="n">
        <v>0</v>
      </c>
    </row>
    <row r="494" customFormat="false" ht="15" hidden="false" customHeight="false" outlineLevel="0" collapsed="false">
      <c r="A494" s="3" t="s">
        <v>679</v>
      </c>
      <c r="B494" s="3" t="n">
        <v>495</v>
      </c>
      <c r="C494" s="11" t="str">
        <f aca="false">IF(M494&gt;=Assumptions!$B$17,"S+",IF(M494&gt;=Assumptions!$B$18,"S",IF(M494&gt;=Assumptions!$B$19,"A",IF(M494&gt;=Assumptions!$B$20,"B",IF(M494&gt;=Assumptions!$B$21,"C",IF(M494&gt;=Assumptions!$B$22,"D","F"))))))</f>
        <v>C</v>
      </c>
      <c r="D494" s="3" t="s">
        <v>253</v>
      </c>
      <c r="E494" s="3" t="n">
        <v>7</v>
      </c>
      <c r="F494" s="12" t="n">
        <v>0.8571</v>
      </c>
      <c r="G494" s="12" t="n">
        <v>0.4</v>
      </c>
      <c r="H494" s="12" t="n">
        <v>0.75</v>
      </c>
      <c r="I494" s="12" t="n">
        <v>0.6163</v>
      </c>
      <c r="J494" s="12" t="n">
        <v>0.3861</v>
      </c>
      <c r="K494" s="12" t="n">
        <v>0.6005</v>
      </c>
      <c r="L494" s="3" t="n">
        <v>4</v>
      </c>
      <c r="M494" s="12" t="n">
        <f aca="false">Z494-W494</f>
        <v>0.0710370000000001</v>
      </c>
      <c r="N494" s="12" t="n">
        <f aca="false">IFERROR((Z494-J494)/L494,"")</f>
        <v>0.05360925</v>
      </c>
      <c r="O494" s="3" t="n">
        <v>13</v>
      </c>
      <c r="P494" s="13" t="b">
        <f aca="false">FALSE()</f>
        <v>0</v>
      </c>
      <c r="Q494" s="3" t="s">
        <v>201</v>
      </c>
      <c r="R494" s="12" t="n">
        <v>0.7189</v>
      </c>
      <c r="S494" s="12" t="n">
        <v>0.6113</v>
      </c>
      <c r="T494" s="3" t="n">
        <v>0.1689</v>
      </c>
      <c r="U494" s="12" t="n">
        <v>0.4556</v>
      </c>
      <c r="V494" s="12" t="n">
        <v>0.5366</v>
      </c>
      <c r="W494" s="12" t="n">
        <v>0.5295</v>
      </c>
      <c r="X494" s="3" t="n">
        <v>0.8454</v>
      </c>
      <c r="Y494" s="3" t="n">
        <v>0.6181</v>
      </c>
      <c r="Z494" s="14" t="n">
        <f aca="false">Assumptions!$B$3*R494+Assumptions!$B$4*S494+IF(AA494=1,Assumptions!$B$11,Assumptions!$B$5)*X494+IF(AA494=1,Assumptions!$B$12,Assumptions!$B$6)*T494+Assumptions!$B$7*U494+Assumptions!$B$8*V494+Assumptions!$B$9*Y494</f>
        <v>0.600537</v>
      </c>
      <c r="AA494" s="3" t="n">
        <v>0</v>
      </c>
    </row>
    <row r="495" customFormat="false" ht="15" hidden="false" customHeight="false" outlineLevel="0" collapsed="false">
      <c r="A495" s="3" t="s">
        <v>680</v>
      </c>
      <c r="B495" s="3" t="n">
        <v>495</v>
      </c>
      <c r="C495" s="11" t="str">
        <f aca="false">IF(M495&gt;=Assumptions!$B$17,"S+",IF(M495&gt;=Assumptions!$B$18,"S",IF(M495&gt;=Assumptions!$B$19,"A",IF(M495&gt;=Assumptions!$B$20,"B",IF(M495&gt;=Assumptions!$B$21,"C",IF(M495&gt;=Assumptions!$B$22,"D","F"))))))</f>
        <v>C</v>
      </c>
      <c r="D495" s="3" t="s">
        <v>253</v>
      </c>
      <c r="E495" s="3" t="n">
        <v>7</v>
      </c>
      <c r="F495" s="12" t="n">
        <v>0.8571</v>
      </c>
      <c r="G495" s="12" t="n">
        <v>0.4</v>
      </c>
      <c r="H495" s="12" t="n">
        <v>0.75</v>
      </c>
      <c r="I495" s="12" t="n">
        <v>0.6163</v>
      </c>
      <c r="J495" s="12" t="n">
        <v>0.3861</v>
      </c>
      <c r="K495" s="12" t="n">
        <v>0.6005</v>
      </c>
      <c r="L495" s="3" t="n">
        <v>5</v>
      </c>
      <c r="M495" s="12" t="n">
        <f aca="false">Z495-W495</f>
        <v>0.0710370000000001</v>
      </c>
      <c r="N495" s="12" t="n">
        <f aca="false">IFERROR((Z495-J495)/L495,"")</f>
        <v>0.0428874</v>
      </c>
      <c r="O495" s="3" t="n">
        <v>13</v>
      </c>
      <c r="P495" s="13" t="b">
        <f aca="false">FALSE()</f>
        <v>0</v>
      </c>
      <c r="Q495" s="3" t="s">
        <v>166</v>
      </c>
      <c r="R495" s="12" t="n">
        <v>0.7189</v>
      </c>
      <c r="S495" s="12" t="n">
        <v>0.6113</v>
      </c>
      <c r="T495" s="3" t="n">
        <v>0.1689</v>
      </c>
      <c r="U495" s="12" t="n">
        <v>0.4556</v>
      </c>
      <c r="V495" s="12" t="n">
        <v>0.5366</v>
      </c>
      <c r="W495" s="12" t="n">
        <v>0.5295</v>
      </c>
      <c r="X495" s="3" t="n">
        <v>0.8454</v>
      </c>
      <c r="Y495" s="3" t="n">
        <v>0.6181</v>
      </c>
      <c r="Z495" s="14" t="n">
        <f aca="false">Assumptions!$B$3*R495+Assumptions!$B$4*S495+IF(AA495=1,Assumptions!$B$11,Assumptions!$B$5)*X495+IF(AA495=1,Assumptions!$B$12,Assumptions!$B$6)*T495+Assumptions!$B$7*U495+Assumptions!$B$8*V495+Assumptions!$B$9*Y495</f>
        <v>0.600537</v>
      </c>
      <c r="AA495" s="3" t="n">
        <v>0</v>
      </c>
    </row>
    <row r="496" customFormat="false" ht="15" hidden="false" customHeight="false" outlineLevel="0" collapsed="false">
      <c r="A496" s="3" t="s">
        <v>681</v>
      </c>
      <c r="B496" s="3" t="n">
        <v>495</v>
      </c>
      <c r="C496" s="11" t="str">
        <f aca="false">IF(M496&gt;=Assumptions!$B$17,"S+",IF(M496&gt;=Assumptions!$B$18,"S",IF(M496&gt;=Assumptions!$B$19,"A",IF(M496&gt;=Assumptions!$B$20,"B",IF(M496&gt;=Assumptions!$B$21,"C",IF(M496&gt;=Assumptions!$B$22,"D","F"))))))</f>
        <v>C</v>
      </c>
      <c r="D496" s="3" t="s">
        <v>253</v>
      </c>
      <c r="E496" s="3" t="n">
        <v>7</v>
      </c>
      <c r="F496" s="12" t="n">
        <v>0.8571</v>
      </c>
      <c r="G496" s="12" t="n">
        <v>0.4</v>
      </c>
      <c r="H496" s="12" t="n">
        <v>0.75</v>
      </c>
      <c r="I496" s="12" t="n">
        <v>0.6163</v>
      </c>
      <c r="J496" s="12" t="n">
        <v>0.3861</v>
      </c>
      <c r="K496" s="12" t="n">
        <v>0.6005</v>
      </c>
      <c r="L496" s="3" t="n">
        <v>4</v>
      </c>
      <c r="M496" s="12" t="n">
        <f aca="false">Z496-W496</f>
        <v>0.0710370000000001</v>
      </c>
      <c r="N496" s="12" t="n">
        <f aca="false">IFERROR((Z496-J496)/L496,"")</f>
        <v>0.05360925</v>
      </c>
      <c r="O496" s="3" t="n">
        <v>13</v>
      </c>
      <c r="P496" s="13" t="b">
        <f aca="false">FALSE()</f>
        <v>0</v>
      </c>
      <c r="Q496" s="3" t="s">
        <v>201</v>
      </c>
      <c r="R496" s="12" t="n">
        <v>0.7189</v>
      </c>
      <c r="S496" s="12" t="n">
        <v>0.6113</v>
      </c>
      <c r="T496" s="3" t="n">
        <v>0.1689</v>
      </c>
      <c r="U496" s="12" t="n">
        <v>0.4556</v>
      </c>
      <c r="V496" s="12" t="n">
        <v>0.5366</v>
      </c>
      <c r="W496" s="12" t="n">
        <v>0.5295</v>
      </c>
      <c r="X496" s="3" t="n">
        <v>0.8454</v>
      </c>
      <c r="Y496" s="3" t="n">
        <v>0.6181</v>
      </c>
      <c r="Z496" s="14" t="n">
        <f aca="false">Assumptions!$B$3*R496+Assumptions!$B$4*S496+IF(AA496=1,Assumptions!$B$11,Assumptions!$B$5)*X496+IF(AA496=1,Assumptions!$B$12,Assumptions!$B$6)*T496+Assumptions!$B$7*U496+Assumptions!$B$8*V496+Assumptions!$B$9*Y496</f>
        <v>0.600537</v>
      </c>
      <c r="AA496" s="3" t="n">
        <v>0</v>
      </c>
    </row>
    <row r="497" customFormat="false" ht="15" hidden="false" customHeight="false" outlineLevel="0" collapsed="false">
      <c r="A497" s="3" t="s">
        <v>682</v>
      </c>
      <c r="B497" s="3" t="n">
        <v>495</v>
      </c>
      <c r="C497" s="11" t="str">
        <f aca="false">IF(M497&gt;=Assumptions!$B$17,"S+",IF(M497&gt;=Assumptions!$B$18,"S",IF(M497&gt;=Assumptions!$B$19,"A",IF(M497&gt;=Assumptions!$B$20,"B",IF(M497&gt;=Assumptions!$B$21,"C",IF(M497&gt;=Assumptions!$B$22,"D","F"))))))</f>
        <v>C</v>
      </c>
      <c r="D497" s="3" t="s">
        <v>253</v>
      </c>
      <c r="E497" s="3" t="n">
        <v>7</v>
      </c>
      <c r="F497" s="12" t="n">
        <v>0.8571</v>
      </c>
      <c r="G497" s="12" t="n">
        <v>0.4</v>
      </c>
      <c r="H497" s="12" t="n">
        <v>0.75</v>
      </c>
      <c r="I497" s="12" t="n">
        <v>0.6163</v>
      </c>
      <c r="J497" s="12" t="n">
        <v>0.3861</v>
      </c>
      <c r="K497" s="12" t="n">
        <v>0.6005</v>
      </c>
      <c r="L497" s="3" t="n">
        <v>4</v>
      </c>
      <c r="M497" s="12" t="n">
        <f aca="false">Z497-W497</f>
        <v>0.0710370000000001</v>
      </c>
      <c r="N497" s="12" t="n">
        <f aca="false">IFERROR((Z497-J497)/L497,"")</f>
        <v>0.05360925</v>
      </c>
      <c r="O497" s="3" t="n">
        <v>13</v>
      </c>
      <c r="P497" s="13" t="b">
        <f aca="false">FALSE()</f>
        <v>0</v>
      </c>
      <c r="Q497" s="3" t="s">
        <v>201</v>
      </c>
      <c r="R497" s="12" t="n">
        <v>0.7189</v>
      </c>
      <c r="S497" s="12" t="n">
        <v>0.6113</v>
      </c>
      <c r="T497" s="3" t="n">
        <v>0.1689</v>
      </c>
      <c r="U497" s="12" t="n">
        <v>0.4556</v>
      </c>
      <c r="V497" s="12" t="n">
        <v>0.5366</v>
      </c>
      <c r="W497" s="12" t="n">
        <v>0.5295</v>
      </c>
      <c r="X497" s="3" t="n">
        <v>0.8454</v>
      </c>
      <c r="Y497" s="3" t="n">
        <v>0.6181</v>
      </c>
      <c r="Z497" s="14" t="n">
        <f aca="false">Assumptions!$B$3*R497+Assumptions!$B$4*S497+IF(AA497=1,Assumptions!$B$11,Assumptions!$B$5)*X497+IF(AA497=1,Assumptions!$B$12,Assumptions!$B$6)*T497+Assumptions!$B$7*U497+Assumptions!$B$8*V497+Assumptions!$B$9*Y497</f>
        <v>0.600537</v>
      </c>
      <c r="AA497" s="3" t="n">
        <v>0</v>
      </c>
    </row>
    <row r="498" customFormat="false" ht="15" hidden="false" customHeight="false" outlineLevel="0" collapsed="false">
      <c r="A498" s="3" t="s">
        <v>683</v>
      </c>
      <c r="B498" s="3" t="n">
        <v>495</v>
      </c>
      <c r="C498" s="11" t="str">
        <f aca="false">IF(M498&gt;=Assumptions!$B$17,"S+",IF(M498&gt;=Assumptions!$B$18,"S",IF(M498&gt;=Assumptions!$B$19,"A",IF(M498&gt;=Assumptions!$B$20,"B",IF(M498&gt;=Assumptions!$B$21,"C",IF(M498&gt;=Assumptions!$B$22,"D","F"))))))</f>
        <v>C</v>
      </c>
      <c r="D498" s="3" t="s">
        <v>253</v>
      </c>
      <c r="E498" s="3" t="n">
        <v>7</v>
      </c>
      <c r="F498" s="12" t="n">
        <v>0.8571</v>
      </c>
      <c r="G498" s="12" t="n">
        <v>0.4</v>
      </c>
      <c r="H498" s="12" t="n">
        <v>0.75</v>
      </c>
      <c r="I498" s="12" t="n">
        <v>0.6163</v>
      </c>
      <c r="J498" s="12" t="n">
        <v>0.3861</v>
      </c>
      <c r="K498" s="12" t="n">
        <v>0.6005</v>
      </c>
      <c r="L498" s="3" t="n">
        <v>4</v>
      </c>
      <c r="M498" s="12" t="n">
        <f aca="false">Z498-W498</f>
        <v>0.0710370000000001</v>
      </c>
      <c r="N498" s="12" t="n">
        <f aca="false">IFERROR((Z498-J498)/L498,"")</f>
        <v>0.05360925</v>
      </c>
      <c r="O498" s="3" t="n">
        <v>13</v>
      </c>
      <c r="P498" s="13" t="b">
        <f aca="false">FALSE()</f>
        <v>0</v>
      </c>
      <c r="Q498" s="3" t="s">
        <v>201</v>
      </c>
      <c r="R498" s="12" t="n">
        <v>0.7189</v>
      </c>
      <c r="S498" s="12" t="n">
        <v>0.6113</v>
      </c>
      <c r="T498" s="3" t="n">
        <v>0.1689</v>
      </c>
      <c r="U498" s="12" t="n">
        <v>0.4556</v>
      </c>
      <c r="V498" s="12" t="n">
        <v>0.5366</v>
      </c>
      <c r="W498" s="12" t="n">
        <v>0.5295</v>
      </c>
      <c r="X498" s="3" t="n">
        <v>0.8454</v>
      </c>
      <c r="Y498" s="3" t="n">
        <v>0.6181</v>
      </c>
      <c r="Z498" s="14" t="n">
        <f aca="false">Assumptions!$B$3*R498+Assumptions!$B$4*S498+IF(AA498=1,Assumptions!$B$11,Assumptions!$B$5)*X498+IF(AA498=1,Assumptions!$B$12,Assumptions!$B$6)*T498+Assumptions!$B$7*U498+Assumptions!$B$8*V498+Assumptions!$B$9*Y498</f>
        <v>0.600537</v>
      </c>
      <c r="AA498" s="3" t="n">
        <v>0</v>
      </c>
    </row>
    <row r="499" customFormat="false" ht="15" hidden="false" customHeight="false" outlineLevel="0" collapsed="false">
      <c r="A499" s="3" t="s">
        <v>684</v>
      </c>
      <c r="B499" s="3" t="n">
        <v>495</v>
      </c>
      <c r="C499" s="11" t="str">
        <f aca="false">IF(M499&gt;=Assumptions!$B$17,"S+",IF(M499&gt;=Assumptions!$B$18,"S",IF(M499&gt;=Assumptions!$B$19,"A",IF(M499&gt;=Assumptions!$B$20,"B",IF(M499&gt;=Assumptions!$B$21,"C",IF(M499&gt;=Assumptions!$B$22,"D","F"))))))</f>
        <v>C</v>
      </c>
      <c r="D499" s="3" t="s">
        <v>253</v>
      </c>
      <c r="E499" s="3" t="n">
        <v>7</v>
      </c>
      <c r="F499" s="12" t="n">
        <v>0.8571</v>
      </c>
      <c r="G499" s="12" t="n">
        <v>0.4</v>
      </c>
      <c r="H499" s="12" t="n">
        <v>0.75</v>
      </c>
      <c r="I499" s="12" t="n">
        <v>0.6163</v>
      </c>
      <c r="J499" s="12" t="n">
        <v>0.3861</v>
      </c>
      <c r="K499" s="12" t="n">
        <v>0.6005</v>
      </c>
      <c r="L499" s="3" t="n">
        <v>4</v>
      </c>
      <c r="M499" s="12" t="n">
        <f aca="false">Z499-W499</f>
        <v>0.0710370000000001</v>
      </c>
      <c r="N499" s="12" t="n">
        <f aca="false">IFERROR((Z499-J499)/L499,"")</f>
        <v>0.05360925</v>
      </c>
      <c r="O499" s="3" t="n">
        <v>13</v>
      </c>
      <c r="P499" s="13" t="b">
        <f aca="false">FALSE()</f>
        <v>0</v>
      </c>
      <c r="Q499" s="3" t="s">
        <v>201</v>
      </c>
      <c r="R499" s="12" t="n">
        <v>0.7189</v>
      </c>
      <c r="S499" s="12" t="n">
        <v>0.6113</v>
      </c>
      <c r="T499" s="3" t="n">
        <v>0.1689</v>
      </c>
      <c r="U499" s="12" t="n">
        <v>0.4556</v>
      </c>
      <c r="V499" s="12" t="n">
        <v>0.5366</v>
      </c>
      <c r="W499" s="12" t="n">
        <v>0.5295</v>
      </c>
      <c r="X499" s="3" t="n">
        <v>0.8454</v>
      </c>
      <c r="Y499" s="3" t="n">
        <v>0.6181</v>
      </c>
      <c r="Z499" s="14" t="n">
        <f aca="false">Assumptions!$B$3*R499+Assumptions!$B$4*S499+IF(AA499=1,Assumptions!$B$11,Assumptions!$B$5)*X499+IF(AA499=1,Assumptions!$B$12,Assumptions!$B$6)*T499+Assumptions!$B$7*U499+Assumptions!$B$8*V499+Assumptions!$B$9*Y499</f>
        <v>0.600537</v>
      </c>
      <c r="AA499" s="3" t="n">
        <v>0</v>
      </c>
    </row>
    <row r="500" customFormat="false" ht="15" hidden="false" customHeight="false" outlineLevel="0" collapsed="false">
      <c r="A500" s="3" t="s">
        <v>685</v>
      </c>
      <c r="B500" s="3" t="n">
        <v>495</v>
      </c>
      <c r="C500" s="11" t="str">
        <f aca="false">IF(M500&gt;=Assumptions!$B$17,"S+",IF(M500&gt;=Assumptions!$B$18,"S",IF(M500&gt;=Assumptions!$B$19,"A",IF(M500&gt;=Assumptions!$B$20,"B",IF(M500&gt;=Assumptions!$B$21,"C",IF(M500&gt;=Assumptions!$B$22,"D","F"))))))</f>
        <v>C</v>
      </c>
      <c r="D500" s="3" t="s">
        <v>253</v>
      </c>
      <c r="E500" s="3" t="n">
        <v>7</v>
      </c>
      <c r="F500" s="12" t="n">
        <v>0.8571</v>
      </c>
      <c r="G500" s="12" t="n">
        <v>0.4</v>
      </c>
      <c r="H500" s="12" t="n">
        <v>0.75</v>
      </c>
      <c r="I500" s="12" t="n">
        <v>0.6163</v>
      </c>
      <c r="J500" s="12" t="n">
        <v>0.3861</v>
      </c>
      <c r="K500" s="12" t="n">
        <v>0.6005</v>
      </c>
      <c r="L500" s="3" t="n">
        <v>4</v>
      </c>
      <c r="M500" s="12" t="n">
        <f aca="false">Z500-W500</f>
        <v>0.0710370000000001</v>
      </c>
      <c r="N500" s="12" t="n">
        <f aca="false">IFERROR((Z500-J500)/L500,"")</f>
        <v>0.05360925</v>
      </c>
      <c r="O500" s="3" t="n">
        <v>13</v>
      </c>
      <c r="P500" s="13" t="b">
        <f aca="false">FALSE()</f>
        <v>0</v>
      </c>
      <c r="Q500" s="3" t="s">
        <v>201</v>
      </c>
      <c r="R500" s="12" t="n">
        <v>0.7189</v>
      </c>
      <c r="S500" s="12" t="n">
        <v>0.6113</v>
      </c>
      <c r="T500" s="3" t="n">
        <v>0.1689</v>
      </c>
      <c r="U500" s="12" t="n">
        <v>0.4556</v>
      </c>
      <c r="V500" s="12" t="n">
        <v>0.5366</v>
      </c>
      <c r="W500" s="12" t="n">
        <v>0.5295</v>
      </c>
      <c r="X500" s="3" t="n">
        <v>0.8454</v>
      </c>
      <c r="Y500" s="3" t="n">
        <v>0.6181</v>
      </c>
      <c r="Z500" s="14" t="n">
        <f aca="false">Assumptions!$B$3*R500+Assumptions!$B$4*S500+IF(AA500=1,Assumptions!$B$11,Assumptions!$B$5)*X500+IF(AA500=1,Assumptions!$B$12,Assumptions!$B$6)*T500+Assumptions!$B$7*U500+Assumptions!$B$8*V500+Assumptions!$B$9*Y500</f>
        <v>0.600537</v>
      </c>
      <c r="AA500" s="3" t="n">
        <v>0</v>
      </c>
    </row>
    <row r="501" customFormat="false" ht="15" hidden="false" customHeight="false" outlineLevel="0" collapsed="false">
      <c r="A501" s="3" t="s">
        <v>686</v>
      </c>
      <c r="B501" s="3" t="n">
        <v>495</v>
      </c>
      <c r="C501" s="11" t="str">
        <f aca="false">IF(M501&gt;=Assumptions!$B$17,"S+",IF(M501&gt;=Assumptions!$B$18,"S",IF(M501&gt;=Assumptions!$B$19,"A",IF(M501&gt;=Assumptions!$B$20,"B",IF(M501&gt;=Assumptions!$B$21,"C",IF(M501&gt;=Assumptions!$B$22,"D","F"))))))</f>
        <v>C</v>
      </c>
      <c r="D501" s="3" t="s">
        <v>253</v>
      </c>
      <c r="E501" s="3" t="n">
        <v>7</v>
      </c>
      <c r="F501" s="12" t="n">
        <v>0.8571</v>
      </c>
      <c r="G501" s="12" t="n">
        <v>0.4</v>
      </c>
      <c r="H501" s="12" t="n">
        <v>0.75</v>
      </c>
      <c r="I501" s="12" t="n">
        <v>0.6163</v>
      </c>
      <c r="J501" s="12" t="n">
        <v>0.3861</v>
      </c>
      <c r="K501" s="12" t="n">
        <v>0.6005</v>
      </c>
      <c r="L501" s="3" t="n">
        <v>4</v>
      </c>
      <c r="M501" s="12" t="n">
        <f aca="false">Z501-W501</f>
        <v>0.0710370000000001</v>
      </c>
      <c r="N501" s="12" t="n">
        <f aca="false">IFERROR((Z501-J501)/L501,"")</f>
        <v>0.05360925</v>
      </c>
      <c r="O501" s="3" t="n">
        <v>13</v>
      </c>
      <c r="P501" s="13" t="b">
        <f aca="false">FALSE()</f>
        <v>0</v>
      </c>
      <c r="Q501" s="3" t="s">
        <v>201</v>
      </c>
      <c r="R501" s="12" t="n">
        <v>0.7189</v>
      </c>
      <c r="S501" s="12" t="n">
        <v>0.6113</v>
      </c>
      <c r="T501" s="3" t="n">
        <v>0.1689</v>
      </c>
      <c r="U501" s="12" t="n">
        <v>0.4556</v>
      </c>
      <c r="V501" s="12" t="n">
        <v>0.5366</v>
      </c>
      <c r="W501" s="12" t="n">
        <v>0.5295</v>
      </c>
      <c r="X501" s="3" t="n">
        <v>0.8454</v>
      </c>
      <c r="Y501" s="3" t="n">
        <v>0.6181</v>
      </c>
      <c r="Z501" s="14" t="n">
        <f aca="false">Assumptions!$B$3*R501+Assumptions!$B$4*S501+IF(AA501=1,Assumptions!$B$11,Assumptions!$B$5)*X501+IF(AA501=1,Assumptions!$B$12,Assumptions!$B$6)*T501+Assumptions!$B$7*U501+Assumptions!$B$8*V501+Assumptions!$B$9*Y501</f>
        <v>0.600537</v>
      </c>
      <c r="AA501" s="3" t="n">
        <v>0</v>
      </c>
    </row>
    <row r="502" customFormat="false" ht="15" hidden="false" customHeight="false" outlineLevel="0" collapsed="false">
      <c r="A502" s="3" t="s">
        <v>687</v>
      </c>
      <c r="B502" s="3" t="n">
        <v>495</v>
      </c>
      <c r="C502" s="11" t="str">
        <f aca="false">IF(M502&gt;=Assumptions!$B$17,"S+",IF(M502&gt;=Assumptions!$B$18,"S",IF(M502&gt;=Assumptions!$B$19,"A",IF(M502&gt;=Assumptions!$B$20,"B",IF(M502&gt;=Assumptions!$B$21,"C",IF(M502&gt;=Assumptions!$B$22,"D","F"))))))</f>
        <v>C</v>
      </c>
      <c r="D502" s="3" t="s">
        <v>253</v>
      </c>
      <c r="E502" s="3" t="n">
        <v>7</v>
      </c>
      <c r="F502" s="12" t="n">
        <v>0.8571</v>
      </c>
      <c r="G502" s="12" t="n">
        <v>0.4</v>
      </c>
      <c r="H502" s="12" t="n">
        <v>0.75</v>
      </c>
      <c r="I502" s="12" t="n">
        <v>0.6163</v>
      </c>
      <c r="J502" s="12" t="n">
        <v>0.3861</v>
      </c>
      <c r="K502" s="12" t="n">
        <v>0.6005</v>
      </c>
      <c r="L502" s="3" t="n">
        <v>4</v>
      </c>
      <c r="M502" s="12" t="n">
        <f aca="false">Z502-W502</f>
        <v>0.0710370000000001</v>
      </c>
      <c r="N502" s="12" t="n">
        <f aca="false">IFERROR((Z502-J502)/L502,"")</f>
        <v>0.05360925</v>
      </c>
      <c r="O502" s="3" t="n">
        <v>13</v>
      </c>
      <c r="P502" s="13" t="b">
        <f aca="false">FALSE()</f>
        <v>0</v>
      </c>
      <c r="Q502" s="3" t="s">
        <v>201</v>
      </c>
      <c r="R502" s="12" t="n">
        <v>0.7189</v>
      </c>
      <c r="S502" s="12" t="n">
        <v>0.6113</v>
      </c>
      <c r="T502" s="3" t="n">
        <v>0.1689</v>
      </c>
      <c r="U502" s="12" t="n">
        <v>0.4556</v>
      </c>
      <c r="V502" s="12" t="n">
        <v>0.5366</v>
      </c>
      <c r="W502" s="12" t="n">
        <v>0.5295</v>
      </c>
      <c r="X502" s="3" t="n">
        <v>0.8454</v>
      </c>
      <c r="Y502" s="3" t="n">
        <v>0.6181</v>
      </c>
      <c r="Z502" s="14" t="n">
        <f aca="false">Assumptions!$B$3*R502+Assumptions!$B$4*S502+IF(AA502=1,Assumptions!$B$11,Assumptions!$B$5)*X502+IF(AA502=1,Assumptions!$B$12,Assumptions!$B$6)*T502+Assumptions!$B$7*U502+Assumptions!$B$8*V502+Assumptions!$B$9*Y502</f>
        <v>0.600537</v>
      </c>
      <c r="AA502" s="3" t="n">
        <v>0</v>
      </c>
    </row>
    <row r="503" customFormat="false" ht="15" hidden="false" customHeight="false" outlineLevel="0" collapsed="false">
      <c r="A503" s="3" t="s">
        <v>688</v>
      </c>
      <c r="B503" s="3" t="n">
        <v>495</v>
      </c>
      <c r="C503" s="11" t="str">
        <f aca="false">IF(M503&gt;=Assumptions!$B$17,"S+",IF(M503&gt;=Assumptions!$B$18,"S",IF(M503&gt;=Assumptions!$B$19,"A",IF(M503&gt;=Assumptions!$B$20,"B",IF(M503&gt;=Assumptions!$B$21,"C",IF(M503&gt;=Assumptions!$B$22,"D","F"))))))</f>
        <v>C</v>
      </c>
      <c r="D503" s="3" t="s">
        <v>253</v>
      </c>
      <c r="E503" s="3" t="n">
        <v>7</v>
      </c>
      <c r="F503" s="12" t="n">
        <v>0.8571</v>
      </c>
      <c r="G503" s="12" t="n">
        <v>0.4</v>
      </c>
      <c r="H503" s="12" t="n">
        <v>0.75</v>
      </c>
      <c r="I503" s="12" t="n">
        <v>0.6163</v>
      </c>
      <c r="J503" s="12" t="n">
        <v>0.3861</v>
      </c>
      <c r="K503" s="12" t="n">
        <v>0.6005</v>
      </c>
      <c r="L503" s="3" t="n">
        <v>5</v>
      </c>
      <c r="M503" s="12" t="n">
        <f aca="false">Z503-W503</f>
        <v>0.0710370000000001</v>
      </c>
      <c r="N503" s="12" t="n">
        <f aca="false">IFERROR((Z503-J503)/L503,"")</f>
        <v>0.0428874</v>
      </c>
      <c r="O503" s="3" t="n">
        <v>13</v>
      </c>
      <c r="P503" s="13" t="b">
        <f aca="false">FALSE()</f>
        <v>0</v>
      </c>
      <c r="Q503" s="3" t="s">
        <v>166</v>
      </c>
      <c r="R503" s="12" t="n">
        <v>0.7189</v>
      </c>
      <c r="S503" s="12" t="n">
        <v>0.6113</v>
      </c>
      <c r="T503" s="3" t="n">
        <v>0.1689</v>
      </c>
      <c r="U503" s="12" t="n">
        <v>0.4556</v>
      </c>
      <c r="V503" s="12" t="n">
        <v>0.5366</v>
      </c>
      <c r="W503" s="12" t="n">
        <v>0.5295</v>
      </c>
      <c r="X503" s="3" t="n">
        <v>0.8454</v>
      </c>
      <c r="Y503" s="3" t="n">
        <v>0.6181</v>
      </c>
      <c r="Z503" s="14" t="n">
        <f aca="false">Assumptions!$B$3*R503+Assumptions!$B$4*S503+IF(AA503=1,Assumptions!$B$11,Assumptions!$B$5)*X503+IF(AA503=1,Assumptions!$B$12,Assumptions!$B$6)*T503+Assumptions!$B$7*U503+Assumptions!$B$8*V503+Assumptions!$B$9*Y503</f>
        <v>0.600537</v>
      </c>
      <c r="AA503" s="3" t="n">
        <v>0</v>
      </c>
    </row>
    <row r="504" customFormat="false" ht="15" hidden="false" customHeight="false" outlineLevel="0" collapsed="false">
      <c r="A504" s="3" t="s">
        <v>689</v>
      </c>
      <c r="B504" s="3" t="n">
        <v>495</v>
      </c>
      <c r="C504" s="11" t="str">
        <f aca="false">IF(M504&gt;=Assumptions!$B$17,"S+",IF(M504&gt;=Assumptions!$B$18,"S",IF(M504&gt;=Assumptions!$B$19,"A",IF(M504&gt;=Assumptions!$B$20,"B",IF(M504&gt;=Assumptions!$B$21,"C",IF(M504&gt;=Assumptions!$B$22,"D","F"))))))</f>
        <v>C</v>
      </c>
      <c r="D504" s="3" t="s">
        <v>253</v>
      </c>
      <c r="E504" s="3" t="n">
        <v>7</v>
      </c>
      <c r="F504" s="12" t="n">
        <v>0.8571</v>
      </c>
      <c r="G504" s="12" t="n">
        <v>0.4</v>
      </c>
      <c r="H504" s="12" t="n">
        <v>0.75</v>
      </c>
      <c r="I504" s="12" t="n">
        <v>0.6163</v>
      </c>
      <c r="J504" s="12" t="n">
        <v>0.3861</v>
      </c>
      <c r="K504" s="12" t="n">
        <v>0.6005</v>
      </c>
      <c r="L504" s="3" t="n">
        <v>5</v>
      </c>
      <c r="M504" s="12" t="n">
        <f aca="false">Z504-W504</f>
        <v>0.0710370000000001</v>
      </c>
      <c r="N504" s="12" t="n">
        <f aca="false">IFERROR((Z504-J504)/L504,"")</f>
        <v>0.0428874</v>
      </c>
      <c r="O504" s="3" t="n">
        <v>13</v>
      </c>
      <c r="P504" s="13" t="b">
        <f aca="false">FALSE()</f>
        <v>0</v>
      </c>
      <c r="Q504" s="3" t="s">
        <v>166</v>
      </c>
      <c r="R504" s="12" t="n">
        <v>0.7189</v>
      </c>
      <c r="S504" s="12" t="n">
        <v>0.6113</v>
      </c>
      <c r="T504" s="3" t="n">
        <v>0.1689</v>
      </c>
      <c r="U504" s="12" t="n">
        <v>0.4556</v>
      </c>
      <c r="V504" s="12" t="n">
        <v>0.5366</v>
      </c>
      <c r="W504" s="12" t="n">
        <v>0.5295</v>
      </c>
      <c r="X504" s="3" t="n">
        <v>0.8454</v>
      </c>
      <c r="Y504" s="3" t="n">
        <v>0.6181</v>
      </c>
      <c r="Z504" s="14" t="n">
        <f aca="false">Assumptions!$B$3*R504+Assumptions!$B$4*S504+IF(AA504=1,Assumptions!$B$11,Assumptions!$B$5)*X504+IF(AA504=1,Assumptions!$B$12,Assumptions!$B$6)*T504+Assumptions!$B$7*U504+Assumptions!$B$8*V504+Assumptions!$B$9*Y504</f>
        <v>0.600537</v>
      </c>
      <c r="AA504" s="3" t="n">
        <v>0</v>
      </c>
    </row>
    <row r="505" customFormat="false" ht="15" hidden="false" customHeight="false" outlineLevel="0" collapsed="false">
      <c r="A505" s="3" t="s">
        <v>690</v>
      </c>
      <c r="B505" s="3" t="n">
        <v>495</v>
      </c>
      <c r="C505" s="11" t="str">
        <f aca="false">IF(M505&gt;=Assumptions!$B$17,"S+",IF(M505&gt;=Assumptions!$B$18,"S",IF(M505&gt;=Assumptions!$B$19,"A",IF(M505&gt;=Assumptions!$B$20,"B",IF(M505&gt;=Assumptions!$B$21,"C",IF(M505&gt;=Assumptions!$B$22,"D","F"))))))</f>
        <v>C</v>
      </c>
      <c r="D505" s="3" t="s">
        <v>253</v>
      </c>
      <c r="E505" s="3" t="n">
        <v>7</v>
      </c>
      <c r="F505" s="12" t="n">
        <v>0.8571</v>
      </c>
      <c r="G505" s="12" t="n">
        <v>0.4</v>
      </c>
      <c r="H505" s="12" t="n">
        <v>0.75</v>
      </c>
      <c r="I505" s="12" t="n">
        <v>0.6163</v>
      </c>
      <c r="J505" s="12" t="n">
        <v>0.3861</v>
      </c>
      <c r="K505" s="12" t="n">
        <v>0.6005</v>
      </c>
      <c r="L505" s="3" t="n">
        <v>4</v>
      </c>
      <c r="M505" s="12" t="n">
        <f aca="false">Z505-W505</f>
        <v>0.0710370000000001</v>
      </c>
      <c r="N505" s="12" t="n">
        <f aca="false">IFERROR((Z505-J505)/L505,"")</f>
        <v>0.05360925</v>
      </c>
      <c r="O505" s="3" t="n">
        <v>13</v>
      </c>
      <c r="P505" s="13" t="b">
        <f aca="false">FALSE()</f>
        <v>0</v>
      </c>
      <c r="Q505" s="3" t="s">
        <v>201</v>
      </c>
      <c r="R505" s="12" t="n">
        <v>0.7189</v>
      </c>
      <c r="S505" s="12" t="n">
        <v>0.6113</v>
      </c>
      <c r="T505" s="3" t="n">
        <v>0.1689</v>
      </c>
      <c r="U505" s="12" t="n">
        <v>0.4556</v>
      </c>
      <c r="V505" s="12" t="n">
        <v>0.5366</v>
      </c>
      <c r="W505" s="12" t="n">
        <v>0.5295</v>
      </c>
      <c r="X505" s="3" t="n">
        <v>0.8454</v>
      </c>
      <c r="Y505" s="3" t="n">
        <v>0.6181</v>
      </c>
      <c r="Z505" s="14" t="n">
        <f aca="false">Assumptions!$B$3*R505+Assumptions!$B$4*S505+IF(AA505=1,Assumptions!$B$11,Assumptions!$B$5)*X505+IF(AA505=1,Assumptions!$B$12,Assumptions!$B$6)*T505+Assumptions!$B$7*U505+Assumptions!$B$8*V505+Assumptions!$B$9*Y505</f>
        <v>0.600537</v>
      </c>
      <c r="AA505" s="3" t="n">
        <v>0</v>
      </c>
    </row>
    <row r="506" customFormat="false" ht="15" hidden="false" customHeight="false" outlineLevel="0" collapsed="false">
      <c r="A506" s="3" t="s">
        <v>691</v>
      </c>
      <c r="B506" s="3" t="n">
        <v>495</v>
      </c>
      <c r="C506" s="11" t="str">
        <f aca="false">IF(M506&gt;=Assumptions!$B$17,"S+",IF(M506&gt;=Assumptions!$B$18,"S",IF(M506&gt;=Assumptions!$B$19,"A",IF(M506&gt;=Assumptions!$B$20,"B",IF(M506&gt;=Assumptions!$B$21,"C",IF(M506&gt;=Assumptions!$B$22,"D","F"))))))</f>
        <v>C</v>
      </c>
      <c r="D506" s="3" t="s">
        <v>253</v>
      </c>
      <c r="E506" s="3" t="n">
        <v>7</v>
      </c>
      <c r="F506" s="12" t="n">
        <v>0.8571</v>
      </c>
      <c r="G506" s="12" t="n">
        <v>0.4</v>
      </c>
      <c r="H506" s="12" t="n">
        <v>0.75</v>
      </c>
      <c r="I506" s="12" t="n">
        <v>0.6163</v>
      </c>
      <c r="J506" s="12" t="n">
        <v>0.3861</v>
      </c>
      <c r="K506" s="12" t="n">
        <v>0.6005</v>
      </c>
      <c r="L506" s="3" t="n">
        <v>4</v>
      </c>
      <c r="M506" s="12" t="n">
        <f aca="false">Z506-W506</f>
        <v>0.0710370000000001</v>
      </c>
      <c r="N506" s="12" t="n">
        <f aca="false">IFERROR((Z506-J506)/L506,"")</f>
        <v>0.05360925</v>
      </c>
      <c r="O506" s="3" t="n">
        <v>13</v>
      </c>
      <c r="P506" s="13" t="b">
        <f aca="false">FALSE()</f>
        <v>0</v>
      </c>
      <c r="Q506" s="3" t="s">
        <v>201</v>
      </c>
      <c r="R506" s="12" t="n">
        <v>0.7189</v>
      </c>
      <c r="S506" s="12" t="n">
        <v>0.6113</v>
      </c>
      <c r="T506" s="3" t="n">
        <v>0.1689</v>
      </c>
      <c r="U506" s="12" t="n">
        <v>0.4556</v>
      </c>
      <c r="V506" s="12" t="n">
        <v>0.5366</v>
      </c>
      <c r="W506" s="12" t="n">
        <v>0.5295</v>
      </c>
      <c r="X506" s="3" t="n">
        <v>0.8454</v>
      </c>
      <c r="Y506" s="3" t="n">
        <v>0.6181</v>
      </c>
      <c r="Z506" s="14" t="n">
        <f aca="false">Assumptions!$B$3*R506+Assumptions!$B$4*S506+IF(AA506=1,Assumptions!$B$11,Assumptions!$B$5)*X506+IF(AA506=1,Assumptions!$B$12,Assumptions!$B$6)*T506+Assumptions!$B$7*U506+Assumptions!$B$8*V506+Assumptions!$B$9*Y506</f>
        <v>0.600537</v>
      </c>
      <c r="AA506" s="3" t="n">
        <v>0</v>
      </c>
    </row>
    <row r="507" customFormat="false" ht="15" hidden="false" customHeight="false" outlineLevel="0" collapsed="false">
      <c r="A507" s="3" t="s">
        <v>692</v>
      </c>
      <c r="B507" s="3" t="n">
        <v>495</v>
      </c>
      <c r="C507" s="11" t="str">
        <f aca="false">IF(M507&gt;=Assumptions!$B$17,"S+",IF(M507&gt;=Assumptions!$B$18,"S",IF(M507&gt;=Assumptions!$B$19,"A",IF(M507&gt;=Assumptions!$B$20,"B",IF(M507&gt;=Assumptions!$B$21,"C",IF(M507&gt;=Assumptions!$B$22,"D","F"))))))</f>
        <v>C</v>
      </c>
      <c r="D507" s="3" t="s">
        <v>253</v>
      </c>
      <c r="E507" s="3" t="n">
        <v>7</v>
      </c>
      <c r="F507" s="12" t="n">
        <v>0.8571</v>
      </c>
      <c r="G507" s="12" t="n">
        <v>0.4</v>
      </c>
      <c r="H507" s="12" t="n">
        <v>0.75</v>
      </c>
      <c r="I507" s="12" t="n">
        <v>0.6163</v>
      </c>
      <c r="J507" s="12" t="n">
        <v>0.3861</v>
      </c>
      <c r="K507" s="12" t="n">
        <v>0.6005</v>
      </c>
      <c r="L507" s="3" t="n">
        <v>4</v>
      </c>
      <c r="M507" s="12" t="n">
        <f aca="false">Z507-W507</f>
        <v>0.0710370000000001</v>
      </c>
      <c r="N507" s="12" t="n">
        <f aca="false">IFERROR((Z507-J507)/L507,"")</f>
        <v>0.05360925</v>
      </c>
      <c r="O507" s="3" t="n">
        <v>13</v>
      </c>
      <c r="P507" s="13" t="b">
        <f aca="false">FALSE()</f>
        <v>0</v>
      </c>
      <c r="Q507" s="3" t="s">
        <v>201</v>
      </c>
      <c r="R507" s="12" t="n">
        <v>0.7189</v>
      </c>
      <c r="S507" s="12" t="n">
        <v>0.6113</v>
      </c>
      <c r="T507" s="3" t="n">
        <v>0.1689</v>
      </c>
      <c r="U507" s="12" t="n">
        <v>0.4556</v>
      </c>
      <c r="V507" s="12" t="n">
        <v>0.5366</v>
      </c>
      <c r="W507" s="12" t="n">
        <v>0.5295</v>
      </c>
      <c r="X507" s="3" t="n">
        <v>0.8454</v>
      </c>
      <c r="Y507" s="3" t="n">
        <v>0.6181</v>
      </c>
      <c r="Z507" s="14" t="n">
        <f aca="false">Assumptions!$B$3*R507+Assumptions!$B$4*S507+IF(AA507=1,Assumptions!$B$11,Assumptions!$B$5)*X507+IF(AA507=1,Assumptions!$B$12,Assumptions!$B$6)*T507+Assumptions!$B$7*U507+Assumptions!$B$8*V507+Assumptions!$B$9*Y507</f>
        <v>0.600537</v>
      </c>
      <c r="AA507" s="3" t="n">
        <v>0</v>
      </c>
    </row>
    <row r="508" customFormat="false" ht="15" hidden="false" customHeight="false" outlineLevel="0" collapsed="false">
      <c r="A508" s="3" t="s">
        <v>693</v>
      </c>
      <c r="B508" s="3" t="n">
        <v>495</v>
      </c>
      <c r="C508" s="11" t="str">
        <f aca="false">IF(M508&gt;=Assumptions!$B$17,"S+",IF(M508&gt;=Assumptions!$B$18,"S",IF(M508&gt;=Assumptions!$B$19,"A",IF(M508&gt;=Assumptions!$B$20,"B",IF(M508&gt;=Assumptions!$B$21,"C",IF(M508&gt;=Assumptions!$B$22,"D","F"))))))</f>
        <v>C</v>
      </c>
      <c r="D508" s="3" t="s">
        <v>253</v>
      </c>
      <c r="E508" s="3" t="n">
        <v>7</v>
      </c>
      <c r="F508" s="12" t="n">
        <v>0.8571</v>
      </c>
      <c r="G508" s="12" t="n">
        <v>0.4</v>
      </c>
      <c r="H508" s="12" t="n">
        <v>0.75</v>
      </c>
      <c r="I508" s="12" t="n">
        <v>0.6163</v>
      </c>
      <c r="J508" s="12" t="n">
        <v>0.3861</v>
      </c>
      <c r="K508" s="12" t="n">
        <v>0.6005</v>
      </c>
      <c r="L508" s="3" t="n">
        <v>4</v>
      </c>
      <c r="M508" s="12" t="n">
        <f aca="false">Z508-W508</f>
        <v>0.0710370000000001</v>
      </c>
      <c r="N508" s="12" t="n">
        <f aca="false">IFERROR((Z508-J508)/L508,"")</f>
        <v>0.05360925</v>
      </c>
      <c r="O508" s="3" t="n">
        <v>13</v>
      </c>
      <c r="P508" s="13" t="b">
        <f aca="false">FALSE()</f>
        <v>0</v>
      </c>
      <c r="Q508" s="3" t="s">
        <v>201</v>
      </c>
      <c r="R508" s="12" t="n">
        <v>0.7189</v>
      </c>
      <c r="S508" s="12" t="n">
        <v>0.6113</v>
      </c>
      <c r="T508" s="3" t="n">
        <v>0.1689</v>
      </c>
      <c r="U508" s="12" t="n">
        <v>0.4556</v>
      </c>
      <c r="V508" s="12" t="n">
        <v>0.5366</v>
      </c>
      <c r="W508" s="12" t="n">
        <v>0.5295</v>
      </c>
      <c r="X508" s="3" t="n">
        <v>0.8454</v>
      </c>
      <c r="Y508" s="3" t="n">
        <v>0.6181</v>
      </c>
      <c r="Z508" s="14" t="n">
        <f aca="false">Assumptions!$B$3*R508+Assumptions!$B$4*S508+IF(AA508=1,Assumptions!$B$11,Assumptions!$B$5)*X508+IF(AA508=1,Assumptions!$B$12,Assumptions!$B$6)*T508+Assumptions!$B$7*U508+Assumptions!$B$8*V508+Assumptions!$B$9*Y508</f>
        <v>0.600537</v>
      </c>
      <c r="AA508" s="3" t="n">
        <v>0</v>
      </c>
    </row>
    <row r="509" customFormat="false" ht="15" hidden="false" customHeight="false" outlineLevel="0" collapsed="false">
      <c r="A509" s="3" t="s">
        <v>694</v>
      </c>
      <c r="B509" s="3" t="n">
        <v>495</v>
      </c>
      <c r="C509" s="11" t="str">
        <f aca="false">IF(M509&gt;=Assumptions!$B$17,"S+",IF(M509&gt;=Assumptions!$B$18,"S",IF(M509&gt;=Assumptions!$B$19,"A",IF(M509&gt;=Assumptions!$B$20,"B",IF(M509&gt;=Assumptions!$B$21,"C",IF(M509&gt;=Assumptions!$B$22,"D","F"))))))</f>
        <v>C</v>
      </c>
      <c r="D509" s="3" t="s">
        <v>253</v>
      </c>
      <c r="E509" s="3" t="n">
        <v>7</v>
      </c>
      <c r="F509" s="12" t="n">
        <v>0.8571</v>
      </c>
      <c r="G509" s="12" t="n">
        <v>0.4</v>
      </c>
      <c r="H509" s="12" t="n">
        <v>0.75</v>
      </c>
      <c r="I509" s="12" t="n">
        <v>0.6163</v>
      </c>
      <c r="J509" s="12" t="n">
        <v>0.3861</v>
      </c>
      <c r="K509" s="12" t="n">
        <v>0.6005</v>
      </c>
      <c r="L509" s="3" t="n">
        <v>4</v>
      </c>
      <c r="M509" s="12" t="n">
        <f aca="false">Z509-W509</f>
        <v>0.0710370000000001</v>
      </c>
      <c r="N509" s="12" t="n">
        <f aca="false">IFERROR((Z509-J509)/L509,"")</f>
        <v>0.05360925</v>
      </c>
      <c r="O509" s="3" t="n">
        <v>13</v>
      </c>
      <c r="P509" s="13" t="b">
        <f aca="false">FALSE()</f>
        <v>0</v>
      </c>
      <c r="Q509" s="3" t="s">
        <v>201</v>
      </c>
      <c r="R509" s="12" t="n">
        <v>0.7189</v>
      </c>
      <c r="S509" s="12" t="n">
        <v>0.6113</v>
      </c>
      <c r="T509" s="3" t="n">
        <v>0.1689</v>
      </c>
      <c r="U509" s="12" t="n">
        <v>0.4556</v>
      </c>
      <c r="V509" s="12" t="n">
        <v>0.5366</v>
      </c>
      <c r="W509" s="12" t="n">
        <v>0.5295</v>
      </c>
      <c r="X509" s="3" t="n">
        <v>0.8454</v>
      </c>
      <c r="Y509" s="3" t="n">
        <v>0.6181</v>
      </c>
      <c r="Z509" s="14" t="n">
        <f aca="false">Assumptions!$B$3*R509+Assumptions!$B$4*S509+IF(AA509=1,Assumptions!$B$11,Assumptions!$B$5)*X509+IF(AA509=1,Assumptions!$B$12,Assumptions!$B$6)*T509+Assumptions!$B$7*U509+Assumptions!$B$8*V509+Assumptions!$B$9*Y509</f>
        <v>0.600537</v>
      </c>
      <c r="AA509" s="3" t="n">
        <v>0</v>
      </c>
    </row>
    <row r="510" customFormat="false" ht="15" hidden="false" customHeight="false" outlineLevel="0" collapsed="false">
      <c r="A510" s="3" t="s">
        <v>695</v>
      </c>
      <c r="B510" s="3" t="n">
        <v>495</v>
      </c>
      <c r="C510" s="11" t="str">
        <f aca="false">IF(M510&gt;=Assumptions!$B$17,"S+",IF(M510&gt;=Assumptions!$B$18,"S",IF(M510&gt;=Assumptions!$B$19,"A",IF(M510&gt;=Assumptions!$B$20,"B",IF(M510&gt;=Assumptions!$B$21,"C",IF(M510&gt;=Assumptions!$B$22,"D","F"))))))</f>
        <v>C</v>
      </c>
      <c r="D510" s="3" t="s">
        <v>253</v>
      </c>
      <c r="E510" s="3" t="n">
        <v>7</v>
      </c>
      <c r="F510" s="12" t="n">
        <v>0.8571</v>
      </c>
      <c r="G510" s="12" t="n">
        <v>0.4</v>
      </c>
      <c r="H510" s="12" t="n">
        <v>0.75</v>
      </c>
      <c r="I510" s="12" t="n">
        <v>0.6163</v>
      </c>
      <c r="J510" s="12" t="n">
        <v>0.3861</v>
      </c>
      <c r="K510" s="12" t="n">
        <v>0.6005</v>
      </c>
      <c r="L510" s="3" t="n">
        <v>4</v>
      </c>
      <c r="M510" s="12" t="n">
        <f aca="false">Z510-W510</f>
        <v>0.0710370000000001</v>
      </c>
      <c r="N510" s="12" t="n">
        <f aca="false">IFERROR((Z510-J510)/L510,"")</f>
        <v>0.05360925</v>
      </c>
      <c r="O510" s="3" t="n">
        <v>13</v>
      </c>
      <c r="P510" s="13" t="b">
        <f aca="false">FALSE()</f>
        <v>0</v>
      </c>
      <c r="Q510" s="3" t="s">
        <v>201</v>
      </c>
      <c r="R510" s="12" t="n">
        <v>0.7189</v>
      </c>
      <c r="S510" s="12" t="n">
        <v>0.6113</v>
      </c>
      <c r="T510" s="3" t="n">
        <v>0.1689</v>
      </c>
      <c r="U510" s="12" t="n">
        <v>0.4556</v>
      </c>
      <c r="V510" s="12" t="n">
        <v>0.5366</v>
      </c>
      <c r="W510" s="12" t="n">
        <v>0.5295</v>
      </c>
      <c r="X510" s="3" t="n">
        <v>0.8454</v>
      </c>
      <c r="Y510" s="3" t="n">
        <v>0.6181</v>
      </c>
      <c r="Z510" s="14" t="n">
        <f aca="false">Assumptions!$B$3*R510+Assumptions!$B$4*S510+IF(AA510=1,Assumptions!$B$11,Assumptions!$B$5)*X510+IF(AA510=1,Assumptions!$B$12,Assumptions!$B$6)*T510+Assumptions!$B$7*U510+Assumptions!$B$8*V510+Assumptions!$B$9*Y510</f>
        <v>0.600537</v>
      </c>
      <c r="AA510" s="3" t="n">
        <v>0</v>
      </c>
    </row>
    <row r="511" customFormat="false" ht="15" hidden="false" customHeight="false" outlineLevel="0" collapsed="false">
      <c r="A511" s="3" t="s">
        <v>696</v>
      </c>
      <c r="B511" s="3" t="n">
        <v>495</v>
      </c>
      <c r="C511" s="11" t="str">
        <f aca="false">IF(M511&gt;=Assumptions!$B$17,"S+",IF(M511&gt;=Assumptions!$B$18,"S",IF(M511&gt;=Assumptions!$B$19,"A",IF(M511&gt;=Assumptions!$B$20,"B",IF(M511&gt;=Assumptions!$B$21,"C",IF(M511&gt;=Assumptions!$B$22,"D","F"))))))</f>
        <v>C</v>
      </c>
      <c r="D511" s="3" t="s">
        <v>253</v>
      </c>
      <c r="E511" s="3" t="n">
        <v>7</v>
      </c>
      <c r="F511" s="12" t="n">
        <v>0.8571</v>
      </c>
      <c r="G511" s="12" t="n">
        <v>0.4</v>
      </c>
      <c r="H511" s="12" t="n">
        <v>0.75</v>
      </c>
      <c r="I511" s="12" t="n">
        <v>0.6163</v>
      </c>
      <c r="J511" s="12" t="n">
        <v>0.3861</v>
      </c>
      <c r="K511" s="12" t="n">
        <v>0.6005</v>
      </c>
      <c r="L511" s="3" t="n">
        <v>4</v>
      </c>
      <c r="M511" s="12" t="n">
        <f aca="false">Z511-W511</f>
        <v>0.0710370000000001</v>
      </c>
      <c r="N511" s="12" t="n">
        <f aca="false">IFERROR((Z511-J511)/L511,"")</f>
        <v>0.05360925</v>
      </c>
      <c r="O511" s="3" t="n">
        <v>13</v>
      </c>
      <c r="P511" s="13" t="b">
        <f aca="false">FALSE()</f>
        <v>0</v>
      </c>
      <c r="Q511" s="3" t="s">
        <v>201</v>
      </c>
      <c r="R511" s="12" t="n">
        <v>0.7189</v>
      </c>
      <c r="S511" s="12" t="n">
        <v>0.6113</v>
      </c>
      <c r="T511" s="3" t="n">
        <v>0.1689</v>
      </c>
      <c r="U511" s="12" t="n">
        <v>0.4556</v>
      </c>
      <c r="V511" s="12" t="n">
        <v>0.5366</v>
      </c>
      <c r="W511" s="12" t="n">
        <v>0.5295</v>
      </c>
      <c r="X511" s="3" t="n">
        <v>0.8454</v>
      </c>
      <c r="Y511" s="3" t="n">
        <v>0.6181</v>
      </c>
      <c r="Z511" s="14" t="n">
        <f aca="false">Assumptions!$B$3*R511+Assumptions!$B$4*S511+IF(AA511=1,Assumptions!$B$11,Assumptions!$B$5)*X511+IF(AA511=1,Assumptions!$B$12,Assumptions!$B$6)*T511+Assumptions!$B$7*U511+Assumptions!$B$8*V511+Assumptions!$B$9*Y511</f>
        <v>0.600537</v>
      </c>
      <c r="AA511" s="3" t="n">
        <v>0</v>
      </c>
    </row>
    <row r="512" customFormat="false" ht="15" hidden="false" customHeight="false" outlineLevel="0" collapsed="false">
      <c r="A512" s="3" t="s">
        <v>697</v>
      </c>
      <c r="B512" s="3" t="n">
        <v>495</v>
      </c>
      <c r="C512" s="11" t="str">
        <f aca="false">IF(M512&gt;=Assumptions!$B$17,"S+",IF(M512&gt;=Assumptions!$B$18,"S",IF(M512&gt;=Assumptions!$B$19,"A",IF(M512&gt;=Assumptions!$B$20,"B",IF(M512&gt;=Assumptions!$B$21,"C",IF(M512&gt;=Assumptions!$B$22,"D","F"))))))</f>
        <v>C</v>
      </c>
      <c r="D512" s="3" t="s">
        <v>253</v>
      </c>
      <c r="E512" s="3" t="n">
        <v>7</v>
      </c>
      <c r="F512" s="12" t="n">
        <v>0.8571</v>
      </c>
      <c r="G512" s="12" t="n">
        <v>0.4</v>
      </c>
      <c r="H512" s="12" t="n">
        <v>0.75</v>
      </c>
      <c r="I512" s="12" t="n">
        <v>0.6163</v>
      </c>
      <c r="J512" s="12" t="n">
        <v>0.3861</v>
      </c>
      <c r="K512" s="12" t="n">
        <v>0.6005</v>
      </c>
      <c r="L512" s="3" t="n">
        <v>4</v>
      </c>
      <c r="M512" s="12" t="n">
        <f aca="false">Z512-W512</f>
        <v>0.0710370000000001</v>
      </c>
      <c r="N512" s="12" t="n">
        <f aca="false">IFERROR((Z512-J512)/L512,"")</f>
        <v>0.05360925</v>
      </c>
      <c r="O512" s="3" t="n">
        <v>13</v>
      </c>
      <c r="P512" s="13" t="b">
        <f aca="false">FALSE()</f>
        <v>0</v>
      </c>
      <c r="Q512" s="3" t="s">
        <v>201</v>
      </c>
      <c r="R512" s="12" t="n">
        <v>0.7189</v>
      </c>
      <c r="S512" s="12" t="n">
        <v>0.6113</v>
      </c>
      <c r="T512" s="3" t="n">
        <v>0.1689</v>
      </c>
      <c r="U512" s="12" t="n">
        <v>0.4556</v>
      </c>
      <c r="V512" s="12" t="n">
        <v>0.5366</v>
      </c>
      <c r="W512" s="12" t="n">
        <v>0.5295</v>
      </c>
      <c r="X512" s="3" t="n">
        <v>0.8454</v>
      </c>
      <c r="Y512" s="3" t="n">
        <v>0.6181</v>
      </c>
      <c r="Z512" s="14" t="n">
        <f aca="false">Assumptions!$B$3*R512+Assumptions!$B$4*S512+IF(AA512=1,Assumptions!$B$11,Assumptions!$B$5)*X512+IF(AA512=1,Assumptions!$B$12,Assumptions!$B$6)*T512+Assumptions!$B$7*U512+Assumptions!$B$8*V512+Assumptions!$B$9*Y512</f>
        <v>0.600537</v>
      </c>
      <c r="AA512" s="3" t="n">
        <v>0</v>
      </c>
    </row>
    <row r="513" customFormat="false" ht="15" hidden="false" customHeight="false" outlineLevel="0" collapsed="false">
      <c r="A513" s="3" t="s">
        <v>698</v>
      </c>
      <c r="B513" s="3" t="n">
        <v>495</v>
      </c>
      <c r="C513" s="11" t="str">
        <f aca="false">IF(M513&gt;=Assumptions!$B$17,"S+",IF(M513&gt;=Assumptions!$B$18,"S",IF(M513&gt;=Assumptions!$B$19,"A",IF(M513&gt;=Assumptions!$B$20,"B",IF(M513&gt;=Assumptions!$B$21,"C",IF(M513&gt;=Assumptions!$B$22,"D","F"))))))</f>
        <v>C</v>
      </c>
      <c r="D513" s="3" t="s">
        <v>253</v>
      </c>
      <c r="E513" s="3" t="n">
        <v>7</v>
      </c>
      <c r="F513" s="12" t="n">
        <v>0.8571</v>
      </c>
      <c r="G513" s="12" t="n">
        <v>0.4</v>
      </c>
      <c r="H513" s="12" t="n">
        <v>0.75</v>
      </c>
      <c r="I513" s="12" t="n">
        <v>0.6163</v>
      </c>
      <c r="J513" s="12" t="n">
        <v>0.3861</v>
      </c>
      <c r="K513" s="12" t="n">
        <v>0.6005</v>
      </c>
      <c r="L513" s="3" t="n">
        <v>4</v>
      </c>
      <c r="M513" s="12" t="n">
        <f aca="false">Z513-W513</f>
        <v>0.0710370000000001</v>
      </c>
      <c r="N513" s="12" t="n">
        <f aca="false">IFERROR((Z513-J513)/L513,"")</f>
        <v>0.05360925</v>
      </c>
      <c r="O513" s="3" t="n">
        <v>13</v>
      </c>
      <c r="P513" s="13" t="b">
        <f aca="false">FALSE()</f>
        <v>0</v>
      </c>
      <c r="Q513" s="3" t="s">
        <v>201</v>
      </c>
      <c r="R513" s="12" t="n">
        <v>0.7189</v>
      </c>
      <c r="S513" s="12" t="n">
        <v>0.6113</v>
      </c>
      <c r="T513" s="3" t="n">
        <v>0.1689</v>
      </c>
      <c r="U513" s="12" t="n">
        <v>0.4556</v>
      </c>
      <c r="V513" s="12" t="n">
        <v>0.5366</v>
      </c>
      <c r="W513" s="12" t="n">
        <v>0.5295</v>
      </c>
      <c r="X513" s="3" t="n">
        <v>0.8454</v>
      </c>
      <c r="Y513" s="3" t="n">
        <v>0.6181</v>
      </c>
      <c r="Z513" s="14" t="n">
        <f aca="false">Assumptions!$B$3*R513+Assumptions!$B$4*S513+IF(AA513=1,Assumptions!$B$11,Assumptions!$B$5)*X513+IF(AA513=1,Assumptions!$B$12,Assumptions!$B$6)*T513+Assumptions!$B$7*U513+Assumptions!$B$8*V513+Assumptions!$B$9*Y513</f>
        <v>0.600537</v>
      </c>
      <c r="AA513" s="3" t="n">
        <v>0</v>
      </c>
    </row>
    <row r="514" customFormat="false" ht="15" hidden="false" customHeight="false" outlineLevel="0" collapsed="false">
      <c r="A514" s="3" t="s">
        <v>699</v>
      </c>
      <c r="B514" s="3" t="n">
        <v>495</v>
      </c>
      <c r="C514" s="11" t="str">
        <f aca="false">IF(M514&gt;=Assumptions!$B$17,"S+",IF(M514&gt;=Assumptions!$B$18,"S",IF(M514&gt;=Assumptions!$B$19,"A",IF(M514&gt;=Assumptions!$B$20,"B",IF(M514&gt;=Assumptions!$B$21,"C",IF(M514&gt;=Assumptions!$B$22,"D","F"))))))</f>
        <v>C</v>
      </c>
      <c r="D514" s="3" t="s">
        <v>253</v>
      </c>
      <c r="E514" s="3" t="n">
        <v>7</v>
      </c>
      <c r="F514" s="12" t="n">
        <v>0.8571</v>
      </c>
      <c r="G514" s="12" t="n">
        <v>0.4</v>
      </c>
      <c r="H514" s="12" t="n">
        <v>0.75</v>
      </c>
      <c r="I514" s="12" t="n">
        <v>0.6163</v>
      </c>
      <c r="J514" s="12" t="n">
        <v>0.3861</v>
      </c>
      <c r="K514" s="12" t="n">
        <v>0.6005</v>
      </c>
      <c r="L514" s="3" t="n">
        <v>4</v>
      </c>
      <c r="M514" s="12" t="n">
        <f aca="false">Z514-W514</f>
        <v>0.0710370000000001</v>
      </c>
      <c r="N514" s="12" t="n">
        <f aca="false">IFERROR((Z514-J514)/L514,"")</f>
        <v>0.05360925</v>
      </c>
      <c r="O514" s="3" t="n">
        <v>13</v>
      </c>
      <c r="P514" s="13" t="b">
        <f aca="false">FALSE()</f>
        <v>0</v>
      </c>
      <c r="Q514" s="3" t="s">
        <v>201</v>
      </c>
      <c r="R514" s="12" t="n">
        <v>0.7189</v>
      </c>
      <c r="S514" s="12" t="n">
        <v>0.6113</v>
      </c>
      <c r="T514" s="3" t="n">
        <v>0.1689</v>
      </c>
      <c r="U514" s="12" t="n">
        <v>0.4556</v>
      </c>
      <c r="V514" s="12" t="n">
        <v>0.5366</v>
      </c>
      <c r="W514" s="12" t="n">
        <v>0.5295</v>
      </c>
      <c r="X514" s="3" t="n">
        <v>0.8454</v>
      </c>
      <c r="Y514" s="3" t="n">
        <v>0.6181</v>
      </c>
      <c r="Z514" s="14" t="n">
        <f aca="false">Assumptions!$B$3*R514+Assumptions!$B$4*S514+IF(AA514=1,Assumptions!$B$11,Assumptions!$B$5)*X514+IF(AA514=1,Assumptions!$B$12,Assumptions!$B$6)*T514+Assumptions!$B$7*U514+Assumptions!$B$8*V514+Assumptions!$B$9*Y514</f>
        <v>0.600537</v>
      </c>
      <c r="AA514" s="3" t="n">
        <v>0</v>
      </c>
    </row>
    <row r="515" customFormat="false" ht="15" hidden="false" customHeight="false" outlineLevel="0" collapsed="false">
      <c r="A515" s="3" t="s">
        <v>700</v>
      </c>
      <c r="B515" s="3" t="n">
        <v>495</v>
      </c>
      <c r="C515" s="11" t="str">
        <f aca="false">IF(M515&gt;=Assumptions!$B$17,"S+",IF(M515&gt;=Assumptions!$B$18,"S",IF(M515&gt;=Assumptions!$B$19,"A",IF(M515&gt;=Assumptions!$B$20,"B",IF(M515&gt;=Assumptions!$B$21,"C",IF(M515&gt;=Assumptions!$B$22,"D","F"))))))</f>
        <v>C</v>
      </c>
      <c r="D515" s="3" t="s">
        <v>253</v>
      </c>
      <c r="E515" s="3" t="n">
        <v>7</v>
      </c>
      <c r="F515" s="12" t="n">
        <v>0.8571</v>
      </c>
      <c r="G515" s="12" t="n">
        <v>0.4</v>
      </c>
      <c r="H515" s="12" t="n">
        <v>0.75</v>
      </c>
      <c r="I515" s="12" t="n">
        <v>0.6163</v>
      </c>
      <c r="J515" s="12" t="n">
        <v>0.3861</v>
      </c>
      <c r="K515" s="12" t="n">
        <v>0.6005</v>
      </c>
      <c r="L515" s="3" t="n">
        <v>4</v>
      </c>
      <c r="M515" s="12" t="n">
        <f aca="false">Z515-W515</f>
        <v>0.0710370000000001</v>
      </c>
      <c r="N515" s="12" t="n">
        <f aca="false">IFERROR((Z515-J515)/L515,"")</f>
        <v>0.05360925</v>
      </c>
      <c r="O515" s="3" t="n">
        <v>13</v>
      </c>
      <c r="P515" s="13" t="b">
        <f aca="false">FALSE()</f>
        <v>0</v>
      </c>
      <c r="Q515" s="3" t="s">
        <v>201</v>
      </c>
      <c r="R515" s="12" t="n">
        <v>0.7189</v>
      </c>
      <c r="S515" s="12" t="n">
        <v>0.6113</v>
      </c>
      <c r="T515" s="3" t="n">
        <v>0.1689</v>
      </c>
      <c r="U515" s="12" t="n">
        <v>0.4556</v>
      </c>
      <c r="V515" s="12" t="n">
        <v>0.5366</v>
      </c>
      <c r="W515" s="12" t="n">
        <v>0.5295</v>
      </c>
      <c r="X515" s="3" t="n">
        <v>0.8454</v>
      </c>
      <c r="Y515" s="3" t="n">
        <v>0.6181</v>
      </c>
      <c r="Z515" s="14" t="n">
        <f aca="false">Assumptions!$B$3*R515+Assumptions!$B$4*S515+IF(AA515=1,Assumptions!$B$11,Assumptions!$B$5)*X515+IF(AA515=1,Assumptions!$B$12,Assumptions!$B$6)*T515+Assumptions!$B$7*U515+Assumptions!$B$8*V515+Assumptions!$B$9*Y515</f>
        <v>0.600537</v>
      </c>
      <c r="AA515" s="3" t="n">
        <v>0</v>
      </c>
    </row>
    <row r="516" customFormat="false" ht="15" hidden="false" customHeight="false" outlineLevel="0" collapsed="false">
      <c r="A516" s="3" t="s">
        <v>701</v>
      </c>
      <c r="B516" s="3" t="n">
        <v>495</v>
      </c>
      <c r="C516" s="11" t="str">
        <f aca="false">IF(M516&gt;=Assumptions!$B$17,"S+",IF(M516&gt;=Assumptions!$B$18,"S",IF(M516&gt;=Assumptions!$B$19,"A",IF(M516&gt;=Assumptions!$B$20,"B",IF(M516&gt;=Assumptions!$B$21,"C",IF(M516&gt;=Assumptions!$B$22,"D","F"))))))</f>
        <v>C</v>
      </c>
      <c r="D516" s="3" t="s">
        <v>253</v>
      </c>
      <c r="E516" s="3" t="n">
        <v>7</v>
      </c>
      <c r="F516" s="12" t="n">
        <v>0.8571</v>
      </c>
      <c r="G516" s="12" t="n">
        <v>0.4</v>
      </c>
      <c r="H516" s="12" t="n">
        <v>0.75</v>
      </c>
      <c r="I516" s="12" t="n">
        <v>0.6163</v>
      </c>
      <c r="J516" s="12" t="n">
        <v>0.3861</v>
      </c>
      <c r="K516" s="12" t="n">
        <v>0.6005</v>
      </c>
      <c r="L516" s="3" t="n">
        <v>4</v>
      </c>
      <c r="M516" s="12" t="n">
        <f aca="false">Z516-W516</f>
        <v>0.0710370000000001</v>
      </c>
      <c r="N516" s="12" t="n">
        <f aca="false">IFERROR((Z516-J516)/L516,"")</f>
        <v>0.05360925</v>
      </c>
      <c r="O516" s="3" t="n">
        <v>13</v>
      </c>
      <c r="P516" s="13" t="b">
        <f aca="false">FALSE()</f>
        <v>0</v>
      </c>
      <c r="Q516" s="3" t="s">
        <v>201</v>
      </c>
      <c r="R516" s="12" t="n">
        <v>0.7189</v>
      </c>
      <c r="S516" s="12" t="n">
        <v>0.6113</v>
      </c>
      <c r="T516" s="3" t="n">
        <v>0.1689</v>
      </c>
      <c r="U516" s="12" t="n">
        <v>0.4556</v>
      </c>
      <c r="V516" s="12" t="n">
        <v>0.5366</v>
      </c>
      <c r="W516" s="12" t="n">
        <v>0.5295</v>
      </c>
      <c r="X516" s="3" t="n">
        <v>0.8454</v>
      </c>
      <c r="Y516" s="3" t="n">
        <v>0.6181</v>
      </c>
      <c r="Z516" s="14" t="n">
        <f aca="false">Assumptions!$B$3*R516+Assumptions!$B$4*S516+IF(AA516=1,Assumptions!$B$11,Assumptions!$B$5)*X516+IF(AA516=1,Assumptions!$B$12,Assumptions!$B$6)*T516+Assumptions!$B$7*U516+Assumptions!$B$8*V516+Assumptions!$B$9*Y516</f>
        <v>0.600537</v>
      </c>
      <c r="AA516" s="3" t="n">
        <v>0</v>
      </c>
    </row>
    <row r="517" customFormat="false" ht="15" hidden="false" customHeight="false" outlineLevel="0" collapsed="false">
      <c r="A517" s="3" t="s">
        <v>702</v>
      </c>
      <c r="B517" s="3" t="n">
        <v>495</v>
      </c>
      <c r="C517" s="11" t="str">
        <f aca="false">IF(M517&gt;=Assumptions!$B$17,"S+",IF(M517&gt;=Assumptions!$B$18,"S",IF(M517&gt;=Assumptions!$B$19,"A",IF(M517&gt;=Assumptions!$B$20,"B",IF(M517&gt;=Assumptions!$B$21,"C",IF(M517&gt;=Assumptions!$B$22,"D","F"))))))</f>
        <v>C</v>
      </c>
      <c r="D517" s="3" t="s">
        <v>253</v>
      </c>
      <c r="E517" s="3" t="n">
        <v>7</v>
      </c>
      <c r="F517" s="12" t="n">
        <v>0.8571</v>
      </c>
      <c r="G517" s="12" t="n">
        <v>0.4</v>
      </c>
      <c r="H517" s="12" t="n">
        <v>0.75</v>
      </c>
      <c r="I517" s="12" t="n">
        <v>0.6163</v>
      </c>
      <c r="J517" s="12" t="n">
        <v>0.3861</v>
      </c>
      <c r="K517" s="12" t="n">
        <v>0.6005</v>
      </c>
      <c r="L517" s="3" t="n">
        <v>4</v>
      </c>
      <c r="M517" s="12" t="n">
        <f aca="false">Z517-W517</f>
        <v>0.0710370000000001</v>
      </c>
      <c r="N517" s="12" t="n">
        <f aca="false">IFERROR((Z517-J517)/L517,"")</f>
        <v>0.05360925</v>
      </c>
      <c r="O517" s="3" t="n">
        <v>13</v>
      </c>
      <c r="P517" s="13" t="b">
        <f aca="false">FALSE()</f>
        <v>0</v>
      </c>
      <c r="Q517" s="3" t="s">
        <v>201</v>
      </c>
      <c r="R517" s="12" t="n">
        <v>0.7189</v>
      </c>
      <c r="S517" s="12" t="n">
        <v>0.6113</v>
      </c>
      <c r="T517" s="3" t="n">
        <v>0.1689</v>
      </c>
      <c r="U517" s="12" t="n">
        <v>0.4556</v>
      </c>
      <c r="V517" s="12" t="n">
        <v>0.5366</v>
      </c>
      <c r="W517" s="12" t="n">
        <v>0.5295</v>
      </c>
      <c r="X517" s="3" t="n">
        <v>0.8454</v>
      </c>
      <c r="Y517" s="3" t="n">
        <v>0.6181</v>
      </c>
      <c r="Z517" s="14" t="n">
        <f aca="false">Assumptions!$B$3*R517+Assumptions!$B$4*S517+IF(AA517=1,Assumptions!$B$11,Assumptions!$B$5)*X517+IF(AA517=1,Assumptions!$B$12,Assumptions!$B$6)*T517+Assumptions!$B$7*U517+Assumptions!$B$8*V517+Assumptions!$B$9*Y517</f>
        <v>0.600537</v>
      </c>
      <c r="AA517" s="3" t="n">
        <v>0</v>
      </c>
    </row>
    <row r="518" customFormat="false" ht="15" hidden="false" customHeight="false" outlineLevel="0" collapsed="false">
      <c r="A518" s="3" t="s">
        <v>703</v>
      </c>
      <c r="B518" s="3" t="n">
        <v>495</v>
      </c>
      <c r="C518" s="11" t="str">
        <f aca="false">IF(M518&gt;=Assumptions!$B$17,"S+",IF(M518&gt;=Assumptions!$B$18,"S",IF(M518&gt;=Assumptions!$B$19,"A",IF(M518&gt;=Assumptions!$B$20,"B",IF(M518&gt;=Assumptions!$B$21,"C",IF(M518&gt;=Assumptions!$B$22,"D","F"))))))</f>
        <v>C</v>
      </c>
      <c r="D518" s="3" t="s">
        <v>253</v>
      </c>
      <c r="E518" s="3" t="n">
        <v>7</v>
      </c>
      <c r="F518" s="12" t="n">
        <v>0.8571</v>
      </c>
      <c r="G518" s="12" t="n">
        <v>0.4</v>
      </c>
      <c r="H518" s="12" t="n">
        <v>0.75</v>
      </c>
      <c r="I518" s="12" t="n">
        <v>0.6163</v>
      </c>
      <c r="J518" s="12" t="n">
        <v>0.3861</v>
      </c>
      <c r="K518" s="12" t="n">
        <v>0.6005</v>
      </c>
      <c r="L518" s="3" t="n">
        <v>4</v>
      </c>
      <c r="M518" s="12" t="n">
        <f aca="false">Z518-W518</f>
        <v>0.0710370000000001</v>
      </c>
      <c r="N518" s="12" t="n">
        <f aca="false">IFERROR((Z518-J518)/L518,"")</f>
        <v>0.05360925</v>
      </c>
      <c r="O518" s="3" t="n">
        <v>13</v>
      </c>
      <c r="P518" s="13" t="b">
        <f aca="false">FALSE()</f>
        <v>0</v>
      </c>
      <c r="Q518" s="3" t="s">
        <v>201</v>
      </c>
      <c r="R518" s="12" t="n">
        <v>0.7189</v>
      </c>
      <c r="S518" s="12" t="n">
        <v>0.6113</v>
      </c>
      <c r="T518" s="3" t="n">
        <v>0.1689</v>
      </c>
      <c r="U518" s="12" t="n">
        <v>0.4556</v>
      </c>
      <c r="V518" s="12" t="n">
        <v>0.5366</v>
      </c>
      <c r="W518" s="12" t="n">
        <v>0.5295</v>
      </c>
      <c r="X518" s="3" t="n">
        <v>0.8454</v>
      </c>
      <c r="Y518" s="3" t="n">
        <v>0.6181</v>
      </c>
      <c r="Z518" s="14" t="n">
        <f aca="false">Assumptions!$B$3*R518+Assumptions!$B$4*S518+IF(AA518=1,Assumptions!$B$11,Assumptions!$B$5)*X518+IF(AA518=1,Assumptions!$B$12,Assumptions!$B$6)*T518+Assumptions!$B$7*U518+Assumptions!$B$8*V518+Assumptions!$B$9*Y518</f>
        <v>0.600537</v>
      </c>
      <c r="AA518" s="3" t="n">
        <v>0</v>
      </c>
    </row>
    <row r="519" customFormat="false" ht="15" hidden="false" customHeight="false" outlineLevel="0" collapsed="false">
      <c r="A519" s="3" t="s">
        <v>704</v>
      </c>
      <c r="B519" s="3" t="n">
        <v>495</v>
      </c>
      <c r="C519" s="11" t="str">
        <f aca="false">IF(M519&gt;=Assumptions!$B$17,"S+",IF(M519&gt;=Assumptions!$B$18,"S",IF(M519&gt;=Assumptions!$B$19,"A",IF(M519&gt;=Assumptions!$B$20,"B",IF(M519&gt;=Assumptions!$B$21,"C",IF(M519&gt;=Assumptions!$B$22,"D","F"))))))</f>
        <v>C</v>
      </c>
      <c r="D519" s="3" t="s">
        <v>253</v>
      </c>
      <c r="E519" s="3" t="n">
        <v>7</v>
      </c>
      <c r="F519" s="12" t="n">
        <v>0.8571</v>
      </c>
      <c r="G519" s="12" t="n">
        <v>0.4</v>
      </c>
      <c r="H519" s="12" t="n">
        <v>0.75</v>
      </c>
      <c r="I519" s="12" t="n">
        <v>0.6163</v>
      </c>
      <c r="J519" s="12" t="n">
        <v>0.3861</v>
      </c>
      <c r="K519" s="12" t="n">
        <v>0.6005</v>
      </c>
      <c r="L519" s="3" t="n">
        <v>4</v>
      </c>
      <c r="M519" s="12" t="n">
        <f aca="false">Z519-W519</f>
        <v>0.0710370000000001</v>
      </c>
      <c r="N519" s="12" t="n">
        <f aca="false">IFERROR((Z519-J519)/L519,"")</f>
        <v>0.05360925</v>
      </c>
      <c r="O519" s="3" t="n">
        <v>13</v>
      </c>
      <c r="P519" s="13" t="b">
        <f aca="false">FALSE()</f>
        <v>0</v>
      </c>
      <c r="Q519" s="3" t="s">
        <v>201</v>
      </c>
      <c r="R519" s="12" t="n">
        <v>0.7189</v>
      </c>
      <c r="S519" s="12" t="n">
        <v>0.6113</v>
      </c>
      <c r="T519" s="3" t="n">
        <v>0.1689</v>
      </c>
      <c r="U519" s="12" t="n">
        <v>0.4556</v>
      </c>
      <c r="V519" s="12" t="n">
        <v>0.5366</v>
      </c>
      <c r="W519" s="12" t="n">
        <v>0.5295</v>
      </c>
      <c r="X519" s="3" t="n">
        <v>0.8454</v>
      </c>
      <c r="Y519" s="3" t="n">
        <v>0.6181</v>
      </c>
      <c r="Z519" s="14" t="n">
        <f aca="false">Assumptions!$B$3*R519+Assumptions!$B$4*S519+IF(AA519=1,Assumptions!$B$11,Assumptions!$B$5)*X519+IF(AA519=1,Assumptions!$B$12,Assumptions!$B$6)*T519+Assumptions!$B$7*U519+Assumptions!$B$8*V519+Assumptions!$B$9*Y519</f>
        <v>0.600537</v>
      </c>
      <c r="AA519" s="3" t="n">
        <v>0</v>
      </c>
    </row>
    <row r="520" customFormat="false" ht="15" hidden="false" customHeight="false" outlineLevel="0" collapsed="false">
      <c r="A520" s="3" t="s">
        <v>705</v>
      </c>
      <c r="B520" s="3" t="n">
        <v>495</v>
      </c>
      <c r="C520" s="11" t="str">
        <f aca="false">IF(M520&gt;=Assumptions!$B$17,"S+",IF(M520&gt;=Assumptions!$B$18,"S",IF(M520&gt;=Assumptions!$B$19,"A",IF(M520&gt;=Assumptions!$B$20,"B",IF(M520&gt;=Assumptions!$B$21,"C",IF(M520&gt;=Assumptions!$B$22,"D","F"))))))</f>
        <v>C</v>
      </c>
      <c r="D520" s="3" t="s">
        <v>253</v>
      </c>
      <c r="E520" s="3" t="n">
        <v>7</v>
      </c>
      <c r="F520" s="12" t="n">
        <v>0.8571</v>
      </c>
      <c r="G520" s="12" t="n">
        <v>0.4</v>
      </c>
      <c r="H520" s="12" t="n">
        <v>0.75</v>
      </c>
      <c r="I520" s="12" t="n">
        <v>0.6163</v>
      </c>
      <c r="J520" s="12" t="n">
        <v>0.3861</v>
      </c>
      <c r="K520" s="12" t="n">
        <v>0.6005</v>
      </c>
      <c r="L520" s="3" t="n">
        <v>4</v>
      </c>
      <c r="M520" s="12" t="n">
        <f aca="false">Z520-W520</f>
        <v>0.0710370000000001</v>
      </c>
      <c r="N520" s="12" t="n">
        <f aca="false">IFERROR((Z520-J520)/L520,"")</f>
        <v>0.05360925</v>
      </c>
      <c r="O520" s="3" t="n">
        <v>13</v>
      </c>
      <c r="P520" s="13" t="b">
        <f aca="false">FALSE()</f>
        <v>0</v>
      </c>
      <c r="Q520" s="3" t="s">
        <v>201</v>
      </c>
      <c r="R520" s="12" t="n">
        <v>0.7189</v>
      </c>
      <c r="S520" s="12" t="n">
        <v>0.6113</v>
      </c>
      <c r="T520" s="3" t="n">
        <v>0.1689</v>
      </c>
      <c r="U520" s="12" t="n">
        <v>0.4556</v>
      </c>
      <c r="V520" s="12" t="n">
        <v>0.5366</v>
      </c>
      <c r="W520" s="12" t="n">
        <v>0.5295</v>
      </c>
      <c r="X520" s="3" t="n">
        <v>0.8454</v>
      </c>
      <c r="Y520" s="3" t="n">
        <v>0.6181</v>
      </c>
      <c r="Z520" s="14" t="n">
        <f aca="false">Assumptions!$B$3*R520+Assumptions!$B$4*S520+IF(AA520=1,Assumptions!$B$11,Assumptions!$B$5)*X520+IF(AA520=1,Assumptions!$B$12,Assumptions!$B$6)*T520+Assumptions!$B$7*U520+Assumptions!$B$8*V520+Assumptions!$B$9*Y520</f>
        <v>0.600537</v>
      </c>
      <c r="AA520" s="3" t="n">
        <v>0</v>
      </c>
    </row>
    <row r="521" customFormat="false" ht="15" hidden="false" customHeight="false" outlineLevel="0" collapsed="false">
      <c r="A521" s="3" t="s">
        <v>706</v>
      </c>
      <c r="B521" s="3" t="n">
        <v>495</v>
      </c>
      <c r="C521" s="11" t="str">
        <f aca="false">IF(M521&gt;=Assumptions!$B$17,"S+",IF(M521&gt;=Assumptions!$B$18,"S",IF(M521&gt;=Assumptions!$B$19,"A",IF(M521&gt;=Assumptions!$B$20,"B",IF(M521&gt;=Assumptions!$B$21,"C",IF(M521&gt;=Assumptions!$B$22,"D","F"))))))</f>
        <v>C</v>
      </c>
      <c r="D521" s="3" t="s">
        <v>253</v>
      </c>
      <c r="E521" s="3" t="n">
        <v>7</v>
      </c>
      <c r="F521" s="12" t="n">
        <v>0.8571</v>
      </c>
      <c r="G521" s="12" t="n">
        <v>0.4</v>
      </c>
      <c r="H521" s="12" t="n">
        <v>0.75</v>
      </c>
      <c r="I521" s="12" t="n">
        <v>0.6163</v>
      </c>
      <c r="J521" s="12" t="n">
        <v>0.3861</v>
      </c>
      <c r="K521" s="12" t="n">
        <v>0.6005</v>
      </c>
      <c r="L521" s="3" t="n">
        <v>4</v>
      </c>
      <c r="M521" s="12" t="n">
        <f aca="false">Z521-W521</f>
        <v>0.0710370000000001</v>
      </c>
      <c r="N521" s="12" t="n">
        <f aca="false">IFERROR((Z521-J521)/L521,"")</f>
        <v>0.05360925</v>
      </c>
      <c r="O521" s="3" t="n">
        <v>13</v>
      </c>
      <c r="P521" s="13" t="b">
        <f aca="false">FALSE()</f>
        <v>0</v>
      </c>
      <c r="Q521" s="3" t="s">
        <v>201</v>
      </c>
      <c r="R521" s="12" t="n">
        <v>0.7189</v>
      </c>
      <c r="S521" s="12" t="n">
        <v>0.6113</v>
      </c>
      <c r="T521" s="3" t="n">
        <v>0.1689</v>
      </c>
      <c r="U521" s="12" t="n">
        <v>0.4556</v>
      </c>
      <c r="V521" s="12" t="n">
        <v>0.5366</v>
      </c>
      <c r="W521" s="12" t="n">
        <v>0.5295</v>
      </c>
      <c r="X521" s="3" t="n">
        <v>0.8454</v>
      </c>
      <c r="Y521" s="3" t="n">
        <v>0.6181</v>
      </c>
      <c r="Z521" s="14" t="n">
        <f aca="false">Assumptions!$B$3*R521+Assumptions!$B$4*S521+IF(AA521=1,Assumptions!$B$11,Assumptions!$B$5)*X521+IF(AA521=1,Assumptions!$B$12,Assumptions!$B$6)*T521+Assumptions!$B$7*U521+Assumptions!$B$8*V521+Assumptions!$B$9*Y521</f>
        <v>0.600537</v>
      </c>
      <c r="AA521" s="3" t="n">
        <v>0</v>
      </c>
    </row>
    <row r="522" customFormat="false" ht="15" hidden="false" customHeight="false" outlineLevel="0" collapsed="false">
      <c r="A522" s="3" t="s">
        <v>707</v>
      </c>
      <c r="B522" s="3" t="n">
        <v>580</v>
      </c>
      <c r="C522" s="11" t="str">
        <f aca="false">IF(M522&gt;=Assumptions!$B$17,"S+",IF(M522&gt;=Assumptions!$B$18,"S",IF(M522&gt;=Assumptions!$B$19,"A",IF(M522&gt;=Assumptions!$B$20,"B",IF(M522&gt;=Assumptions!$B$21,"C",IF(M522&gt;=Assumptions!$B$22,"D","F"))))))</f>
        <v>C</v>
      </c>
      <c r="D522" s="3" t="s">
        <v>253</v>
      </c>
      <c r="E522" s="3" t="n">
        <v>7</v>
      </c>
      <c r="F522" s="12" t="n">
        <v>0.975</v>
      </c>
      <c r="G522" s="12" t="n">
        <v>0.8</v>
      </c>
      <c r="H522" s="12" t="n">
        <v>0.75</v>
      </c>
      <c r="I522" s="12" t="n">
        <v>0.846</v>
      </c>
      <c r="J522" s="12" t="n">
        <v>0.4748</v>
      </c>
      <c r="K522" s="12" t="n">
        <v>0.6006</v>
      </c>
      <c r="L522" s="3" t="n">
        <v>4</v>
      </c>
      <c r="M522" s="12" t="n">
        <f aca="false">Z522-W522</f>
        <v>0.0711170000000001</v>
      </c>
      <c r="N522" s="12" t="n">
        <f aca="false">IFERROR((Z522-J522)/L522,"")</f>
        <v>0.03145425</v>
      </c>
      <c r="O522" s="3" t="n">
        <v>13</v>
      </c>
      <c r="P522" s="13" t="b">
        <f aca="false">FALSE()</f>
        <v>0</v>
      </c>
      <c r="Q522" s="3" t="s">
        <v>166</v>
      </c>
      <c r="R522" s="12" t="n">
        <v>0.8793</v>
      </c>
      <c r="S522" s="12" t="n">
        <v>0.703</v>
      </c>
      <c r="T522" s="3" t="n">
        <v>0.0033</v>
      </c>
      <c r="U522" s="12" t="n">
        <v>0.3432</v>
      </c>
      <c r="V522" s="12" t="n">
        <v>0.4443</v>
      </c>
      <c r="W522" s="12" t="n">
        <v>0.5295</v>
      </c>
      <c r="X522" s="3" t="n">
        <v>0.6145</v>
      </c>
      <c r="Y522" s="3" t="n">
        <v>0.8464</v>
      </c>
      <c r="Z522" s="14" t="n">
        <f aca="false">Assumptions!$B$3*R522+Assumptions!$B$4*S522+IF(AA522=1,Assumptions!$B$11,Assumptions!$B$5)*X522+IF(AA522=1,Assumptions!$B$12,Assumptions!$B$6)*T522+Assumptions!$B$7*U522+Assumptions!$B$8*V522+Assumptions!$B$9*Y522</f>
        <v>0.600617</v>
      </c>
      <c r="AA522" s="3" t="n">
        <v>0</v>
      </c>
    </row>
    <row r="523" customFormat="false" ht="15" hidden="false" customHeight="false" outlineLevel="0" collapsed="false">
      <c r="A523" s="3" t="s">
        <v>708</v>
      </c>
      <c r="B523" s="3" t="n">
        <v>495</v>
      </c>
      <c r="C523" s="11" t="str">
        <f aca="false">IF(M523&gt;=Assumptions!$B$17,"S+",IF(M523&gt;=Assumptions!$B$18,"S",IF(M523&gt;=Assumptions!$B$19,"A",IF(M523&gt;=Assumptions!$B$20,"B",IF(M523&gt;=Assumptions!$B$21,"C",IF(M523&gt;=Assumptions!$B$22,"D","F"))))))</f>
        <v>C</v>
      </c>
      <c r="D523" s="3" t="s">
        <v>253</v>
      </c>
      <c r="E523" s="3" t="n">
        <v>7</v>
      </c>
      <c r="F523" s="12" t="n">
        <v>0.8571</v>
      </c>
      <c r="G523" s="12" t="n">
        <v>0.4</v>
      </c>
      <c r="H523" s="12" t="n">
        <v>0.75</v>
      </c>
      <c r="I523" s="12" t="n">
        <v>0.6163</v>
      </c>
      <c r="J523" s="12" t="n">
        <v>0.3861</v>
      </c>
      <c r="K523" s="12" t="n">
        <v>0.6005</v>
      </c>
      <c r="L523" s="3" t="n">
        <v>4</v>
      </c>
      <c r="M523" s="12" t="n">
        <f aca="false">Z523-W523</f>
        <v>0.0710370000000001</v>
      </c>
      <c r="N523" s="12" t="n">
        <f aca="false">IFERROR((Z523-J523)/L523,"")</f>
        <v>0.05360925</v>
      </c>
      <c r="O523" s="3" t="n">
        <v>13</v>
      </c>
      <c r="P523" s="13" t="b">
        <f aca="false">FALSE()</f>
        <v>0</v>
      </c>
      <c r="Q523" s="3" t="s">
        <v>201</v>
      </c>
      <c r="R523" s="12" t="n">
        <v>0.7189</v>
      </c>
      <c r="S523" s="12" t="n">
        <v>0.6113</v>
      </c>
      <c r="T523" s="3" t="n">
        <v>0.1689</v>
      </c>
      <c r="U523" s="12" t="n">
        <v>0.4556</v>
      </c>
      <c r="V523" s="12" t="n">
        <v>0.5366</v>
      </c>
      <c r="W523" s="12" t="n">
        <v>0.5295</v>
      </c>
      <c r="X523" s="3" t="n">
        <v>0.8454</v>
      </c>
      <c r="Y523" s="3" t="n">
        <v>0.6181</v>
      </c>
      <c r="Z523" s="14" t="n">
        <f aca="false">Assumptions!$B$3*R523+Assumptions!$B$4*S523+IF(AA523=1,Assumptions!$B$11,Assumptions!$B$5)*X523+IF(AA523=1,Assumptions!$B$12,Assumptions!$B$6)*T523+Assumptions!$B$7*U523+Assumptions!$B$8*V523+Assumptions!$B$9*Y523</f>
        <v>0.600537</v>
      </c>
      <c r="AA523" s="3" t="n">
        <v>0</v>
      </c>
    </row>
    <row r="524" customFormat="false" ht="15" hidden="false" customHeight="false" outlineLevel="0" collapsed="false">
      <c r="A524" s="3" t="s">
        <v>709</v>
      </c>
      <c r="B524" s="3" t="n">
        <v>495</v>
      </c>
      <c r="C524" s="11" t="str">
        <f aca="false">IF(M524&gt;=Assumptions!$B$17,"S+",IF(M524&gt;=Assumptions!$B$18,"S",IF(M524&gt;=Assumptions!$B$19,"A",IF(M524&gt;=Assumptions!$B$20,"B",IF(M524&gt;=Assumptions!$B$21,"C",IF(M524&gt;=Assumptions!$B$22,"D","F"))))))</f>
        <v>C</v>
      </c>
      <c r="D524" s="3" t="s">
        <v>253</v>
      </c>
      <c r="E524" s="3" t="n">
        <v>7</v>
      </c>
      <c r="F524" s="12" t="n">
        <v>0.8571</v>
      </c>
      <c r="G524" s="12" t="n">
        <v>0.4</v>
      </c>
      <c r="H524" s="12" t="n">
        <v>0.75</v>
      </c>
      <c r="I524" s="12" t="n">
        <v>0.6163</v>
      </c>
      <c r="J524" s="12" t="n">
        <v>0.3861</v>
      </c>
      <c r="K524" s="12" t="n">
        <v>0.6005</v>
      </c>
      <c r="L524" s="3" t="n">
        <v>4</v>
      </c>
      <c r="M524" s="12" t="n">
        <f aca="false">Z524-W524</f>
        <v>0.0710370000000001</v>
      </c>
      <c r="N524" s="12" t="n">
        <f aca="false">IFERROR((Z524-J524)/L524,"")</f>
        <v>0.05360925</v>
      </c>
      <c r="O524" s="3" t="n">
        <v>13</v>
      </c>
      <c r="P524" s="13" t="b">
        <f aca="false">FALSE()</f>
        <v>0</v>
      </c>
      <c r="Q524" s="3" t="s">
        <v>201</v>
      </c>
      <c r="R524" s="12" t="n">
        <v>0.7189</v>
      </c>
      <c r="S524" s="12" t="n">
        <v>0.6113</v>
      </c>
      <c r="T524" s="3" t="n">
        <v>0.1689</v>
      </c>
      <c r="U524" s="12" t="n">
        <v>0.4556</v>
      </c>
      <c r="V524" s="12" t="n">
        <v>0.5366</v>
      </c>
      <c r="W524" s="12" t="n">
        <v>0.5295</v>
      </c>
      <c r="X524" s="3" t="n">
        <v>0.8454</v>
      </c>
      <c r="Y524" s="3" t="n">
        <v>0.6181</v>
      </c>
      <c r="Z524" s="14" t="n">
        <f aca="false">Assumptions!$B$3*R524+Assumptions!$B$4*S524+IF(AA524=1,Assumptions!$B$11,Assumptions!$B$5)*X524+IF(AA524=1,Assumptions!$B$12,Assumptions!$B$6)*T524+Assumptions!$B$7*U524+Assumptions!$B$8*V524+Assumptions!$B$9*Y524</f>
        <v>0.600537</v>
      </c>
      <c r="AA524" s="3" t="n">
        <v>0</v>
      </c>
    </row>
    <row r="525" customFormat="false" ht="15" hidden="false" customHeight="false" outlineLevel="0" collapsed="false">
      <c r="A525" s="3" t="s">
        <v>710</v>
      </c>
      <c r="B525" s="3" t="n">
        <v>495</v>
      </c>
      <c r="C525" s="11" t="str">
        <f aca="false">IF(M525&gt;=Assumptions!$B$17,"S+",IF(M525&gt;=Assumptions!$B$18,"S",IF(M525&gt;=Assumptions!$B$19,"A",IF(M525&gt;=Assumptions!$B$20,"B",IF(M525&gt;=Assumptions!$B$21,"C",IF(M525&gt;=Assumptions!$B$22,"D","F"))))))</f>
        <v>C</v>
      </c>
      <c r="D525" s="3" t="s">
        <v>253</v>
      </c>
      <c r="E525" s="3" t="n">
        <v>7</v>
      </c>
      <c r="F525" s="12" t="n">
        <v>0.8571</v>
      </c>
      <c r="G525" s="12" t="n">
        <v>0.4</v>
      </c>
      <c r="H525" s="12" t="n">
        <v>0.75</v>
      </c>
      <c r="I525" s="12" t="n">
        <v>0.6163</v>
      </c>
      <c r="J525" s="12" t="n">
        <v>0.3861</v>
      </c>
      <c r="K525" s="12" t="n">
        <v>0.6005</v>
      </c>
      <c r="L525" s="3" t="n">
        <v>4</v>
      </c>
      <c r="M525" s="12" t="n">
        <f aca="false">Z525-W525</f>
        <v>0.0710370000000001</v>
      </c>
      <c r="N525" s="12" t="n">
        <f aca="false">IFERROR((Z525-J525)/L525,"")</f>
        <v>0.05360925</v>
      </c>
      <c r="O525" s="3" t="n">
        <v>13</v>
      </c>
      <c r="P525" s="13" t="b">
        <f aca="false">FALSE()</f>
        <v>0</v>
      </c>
      <c r="Q525" s="3" t="s">
        <v>201</v>
      </c>
      <c r="R525" s="12" t="n">
        <v>0.7189</v>
      </c>
      <c r="S525" s="12" t="n">
        <v>0.6113</v>
      </c>
      <c r="T525" s="3" t="n">
        <v>0.1689</v>
      </c>
      <c r="U525" s="12" t="n">
        <v>0.4556</v>
      </c>
      <c r="V525" s="12" t="n">
        <v>0.5366</v>
      </c>
      <c r="W525" s="12" t="n">
        <v>0.5295</v>
      </c>
      <c r="X525" s="3" t="n">
        <v>0.8454</v>
      </c>
      <c r="Y525" s="3" t="n">
        <v>0.6181</v>
      </c>
      <c r="Z525" s="14" t="n">
        <f aca="false">Assumptions!$B$3*R525+Assumptions!$B$4*S525+IF(AA525=1,Assumptions!$B$11,Assumptions!$B$5)*X525+IF(AA525=1,Assumptions!$B$12,Assumptions!$B$6)*T525+Assumptions!$B$7*U525+Assumptions!$B$8*V525+Assumptions!$B$9*Y525</f>
        <v>0.600537</v>
      </c>
      <c r="AA525" s="3" t="n">
        <v>0</v>
      </c>
    </row>
    <row r="526" customFormat="false" ht="15" hidden="false" customHeight="false" outlineLevel="0" collapsed="false">
      <c r="A526" s="3" t="s">
        <v>711</v>
      </c>
      <c r="B526" s="3" t="n">
        <v>495</v>
      </c>
      <c r="C526" s="11" t="str">
        <f aca="false">IF(M526&gt;=Assumptions!$B$17,"S+",IF(M526&gt;=Assumptions!$B$18,"S",IF(M526&gt;=Assumptions!$B$19,"A",IF(M526&gt;=Assumptions!$B$20,"B",IF(M526&gt;=Assumptions!$B$21,"C",IF(M526&gt;=Assumptions!$B$22,"D","F"))))))</f>
        <v>C</v>
      </c>
      <c r="D526" s="3" t="s">
        <v>253</v>
      </c>
      <c r="E526" s="3" t="n">
        <v>7</v>
      </c>
      <c r="F526" s="12" t="n">
        <v>0.8571</v>
      </c>
      <c r="G526" s="12" t="n">
        <v>0.4</v>
      </c>
      <c r="H526" s="12" t="n">
        <v>0.75</v>
      </c>
      <c r="I526" s="12" t="n">
        <v>0.6163</v>
      </c>
      <c r="J526" s="12" t="n">
        <v>0.3861</v>
      </c>
      <c r="K526" s="12" t="n">
        <v>0.6005</v>
      </c>
      <c r="L526" s="3" t="n">
        <v>4</v>
      </c>
      <c r="M526" s="12" t="n">
        <f aca="false">Z526-W526</f>
        <v>0.0710370000000001</v>
      </c>
      <c r="N526" s="12" t="n">
        <f aca="false">IFERROR((Z526-J526)/L526,"")</f>
        <v>0.05360925</v>
      </c>
      <c r="O526" s="3" t="n">
        <v>13</v>
      </c>
      <c r="P526" s="13" t="b">
        <f aca="false">FALSE()</f>
        <v>0</v>
      </c>
      <c r="Q526" s="3" t="s">
        <v>201</v>
      </c>
      <c r="R526" s="12" t="n">
        <v>0.7189</v>
      </c>
      <c r="S526" s="12" t="n">
        <v>0.6113</v>
      </c>
      <c r="T526" s="3" t="n">
        <v>0.1689</v>
      </c>
      <c r="U526" s="12" t="n">
        <v>0.4556</v>
      </c>
      <c r="V526" s="12" t="n">
        <v>0.5366</v>
      </c>
      <c r="W526" s="12" t="n">
        <v>0.5295</v>
      </c>
      <c r="X526" s="3" t="n">
        <v>0.8454</v>
      </c>
      <c r="Y526" s="3" t="n">
        <v>0.6181</v>
      </c>
      <c r="Z526" s="14" t="n">
        <f aca="false">Assumptions!$B$3*R526+Assumptions!$B$4*S526+IF(AA526=1,Assumptions!$B$11,Assumptions!$B$5)*X526+IF(AA526=1,Assumptions!$B$12,Assumptions!$B$6)*T526+Assumptions!$B$7*U526+Assumptions!$B$8*V526+Assumptions!$B$9*Y526</f>
        <v>0.600537</v>
      </c>
      <c r="AA526" s="3" t="n">
        <v>0</v>
      </c>
    </row>
    <row r="527" customFormat="false" ht="15" hidden="false" customHeight="false" outlineLevel="0" collapsed="false">
      <c r="A527" s="3" t="s">
        <v>712</v>
      </c>
      <c r="B527" s="3" t="n">
        <v>520</v>
      </c>
      <c r="C527" s="11" t="str">
        <f aca="false">IF(M527&gt;=Assumptions!$B$17,"S+",IF(M527&gt;=Assumptions!$B$18,"S",IF(M527&gt;=Assumptions!$B$19,"A",IF(M527&gt;=Assumptions!$B$20,"B",IF(M527&gt;=Assumptions!$B$21,"C",IF(M527&gt;=Assumptions!$B$22,"D","F"))))))</f>
        <v>C</v>
      </c>
      <c r="D527" s="3" t="s">
        <v>190</v>
      </c>
      <c r="E527" s="3" t="n">
        <v>6</v>
      </c>
      <c r="F527" s="12" t="n">
        <v>0.7609</v>
      </c>
      <c r="G527" s="12" t="n">
        <v>1</v>
      </c>
      <c r="H527" s="12" t="n">
        <v>0.75</v>
      </c>
      <c r="I527" s="12" t="n">
        <v>0.8591</v>
      </c>
      <c r="J527" s="12" t="n">
        <v>0.3662</v>
      </c>
      <c r="K527" s="12" t="n">
        <v>0.5484</v>
      </c>
      <c r="L527" s="3" t="n">
        <v>5</v>
      </c>
      <c r="M527" s="12" t="n">
        <f aca="false">Z527-W527</f>
        <v>0.071112</v>
      </c>
      <c r="N527" s="12" t="n">
        <f aca="false">IFERROR((Z527-J527)/L527,"")</f>
        <v>0.0364424</v>
      </c>
      <c r="O527" s="3" t="n">
        <v>14</v>
      </c>
      <c r="P527" s="13" t="b">
        <f aca="false">FALSE()</f>
        <v>0</v>
      </c>
      <c r="Q527" s="3" t="s">
        <v>166</v>
      </c>
      <c r="R527" s="12" t="n">
        <v>0.8858</v>
      </c>
      <c r="S527" s="12" t="n">
        <v>0.3094</v>
      </c>
      <c r="T527" s="3" t="n">
        <v>0.2095</v>
      </c>
      <c r="U527" s="12" t="n">
        <v>0.6374</v>
      </c>
      <c r="V527" s="12" t="n">
        <v>0.414</v>
      </c>
      <c r="W527" s="12" t="n">
        <v>0.4773</v>
      </c>
      <c r="X527" s="3" t="n">
        <v>0.3194</v>
      </c>
      <c r="Y527" s="3" t="n">
        <v>0.8617</v>
      </c>
      <c r="Z527" s="14" t="n">
        <f aca="false">Assumptions!$B$3*R527+Assumptions!$B$4*S527+IF(AA527=1,Assumptions!$B$11,Assumptions!$B$5)*X527+IF(AA527=1,Assumptions!$B$12,Assumptions!$B$6)*T527+Assumptions!$B$7*U527+Assumptions!$B$8*V527+Assumptions!$B$9*Y527</f>
        <v>0.548412</v>
      </c>
      <c r="AA527" s="3" t="n">
        <v>0</v>
      </c>
    </row>
    <row r="528" customFormat="false" ht="15" hidden="false" customHeight="false" outlineLevel="0" collapsed="false">
      <c r="A528" s="3" t="s">
        <v>713</v>
      </c>
      <c r="B528" s="3" t="n">
        <v>495</v>
      </c>
      <c r="C528" s="11" t="str">
        <f aca="false">IF(M528&gt;=Assumptions!$B$17,"S+",IF(M528&gt;=Assumptions!$B$18,"S",IF(M528&gt;=Assumptions!$B$19,"A",IF(M528&gt;=Assumptions!$B$20,"B",IF(M528&gt;=Assumptions!$B$21,"C",IF(M528&gt;=Assumptions!$B$22,"D","F"))))))</f>
        <v>C</v>
      </c>
      <c r="D528" s="3" t="s">
        <v>253</v>
      </c>
      <c r="E528" s="3" t="n">
        <v>7</v>
      </c>
      <c r="F528" s="12" t="n">
        <v>0.8571</v>
      </c>
      <c r="G528" s="12" t="n">
        <v>0.4</v>
      </c>
      <c r="H528" s="12" t="n">
        <v>0.75</v>
      </c>
      <c r="I528" s="12" t="n">
        <v>0.6163</v>
      </c>
      <c r="J528" s="12" t="n">
        <v>0.3861</v>
      </c>
      <c r="K528" s="12" t="n">
        <v>0.6005</v>
      </c>
      <c r="L528" s="3" t="n">
        <v>4</v>
      </c>
      <c r="M528" s="12" t="n">
        <f aca="false">Z528-W528</f>
        <v>0.0710370000000001</v>
      </c>
      <c r="N528" s="12" t="n">
        <f aca="false">IFERROR((Z528-J528)/L528,"")</f>
        <v>0.05360925</v>
      </c>
      <c r="O528" s="3" t="n">
        <v>13</v>
      </c>
      <c r="P528" s="13" t="b">
        <f aca="false">FALSE()</f>
        <v>0</v>
      </c>
      <c r="Q528" s="3" t="s">
        <v>201</v>
      </c>
      <c r="R528" s="12" t="n">
        <v>0.7189</v>
      </c>
      <c r="S528" s="12" t="n">
        <v>0.6113</v>
      </c>
      <c r="T528" s="3" t="n">
        <v>0.1689</v>
      </c>
      <c r="U528" s="12" t="n">
        <v>0.4556</v>
      </c>
      <c r="V528" s="12" t="n">
        <v>0.5366</v>
      </c>
      <c r="W528" s="12" t="n">
        <v>0.5295</v>
      </c>
      <c r="X528" s="3" t="n">
        <v>0.8454</v>
      </c>
      <c r="Y528" s="3" t="n">
        <v>0.6181</v>
      </c>
      <c r="Z528" s="14" t="n">
        <f aca="false">Assumptions!$B$3*R528+Assumptions!$B$4*S528+IF(AA528=1,Assumptions!$B$11,Assumptions!$B$5)*X528+IF(AA528=1,Assumptions!$B$12,Assumptions!$B$6)*T528+Assumptions!$B$7*U528+Assumptions!$B$8*V528+Assumptions!$B$9*Y528</f>
        <v>0.600537</v>
      </c>
      <c r="AA528" s="3" t="n">
        <v>0</v>
      </c>
    </row>
    <row r="529" customFormat="false" ht="15" hidden="false" customHeight="false" outlineLevel="0" collapsed="false">
      <c r="A529" s="3" t="s">
        <v>714</v>
      </c>
      <c r="B529" s="3" t="n">
        <v>495</v>
      </c>
      <c r="C529" s="11" t="str">
        <f aca="false">IF(M529&gt;=Assumptions!$B$17,"S+",IF(M529&gt;=Assumptions!$B$18,"S",IF(M529&gt;=Assumptions!$B$19,"A",IF(M529&gt;=Assumptions!$B$20,"B",IF(M529&gt;=Assumptions!$B$21,"C",IF(M529&gt;=Assumptions!$B$22,"D","F"))))))</f>
        <v>C</v>
      </c>
      <c r="D529" s="3" t="s">
        <v>253</v>
      </c>
      <c r="E529" s="3" t="n">
        <v>7</v>
      </c>
      <c r="F529" s="12" t="n">
        <v>0.8571</v>
      </c>
      <c r="G529" s="12" t="n">
        <v>0.4</v>
      </c>
      <c r="H529" s="12" t="n">
        <v>0.75</v>
      </c>
      <c r="I529" s="12" t="n">
        <v>0.6163</v>
      </c>
      <c r="J529" s="12" t="n">
        <v>0.3861</v>
      </c>
      <c r="K529" s="12" t="n">
        <v>0.6005</v>
      </c>
      <c r="L529" s="3" t="n">
        <v>4</v>
      </c>
      <c r="M529" s="12" t="n">
        <f aca="false">Z529-W529</f>
        <v>0.0710370000000001</v>
      </c>
      <c r="N529" s="12" t="n">
        <f aca="false">IFERROR((Z529-J529)/L529,"")</f>
        <v>0.05360925</v>
      </c>
      <c r="O529" s="3" t="n">
        <v>13</v>
      </c>
      <c r="P529" s="13" t="b">
        <f aca="false">FALSE()</f>
        <v>0</v>
      </c>
      <c r="Q529" s="3" t="s">
        <v>201</v>
      </c>
      <c r="R529" s="12" t="n">
        <v>0.7189</v>
      </c>
      <c r="S529" s="12" t="n">
        <v>0.6113</v>
      </c>
      <c r="T529" s="3" t="n">
        <v>0.1689</v>
      </c>
      <c r="U529" s="12" t="n">
        <v>0.4556</v>
      </c>
      <c r="V529" s="12" t="n">
        <v>0.5366</v>
      </c>
      <c r="W529" s="12" t="n">
        <v>0.5295</v>
      </c>
      <c r="X529" s="3" t="n">
        <v>0.8454</v>
      </c>
      <c r="Y529" s="3" t="n">
        <v>0.6181</v>
      </c>
      <c r="Z529" s="14" t="n">
        <f aca="false">Assumptions!$B$3*R529+Assumptions!$B$4*S529+IF(AA529=1,Assumptions!$B$11,Assumptions!$B$5)*X529+IF(AA529=1,Assumptions!$B$12,Assumptions!$B$6)*T529+Assumptions!$B$7*U529+Assumptions!$B$8*V529+Assumptions!$B$9*Y529</f>
        <v>0.600537</v>
      </c>
      <c r="AA529" s="3" t="n">
        <v>0</v>
      </c>
    </row>
    <row r="530" customFormat="false" ht="15" hidden="false" customHeight="false" outlineLevel="0" collapsed="false">
      <c r="A530" s="3" t="s">
        <v>715</v>
      </c>
      <c r="B530" s="3" t="n">
        <v>495</v>
      </c>
      <c r="C530" s="11" t="str">
        <f aca="false">IF(M530&gt;=Assumptions!$B$17,"S+",IF(M530&gt;=Assumptions!$B$18,"S",IF(M530&gt;=Assumptions!$B$19,"A",IF(M530&gt;=Assumptions!$B$20,"B",IF(M530&gt;=Assumptions!$B$21,"C",IF(M530&gt;=Assumptions!$B$22,"D","F"))))))</f>
        <v>C</v>
      </c>
      <c r="D530" s="3" t="s">
        <v>253</v>
      </c>
      <c r="E530" s="3" t="n">
        <v>7</v>
      </c>
      <c r="F530" s="12" t="n">
        <v>0.8571</v>
      </c>
      <c r="G530" s="12" t="n">
        <v>0.4</v>
      </c>
      <c r="H530" s="12" t="n">
        <v>0.75</v>
      </c>
      <c r="I530" s="12" t="n">
        <v>0.6163</v>
      </c>
      <c r="J530" s="12" t="n">
        <v>0.3861</v>
      </c>
      <c r="K530" s="12" t="n">
        <v>0.6005</v>
      </c>
      <c r="L530" s="3" t="n">
        <v>5</v>
      </c>
      <c r="M530" s="12" t="n">
        <f aca="false">Z530-W530</f>
        <v>0.0710370000000001</v>
      </c>
      <c r="N530" s="12" t="n">
        <f aca="false">IFERROR((Z530-J530)/L530,"")</f>
        <v>0.0428874</v>
      </c>
      <c r="O530" s="3" t="n">
        <v>13</v>
      </c>
      <c r="P530" s="13" t="b">
        <f aca="false">FALSE()</f>
        <v>0</v>
      </c>
      <c r="Q530" s="3" t="s">
        <v>166</v>
      </c>
      <c r="R530" s="12" t="n">
        <v>0.7189</v>
      </c>
      <c r="S530" s="12" t="n">
        <v>0.6113</v>
      </c>
      <c r="T530" s="3" t="n">
        <v>0.1689</v>
      </c>
      <c r="U530" s="12" t="n">
        <v>0.4556</v>
      </c>
      <c r="V530" s="12" t="n">
        <v>0.5366</v>
      </c>
      <c r="W530" s="12" t="n">
        <v>0.5295</v>
      </c>
      <c r="X530" s="3" t="n">
        <v>0.8454</v>
      </c>
      <c r="Y530" s="3" t="n">
        <v>0.6181</v>
      </c>
      <c r="Z530" s="14" t="n">
        <f aca="false">Assumptions!$B$3*R530+Assumptions!$B$4*S530+IF(AA530=1,Assumptions!$B$11,Assumptions!$B$5)*X530+IF(AA530=1,Assumptions!$B$12,Assumptions!$B$6)*T530+Assumptions!$B$7*U530+Assumptions!$B$8*V530+Assumptions!$B$9*Y530</f>
        <v>0.600537</v>
      </c>
      <c r="AA530" s="3" t="n">
        <v>0</v>
      </c>
    </row>
    <row r="531" customFormat="false" ht="15" hidden="false" customHeight="false" outlineLevel="0" collapsed="false">
      <c r="A531" s="3" t="s">
        <v>716</v>
      </c>
      <c r="B531" s="3" t="n">
        <v>495</v>
      </c>
      <c r="C531" s="11" t="str">
        <f aca="false">IF(M531&gt;=Assumptions!$B$17,"S+",IF(M531&gt;=Assumptions!$B$18,"S",IF(M531&gt;=Assumptions!$B$19,"A",IF(M531&gt;=Assumptions!$B$20,"B",IF(M531&gt;=Assumptions!$B$21,"C",IF(M531&gt;=Assumptions!$B$22,"D","F"))))))</f>
        <v>C</v>
      </c>
      <c r="D531" s="3" t="s">
        <v>253</v>
      </c>
      <c r="E531" s="3" t="n">
        <v>7</v>
      </c>
      <c r="F531" s="12" t="n">
        <v>0.8571</v>
      </c>
      <c r="G531" s="12" t="n">
        <v>0.4</v>
      </c>
      <c r="H531" s="12" t="n">
        <v>0.75</v>
      </c>
      <c r="I531" s="12" t="n">
        <v>0.6163</v>
      </c>
      <c r="J531" s="12" t="n">
        <v>0.3861</v>
      </c>
      <c r="K531" s="12" t="n">
        <v>0.6005</v>
      </c>
      <c r="L531" s="3" t="n">
        <v>5</v>
      </c>
      <c r="M531" s="12" t="n">
        <f aca="false">Z531-W531</f>
        <v>0.0710370000000001</v>
      </c>
      <c r="N531" s="12" t="n">
        <f aca="false">IFERROR((Z531-J531)/L531,"")</f>
        <v>0.0428874</v>
      </c>
      <c r="O531" s="3" t="n">
        <v>13</v>
      </c>
      <c r="P531" s="13" t="b">
        <f aca="false">FALSE()</f>
        <v>0</v>
      </c>
      <c r="Q531" s="3" t="s">
        <v>166</v>
      </c>
      <c r="R531" s="12" t="n">
        <v>0.7189</v>
      </c>
      <c r="S531" s="12" t="n">
        <v>0.6113</v>
      </c>
      <c r="T531" s="3" t="n">
        <v>0.1689</v>
      </c>
      <c r="U531" s="12" t="n">
        <v>0.4556</v>
      </c>
      <c r="V531" s="12" t="n">
        <v>0.5366</v>
      </c>
      <c r="W531" s="12" t="n">
        <v>0.5295</v>
      </c>
      <c r="X531" s="3" t="n">
        <v>0.8454</v>
      </c>
      <c r="Y531" s="3" t="n">
        <v>0.6181</v>
      </c>
      <c r="Z531" s="14" t="n">
        <f aca="false">Assumptions!$B$3*R531+Assumptions!$B$4*S531+IF(AA531=1,Assumptions!$B$11,Assumptions!$B$5)*X531+IF(AA531=1,Assumptions!$B$12,Assumptions!$B$6)*T531+Assumptions!$B$7*U531+Assumptions!$B$8*V531+Assumptions!$B$9*Y531</f>
        <v>0.600537</v>
      </c>
      <c r="AA531" s="3" t="n">
        <v>0</v>
      </c>
    </row>
    <row r="532" customFormat="false" ht="15" hidden="false" customHeight="false" outlineLevel="0" collapsed="false">
      <c r="A532" s="3" t="s">
        <v>717</v>
      </c>
      <c r="B532" s="3" t="n">
        <v>495</v>
      </c>
      <c r="C532" s="11" t="str">
        <f aca="false">IF(M532&gt;=Assumptions!$B$17,"S+",IF(M532&gt;=Assumptions!$B$18,"S",IF(M532&gt;=Assumptions!$B$19,"A",IF(M532&gt;=Assumptions!$B$20,"B",IF(M532&gt;=Assumptions!$B$21,"C",IF(M532&gt;=Assumptions!$B$22,"D","F"))))))</f>
        <v>C</v>
      </c>
      <c r="D532" s="3" t="s">
        <v>253</v>
      </c>
      <c r="E532" s="3" t="n">
        <v>7</v>
      </c>
      <c r="F532" s="12" t="n">
        <v>0.8571</v>
      </c>
      <c r="G532" s="12" t="n">
        <v>0.4</v>
      </c>
      <c r="H532" s="12" t="n">
        <v>0.75</v>
      </c>
      <c r="I532" s="12" t="n">
        <v>0.6163</v>
      </c>
      <c r="J532" s="12" t="n">
        <v>0.3861</v>
      </c>
      <c r="K532" s="12" t="n">
        <v>0.6005</v>
      </c>
      <c r="L532" s="3" t="n">
        <v>5</v>
      </c>
      <c r="M532" s="12" t="n">
        <f aca="false">Z532-W532</f>
        <v>0.0710370000000001</v>
      </c>
      <c r="N532" s="12" t="n">
        <f aca="false">IFERROR((Z532-J532)/L532,"")</f>
        <v>0.0428874</v>
      </c>
      <c r="O532" s="3" t="n">
        <v>13</v>
      </c>
      <c r="P532" s="13" t="b">
        <f aca="false">FALSE()</f>
        <v>0</v>
      </c>
      <c r="Q532" s="3" t="s">
        <v>166</v>
      </c>
      <c r="R532" s="12" t="n">
        <v>0.7189</v>
      </c>
      <c r="S532" s="12" t="n">
        <v>0.6113</v>
      </c>
      <c r="T532" s="3" t="n">
        <v>0.1689</v>
      </c>
      <c r="U532" s="12" t="n">
        <v>0.4556</v>
      </c>
      <c r="V532" s="12" t="n">
        <v>0.5366</v>
      </c>
      <c r="W532" s="12" t="n">
        <v>0.5295</v>
      </c>
      <c r="X532" s="3" t="n">
        <v>0.8454</v>
      </c>
      <c r="Y532" s="3" t="n">
        <v>0.6181</v>
      </c>
      <c r="Z532" s="14" t="n">
        <f aca="false">Assumptions!$B$3*R532+Assumptions!$B$4*S532+IF(AA532=1,Assumptions!$B$11,Assumptions!$B$5)*X532+IF(AA532=1,Assumptions!$B$12,Assumptions!$B$6)*T532+Assumptions!$B$7*U532+Assumptions!$B$8*V532+Assumptions!$B$9*Y532</f>
        <v>0.600537</v>
      </c>
      <c r="AA532" s="3" t="n">
        <v>0</v>
      </c>
    </row>
    <row r="533" customFormat="false" ht="15" hidden="false" customHeight="false" outlineLevel="0" collapsed="false">
      <c r="A533" s="3" t="s">
        <v>718</v>
      </c>
      <c r="B533" s="3" t="n">
        <v>495</v>
      </c>
      <c r="C533" s="11" t="str">
        <f aca="false">IF(M533&gt;=Assumptions!$B$17,"S+",IF(M533&gt;=Assumptions!$B$18,"S",IF(M533&gt;=Assumptions!$B$19,"A",IF(M533&gt;=Assumptions!$B$20,"B",IF(M533&gt;=Assumptions!$B$21,"C",IF(M533&gt;=Assumptions!$B$22,"D","F"))))))</f>
        <v>C</v>
      </c>
      <c r="D533" s="3" t="s">
        <v>253</v>
      </c>
      <c r="E533" s="3" t="n">
        <v>7</v>
      </c>
      <c r="F533" s="12" t="n">
        <v>0.8571</v>
      </c>
      <c r="G533" s="12" t="n">
        <v>0.4</v>
      </c>
      <c r="H533" s="12" t="n">
        <v>0.75</v>
      </c>
      <c r="I533" s="12" t="n">
        <v>0.6163</v>
      </c>
      <c r="J533" s="12" t="n">
        <v>0.3861</v>
      </c>
      <c r="K533" s="12" t="n">
        <v>0.6005</v>
      </c>
      <c r="L533" s="3" t="n">
        <v>5</v>
      </c>
      <c r="M533" s="12" t="n">
        <f aca="false">Z533-W533</f>
        <v>0.0710370000000001</v>
      </c>
      <c r="N533" s="12" t="n">
        <f aca="false">IFERROR((Z533-J533)/L533,"")</f>
        <v>0.0428874</v>
      </c>
      <c r="O533" s="3" t="n">
        <v>13</v>
      </c>
      <c r="P533" s="13" t="b">
        <f aca="false">FALSE()</f>
        <v>0</v>
      </c>
      <c r="Q533" s="3" t="s">
        <v>166</v>
      </c>
      <c r="R533" s="12" t="n">
        <v>0.7189</v>
      </c>
      <c r="S533" s="12" t="n">
        <v>0.6113</v>
      </c>
      <c r="T533" s="3" t="n">
        <v>0.1689</v>
      </c>
      <c r="U533" s="12" t="n">
        <v>0.4556</v>
      </c>
      <c r="V533" s="12" t="n">
        <v>0.5366</v>
      </c>
      <c r="W533" s="12" t="n">
        <v>0.5295</v>
      </c>
      <c r="X533" s="3" t="n">
        <v>0.8454</v>
      </c>
      <c r="Y533" s="3" t="n">
        <v>0.6181</v>
      </c>
      <c r="Z533" s="14" t="n">
        <f aca="false">Assumptions!$B$3*R533+Assumptions!$B$4*S533+IF(AA533=1,Assumptions!$B$11,Assumptions!$B$5)*X533+IF(AA533=1,Assumptions!$B$12,Assumptions!$B$6)*T533+Assumptions!$B$7*U533+Assumptions!$B$8*V533+Assumptions!$B$9*Y533</f>
        <v>0.600537</v>
      </c>
      <c r="AA533" s="3" t="n">
        <v>0</v>
      </c>
    </row>
    <row r="534" customFormat="false" ht="15" hidden="false" customHeight="false" outlineLevel="0" collapsed="false">
      <c r="A534" s="3" t="s">
        <v>719</v>
      </c>
      <c r="B534" s="3" t="n">
        <v>495</v>
      </c>
      <c r="C534" s="11" t="str">
        <f aca="false">IF(M534&gt;=Assumptions!$B$17,"S+",IF(M534&gt;=Assumptions!$B$18,"S",IF(M534&gt;=Assumptions!$B$19,"A",IF(M534&gt;=Assumptions!$B$20,"B",IF(M534&gt;=Assumptions!$B$21,"C",IF(M534&gt;=Assumptions!$B$22,"D","F"))))))</f>
        <v>C</v>
      </c>
      <c r="D534" s="3" t="s">
        <v>253</v>
      </c>
      <c r="E534" s="3" t="n">
        <v>7</v>
      </c>
      <c r="F534" s="12" t="n">
        <v>0.8571</v>
      </c>
      <c r="G534" s="12" t="n">
        <v>0.4</v>
      </c>
      <c r="H534" s="12" t="n">
        <v>0.75</v>
      </c>
      <c r="I534" s="12" t="n">
        <v>0.6163</v>
      </c>
      <c r="J534" s="12" t="n">
        <v>0.3861</v>
      </c>
      <c r="K534" s="12" t="n">
        <v>0.6005</v>
      </c>
      <c r="L534" s="3" t="n">
        <v>4</v>
      </c>
      <c r="M534" s="12" t="n">
        <f aca="false">Z534-W534</f>
        <v>0.0710370000000001</v>
      </c>
      <c r="N534" s="12" t="n">
        <f aca="false">IFERROR((Z534-J534)/L534,"")</f>
        <v>0.05360925</v>
      </c>
      <c r="O534" s="3" t="n">
        <v>13</v>
      </c>
      <c r="P534" s="13" t="b">
        <f aca="false">FALSE()</f>
        <v>0</v>
      </c>
      <c r="Q534" s="3" t="s">
        <v>201</v>
      </c>
      <c r="R534" s="12" t="n">
        <v>0.7189</v>
      </c>
      <c r="S534" s="12" t="n">
        <v>0.6113</v>
      </c>
      <c r="T534" s="3" t="n">
        <v>0.1689</v>
      </c>
      <c r="U534" s="12" t="n">
        <v>0.4556</v>
      </c>
      <c r="V534" s="12" t="n">
        <v>0.5366</v>
      </c>
      <c r="W534" s="12" t="n">
        <v>0.5295</v>
      </c>
      <c r="X534" s="3" t="n">
        <v>0.8454</v>
      </c>
      <c r="Y534" s="3" t="n">
        <v>0.6181</v>
      </c>
      <c r="Z534" s="14" t="n">
        <f aca="false">Assumptions!$B$3*R534+Assumptions!$B$4*S534+IF(AA534=1,Assumptions!$B$11,Assumptions!$B$5)*X534+IF(AA534=1,Assumptions!$B$12,Assumptions!$B$6)*T534+Assumptions!$B$7*U534+Assumptions!$B$8*V534+Assumptions!$B$9*Y534</f>
        <v>0.600537</v>
      </c>
      <c r="AA534" s="3" t="n">
        <v>0</v>
      </c>
    </row>
    <row r="535" customFormat="false" ht="15" hidden="false" customHeight="false" outlineLevel="0" collapsed="false">
      <c r="A535" s="3" t="s">
        <v>720</v>
      </c>
      <c r="B535" s="3" t="n">
        <v>495</v>
      </c>
      <c r="C535" s="11" t="str">
        <f aca="false">IF(M535&gt;=Assumptions!$B$17,"S+",IF(M535&gt;=Assumptions!$B$18,"S",IF(M535&gt;=Assumptions!$B$19,"A",IF(M535&gt;=Assumptions!$B$20,"B",IF(M535&gt;=Assumptions!$B$21,"C",IF(M535&gt;=Assumptions!$B$22,"D","F"))))))</f>
        <v>C</v>
      </c>
      <c r="D535" s="3" t="s">
        <v>253</v>
      </c>
      <c r="E535" s="3" t="n">
        <v>7</v>
      </c>
      <c r="F535" s="12" t="n">
        <v>0.8571</v>
      </c>
      <c r="G535" s="12" t="n">
        <v>0.4</v>
      </c>
      <c r="H535" s="12" t="n">
        <v>0.75</v>
      </c>
      <c r="I535" s="12" t="n">
        <v>0.6163</v>
      </c>
      <c r="J535" s="12" t="n">
        <v>0.3861</v>
      </c>
      <c r="K535" s="12" t="n">
        <v>0.6005</v>
      </c>
      <c r="L535" s="3" t="n">
        <v>4</v>
      </c>
      <c r="M535" s="12" t="n">
        <f aca="false">Z535-W535</f>
        <v>0.0710370000000001</v>
      </c>
      <c r="N535" s="12" t="n">
        <f aca="false">IFERROR((Z535-J535)/L535,"")</f>
        <v>0.05360925</v>
      </c>
      <c r="O535" s="3" t="n">
        <v>13</v>
      </c>
      <c r="P535" s="13" t="b">
        <f aca="false">FALSE()</f>
        <v>0</v>
      </c>
      <c r="Q535" s="3" t="s">
        <v>201</v>
      </c>
      <c r="R535" s="12" t="n">
        <v>0.7189</v>
      </c>
      <c r="S535" s="12" t="n">
        <v>0.6113</v>
      </c>
      <c r="T535" s="3" t="n">
        <v>0.1689</v>
      </c>
      <c r="U535" s="12" t="n">
        <v>0.4556</v>
      </c>
      <c r="V535" s="12" t="n">
        <v>0.5366</v>
      </c>
      <c r="W535" s="12" t="n">
        <v>0.5295</v>
      </c>
      <c r="X535" s="3" t="n">
        <v>0.8454</v>
      </c>
      <c r="Y535" s="3" t="n">
        <v>0.6181</v>
      </c>
      <c r="Z535" s="14" t="n">
        <f aca="false">Assumptions!$B$3*R535+Assumptions!$B$4*S535+IF(AA535=1,Assumptions!$B$11,Assumptions!$B$5)*X535+IF(AA535=1,Assumptions!$B$12,Assumptions!$B$6)*T535+Assumptions!$B$7*U535+Assumptions!$B$8*V535+Assumptions!$B$9*Y535</f>
        <v>0.600537</v>
      </c>
      <c r="AA535" s="3" t="n">
        <v>0</v>
      </c>
    </row>
    <row r="536" customFormat="false" ht="15" hidden="false" customHeight="false" outlineLevel="0" collapsed="false">
      <c r="A536" s="3" t="s">
        <v>721</v>
      </c>
      <c r="B536" s="3" t="n">
        <v>495</v>
      </c>
      <c r="C536" s="11" t="str">
        <f aca="false">IF(M536&gt;=Assumptions!$B$17,"S+",IF(M536&gt;=Assumptions!$B$18,"S",IF(M536&gt;=Assumptions!$B$19,"A",IF(M536&gt;=Assumptions!$B$20,"B",IF(M536&gt;=Assumptions!$B$21,"C",IF(M536&gt;=Assumptions!$B$22,"D","F"))))))</f>
        <v>C</v>
      </c>
      <c r="D536" s="3" t="s">
        <v>253</v>
      </c>
      <c r="E536" s="3" t="n">
        <v>7</v>
      </c>
      <c r="F536" s="12" t="n">
        <v>0.8571</v>
      </c>
      <c r="G536" s="12" t="n">
        <v>0.4</v>
      </c>
      <c r="H536" s="12" t="n">
        <v>0.75</v>
      </c>
      <c r="I536" s="12" t="n">
        <v>0.6163</v>
      </c>
      <c r="J536" s="12" t="n">
        <v>0.3861</v>
      </c>
      <c r="K536" s="12" t="n">
        <v>0.6005</v>
      </c>
      <c r="L536" s="3" t="n">
        <v>4</v>
      </c>
      <c r="M536" s="12" t="n">
        <f aca="false">Z536-W536</f>
        <v>0.0710370000000001</v>
      </c>
      <c r="N536" s="12" t="n">
        <f aca="false">IFERROR((Z536-J536)/L536,"")</f>
        <v>0.05360925</v>
      </c>
      <c r="O536" s="3" t="n">
        <v>13</v>
      </c>
      <c r="P536" s="13" t="b">
        <f aca="false">FALSE()</f>
        <v>0</v>
      </c>
      <c r="Q536" s="3" t="s">
        <v>201</v>
      </c>
      <c r="R536" s="12" t="n">
        <v>0.7189</v>
      </c>
      <c r="S536" s="12" t="n">
        <v>0.6113</v>
      </c>
      <c r="T536" s="3" t="n">
        <v>0.1689</v>
      </c>
      <c r="U536" s="12" t="n">
        <v>0.4556</v>
      </c>
      <c r="V536" s="12" t="n">
        <v>0.5366</v>
      </c>
      <c r="W536" s="12" t="n">
        <v>0.5295</v>
      </c>
      <c r="X536" s="3" t="n">
        <v>0.8454</v>
      </c>
      <c r="Y536" s="3" t="n">
        <v>0.6181</v>
      </c>
      <c r="Z536" s="14" t="n">
        <f aca="false">Assumptions!$B$3*R536+Assumptions!$B$4*S536+IF(AA536=1,Assumptions!$B$11,Assumptions!$B$5)*X536+IF(AA536=1,Assumptions!$B$12,Assumptions!$B$6)*T536+Assumptions!$B$7*U536+Assumptions!$B$8*V536+Assumptions!$B$9*Y536</f>
        <v>0.600537</v>
      </c>
      <c r="AA536" s="3" t="n">
        <v>0</v>
      </c>
    </row>
    <row r="537" customFormat="false" ht="15" hidden="false" customHeight="false" outlineLevel="0" collapsed="false">
      <c r="A537" s="3" t="s">
        <v>722</v>
      </c>
      <c r="B537" s="3" t="n">
        <v>495</v>
      </c>
      <c r="C537" s="11" t="str">
        <f aca="false">IF(M537&gt;=Assumptions!$B$17,"S+",IF(M537&gt;=Assumptions!$B$18,"S",IF(M537&gt;=Assumptions!$B$19,"A",IF(M537&gt;=Assumptions!$B$20,"B",IF(M537&gt;=Assumptions!$B$21,"C",IF(M537&gt;=Assumptions!$B$22,"D","F"))))))</f>
        <v>C</v>
      </c>
      <c r="D537" s="3" t="s">
        <v>253</v>
      </c>
      <c r="E537" s="3" t="n">
        <v>7</v>
      </c>
      <c r="F537" s="12" t="n">
        <v>0.8571</v>
      </c>
      <c r="G537" s="12" t="n">
        <v>0.4</v>
      </c>
      <c r="H537" s="12" t="n">
        <v>0.75</v>
      </c>
      <c r="I537" s="12" t="n">
        <v>0.6163</v>
      </c>
      <c r="J537" s="12" t="n">
        <v>0.3861</v>
      </c>
      <c r="K537" s="12" t="n">
        <v>0.6005</v>
      </c>
      <c r="L537" s="3" t="n">
        <v>4</v>
      </c>
      <c r="M537" s="12" t="n">
        <f aca="false">Z537-W537</f>
        <v>0.0710370000000001</v>
      </c>
      <c r="N537" s="12" t="n">
        <f aca="false">IFERROR((Z537-J537)/L537,"")</f>
        <v>0.05360925</v>
      </c>
      <c r="O537" s="3" t="n">
        <v>13</v>
      </c>
      <c r="P537" s="13" t="b">
        <f aca="false">FALSE()</f>
        <v>0</v>
      </c>
      <c r="Q537" s="3" t="s">
        <v>201</v>
      </c>
      <c r="R537" s="12" t="n">
        <v>0.7189</v>
      </c>
      <c r="S537" s="12" t="n">
        <v>0.6113</v>
      </c>
      <c r="T537" s="3" t="n">
        <v>0.1689</v>
      </c>
      <c r="U537" s="12" t="n">
        <v>0.4556</v>
      </c>
      <c r="V537" s="12" t="n">
        <v>0.5366</v>
      </c>
      <c r="W537" s="12" t="n">
        <v>0.5295</v>
      </c>
      <c r="X537" s="3" t="n">
        <v>0.8454</v>
      </c>
      <c r="Y537" s="3" t="n">
        <v>0.6181</v>
      </c>
      <c r="Z537" s="14" t="n">
        <f aca="false">Assumptions!$B$3*R537+Assumptions!$B$4*S537+IF(AA537=1,Assumptions!$B$11,Assumptions!$B$5)*X537+IF(AA537=1,Assumptions!$B$12,Assumptions!$B$6)*T537+Assumptions!$B$7*U537+Assumptions!$B$8*V537+Assumptions!$B$9*Y537</f>
        <v>0.600537</v>
      </c>
      <c r="AA537" s="3" t="n">
        <v>0</v>
      </c>
    </row>
    <row r="538" customFormat="false" ht="15" hidden="false" customHeight="false" outlineLevel="0" collapsed="false">
      <c r="A538" s="3" t="s">
        <v>723</v>
      </c>
      <c r="B538" s="3" t="n">
        <v>495</v>
      </c>
      <c r="C538" s="11" t="str">
        <f aca="false">IF(M538&gt;=Assumptions!$B$17,"S+",IF(M538&gt;=Assumptions!$B$18,"S",IF(M538&gt;=Assumptions!$B$19,"A",IF(M538&gt;=Assumptions!$B$20,"B",IF(M538&gt;=Assumptions!$B$21,"C",IF(M538&gt;=Assumptions!$B$22,"D","F"))))))</f>
        <v>C</v>
      </c>
      <c r="D538" s="3" t="s">
        <v>253</v>
      </c>
      <c r="E538" s="3" t="n">
        <v>7</v>
      </c>
      <c r="F538" s="12" t="n">
        <v>0.8571</v>
      </c>
      <c r="G538" s="12" t="n">
        <v>0.4</v>
      </c>
      <c r="H538" s="12" t="n">
        <v>0.75</v>
      </c>
      <c r="I538" s="12" t="n">
        <v>0.6163</v>
      </c>
      <c r="J538" s="12" t="n">
        <v>0.3861</v>
      </c>
      <c r="K538" s="12" t="n">
        <v>0.6005</v>
      </c>
      <c r="L538" s="3" t="n">
        <v>4</v>
      </c>
      <c r="M538" s="12" t="n">
        <f aca="false">Z538-W538</f>
        <v>0.0710370000000001</v>
      </c>
      <c r="N538" s="12" t="n">
        <f aca="false">IFERROR((Z538-J538)/L538,"")</f>
        <v>0.05360925</v>
      </c>
      <c r="O538" s="3" t="n">
        <v>13</v>
      </c>
      <c r="P538" s="13" t="b">
        <f aca="false">FALSE()</f>
        <v>0</v>
      </c>
      <c r="Q538" s="3" t="s">
        <v>201</v>
      </c>
      <c r="R538" s="12" t="n">
        <v>0.7189</v>
      </c>
      <c r="S538" s="12" t="n">
        <v>0.6113</v>
      </c>
      <c r="T538" s="3" t="n">
        <v>0.1689</v>
      </c>
      <c r="U538" s="12" t="n">
        <v>0.4556</v>
      </c>
      <c r="V538" s="12" t="n">
        <v>0.5366</v>
      </c>
      <c r="W538" s="12" t="n">
        <v>0.5295</v>
      </c>
      <c r="X538" s="3" t="n">
        <v>0.8454</v>
      </c>
      <c r="Y538" s="3" t="n">
        <v>0.6181</v>
      </c>
      <c r="Z538" s="14" t="n">
        <f aca="false">Assumptions!$B$3*R538+Assumptions!$B$4*S538+IF(AA538=1,Assumptions!$B$11,Assumptions!$B$5)*X538+IF(AA538=1,Assumptions!$B$12,Assumptions!$B$6)*T538+Assumptions!$B$7*U538+Assumptions!$B$8*V538+Assumptions!$B$9*Y538</f>
        <v>0.600537</v>
      </c>
      <c r="AA538" s="3" t="n">
        <v>0</v>
      </c>
    </row>
    <row r="539" customFormat="false" ht="15" hidden="false" customHeight="false" outlineLevel="0" collapsed="false">
      <c r="A539" s="3" t="s">
        <v>724</v>
      </c>
      <c r="B539" s="3" t="n">
        <v>495</v>
      </c>
      <c r="C539" s="11" t="str">
        <f aca="false">IF(M539&gt;=Assumptions!$B$17,"S+",IF(M539&gt;=Assumptions!$B$18,"S",IF(M539&gt;=Assumptions!$B$19,"A",IF(M539&gt;=Assumptions!$B$20,"B",IF(M539&gt;=Assumptions!$B$21,"C",IF(M539&gt;=Assumptions!$B$22,"D","F"))))))</f>
        <v>C</v>
      </c>
      <c r="D539" s="3" t="s">
        <v>253</v>
      </c>
      <c r="E539" s="3" t="n">
        <v>7</v>
      </c>
      <c r="F539" s="12" t="n">
        <v>0.8571</v>
      </c>
      <c r="G539" s="12" t="n">
        <v>0.4</v>
      </c>
      <c r="H539" s="12" t="n">
        <v>0.75</v>
      </c>
      <c r="I539" s="12" t="n">
        <v>0.6163</v>
      </c>
      <c r="J539" s="12" t="n">
        <v>0.3861</v>
      </c>
      <c r="K539" s="12" t="n">
        <v>0.6005</v>
      </c>
      <c r="L539" s="3" t="n">
        <v>4</v>
      </c>
      <c r="M539" s="12" t="n">
        <f aca="false">Z539-W539</f>
        <v>0.0710370000000001</v>
      </c>
      <c r="N539" s="12" t="n">
        <f aca="false">IFERROR((Z539-J539)/L539,"")</f>
        <v>0.05360925</v>
      </c>
      <c r="O539" s="3" t="n">
        <v>13</v>
      </c>
      <c r="P539" s="13" t="b">
        <f aca="false">FALSE()</f>
        <v>0</v>
      </c>
      <c r="Q539" s="3" t="s">
        <v>201</v>
      </c>
      <c r="R539" s="12" t="n">
        <v>0.7189</v>
      </c>
      <c r="S539" s="12" t="n">
        <v>0.6113</v>
      </c>
      <c r="T539" s="3" t="n">
        <v>0.1689</v>
      </c>
      <c r="U539" s="12" t="n">
        <v>0.4556</v>
      </c>
      <c r="V539" s="12" t="n">
        <v>0.5366</v>
      </c>
      <c r="W539" s="12" t="n">
        <v>0.5295</v>
      </c>
      <c r="X539" s="3" t="n">
        <v>0.8454</v>
      </c>
      <c r="Y539" s="3" t="n">
        <v>0.6181</v>
      </c>
      <c r="Z539" s="14" t="n">
        <f aca="false">Assumptions!$B$3*R539+Assumptions!$B$4*S539+IF(AA539=1,Assumptions!$B$11,Assumptions!$B$5)*X539+IF(AA539=1,Assumptions!$B$12,Assumptions!$B$6)*T539+Assumptions!$B$7*U539+Assumptions!$B$8*V539+Assumptions!$B$9*Y539</f>
        <v>0.600537</v>
      </c>
      <c r="AA539" s="3" t="n">
        <v>0</v>
      </c>
    </row>
    <row r="540" customFormat="false" ht="15" hidden="false" customHeight="false" outlineLevel="0" collapsed="false">
      <c r="A540" s="3" t="s">
        <v>725</v>
      </c>
      <c r="B540" s="3" t="n">
        <v>495</v>
      </c>
      <c r="C540" s="11" t="str">
        <f aca="false">IF(M540&gt;=Assumptions!$B$17,"S+",IF(M540&gt;=Assumptions!$B$18,"S",IF(M540&gt;=Assumptions!$B$19,"A",IF(M540&gt;=Assumptions!$B$20,"B",IF(M540&gt;=Assumptions!$B$21,"C",IF(M540&gt;=Assumptions!$B$22,"D","F"))))))</f>
        <v>C</v>
      </c>
      <c r="D540" s="3" t="s">
        <v>253</v>
      </c>
      <c r="E540" s="3" t="n">
        <v>7</v>
      </c>
      <c r="F540" s="12" t="n">
        <v>0.8571</v>
      </c>
      <c r="G540" s="12" t="n">
        <v>0.4</v>
      </c>
      <c r="H540" s="12" t="n">
        <v>0.75</v>
      </c>
      <c r="I540" s="12" t="n">
        <v>0.6163</v>
      </c>
      <c r="J540" s="12" t="n">
        <v>0.3861</v>
      </c>
      <c r="K540" s="12" t="n">
        <v>0.6005</v>
      </c>
      <c r="L540" s="3" t="n">
        <v>4</v>
      </c>
      <c r="M540" s="12" t="n">
        <f aca="false">Z540-W540</f>
        <v>0.0710370000000001</v>
      </c>
      <c r="N540" s="12" t="n">
        <f aca="false">IFERROR((Z540-J540)/L540,"")</f>
        <v>0.05360925</v>
      </c>
      <c r="O540" s="3" t="n">
        <v>13</v>
      </c>
      <c r="P540" s="13" t="b">
        <f aca="false">FALSE()</f>
        <v>0</v>
      </c>
      <c r="Q540" s="3" t="s">
        <v>201</v>
      </c>
      <c r="R540" s="12" t="n">
        <v>0.7189</v>
      </c>
      <c r="S540" s="12" t="n">
        <v>0.6113</v>
      </c>
      <c r="T540" s="3" t="n">
        <v>0.1689</v>
      </c>
      <c r="U540" s="12" t="n">
        <v>0.4556</v>
      </c>
      <c r="V540" s="12" t="n">
        <v>0.5366</v>
      </c>
      <c r="W540" s="12" t="n">
        <v>0.5295</v>
      </c>
      <c r="X540" s="3" t="n">
        <v>0.8454</v>
      </c>
      <c r="Y540" s="3" t="n">
        <v>0.6181</v>
      </c>
      <c r="Z540" s="14" t="n">
        <f aca="false">Assumptions!$B$3*R540+Assumptions!$B$4*S540+IF(AA540=1,Assumptions!$B$11,Assumptions!$B$5)*X540+IF(AA540=1,Assumptions!$B$12,Assumptions!$B$6)*T540+Assumptions!$B$7*U540+Assumptions!$B$8*V540+Assumptions!$B$9*Y540</f>
        <v>0.600537</v>
      </c>
      <c r="AA540" s="3" t="n">
        <v>0</v>
      </c>
    </row>
    <row r="541" customFormat="false" ht="15" hidden="false" customHeight="false" outlineLevel="0" collapsed="false">
      <c r="A541" s="3" t="s">
        <v>726</v>
      </c>
      <c r="B541" s="3" t="n">
        <v>495</v>
      </c>
      <c r="C541" s="11" t="str">
        <f aca="false">IF(M541&gt;=Assumptions!$B$17,"S+",IF(M541&gt;=Assumptions!$B$18,"S",IF(M541&gt;=Assumptions!$B$19,"A",IF(M541&gt;=Assumptions!$B$20,"B",IF(M541&gt;=Assumptions!$B$21,"C",IF(M541&gt;=Assumptions!$B$22,"D","F"))))))</f>
        <v>C</v>
      </c>
      <c r="D541" s="3" t="s">
        <v>253</v>
      </c>
      <c r="E541" s="3" t="n">
        <v>7</v>
      </c>
      <c r="F541" s="12" t="n">
        <v>0.8571</v>
      </c>
      <c r="G541" s="12" t="n">
        <v>0.4</v>
      </c>
      <c r="H541" s="12" t="n">
        <v>0.75</v>
      </c>
      <c r="I541" s="12" t="n">
        <v>0.6163</v>
      </c>
      <c r="J541" s="12" t="n">
        <v>0.3861</v>
      </c>
      <c r="K541" s="12" t="n">
        <v>0.6005</v>
      </c>
      <c r="L541" s="3" t="n">
        <v>4</v>
      </c>
      <c r="M541" s="12" t="n">
        <f aca="false">Z541-W541</f>
        <v>0.0710370000000001</v>
      </c>
      <c r="N541" s="12" t="n">
        <f aca="false">IFERROR((Z541-J541)/L541,"")</f>
        <v>0.05360925</v>
      </c>
      <c r="O541" s="3" t="n">
        <v>13</v>
      </c>
      <c r="P541" s="13" t="b">
        <f aca="false">FALSE()</f>
        <v>0</v>
      </c>
      <c r="Q541" s="3" t="s">
        <v>201</v>
      </c>
      <c r="R541" s="12" t="n">
        <v>0.7189</v>
      </c>
      <c r="S541" s="12" t="n">
        <v>0.6113</v>
      </c>
      <c r="T541" s="3" t="n">
        <v>0.1689</v>
      </c>
      <c r="U541" s="12" t="n">
        <v>0.4556</v>
      </c>
      <c r="V541" s="12" t="n">
        <v>0.5366</v>
      </c>
      <c r="W541" s="12" t="n">
        <v>0.5295</v>
      </c>
      <c r="X541" s="3" t="n">
        <v>0.8454</v>
      </c>
      <c r="Y541" s="3" t="n">
        <v>0.6181</v>
      </c>
      <c r="Z541" s="14" t="n">
        <f aca="false">Assumptions!$B$3*R541+Assumptions!$B$4*S541+IF(AA541=1,Assumptions!$B$11,Assumptions!$B$5)*X541+IF(AA541=1,Assumptions!$B$12,Assumptions!$B$6)*T541+Assumptions!$B$7*U541+Assumptions!$B$8*V541+Assumptions!$B$9*Y541</f>
        <v>0.600537</v>
      </c>
      <c r="AA541" s="3" t="n">
        <v>0</v>
      </c>
    </row>
    <row r="542" customFormat="false" ht="15" hidden="false" customHeight="false" outlineLevel="0" collapsed="false">
      <c r="A542" s="3" t="s">
        <v>727</v>
      </c>
      <c r="B542" s="3" t="n">
        <v>495</v>
      </c>
      <c r="C542" s="11" t="str">
        <f aca="false">IF(M542&gt;=Assumptions!$B$17,"S+",IF(M542&gt;=Assumptions!$B$18,"S",IF(M542&gt;=Assumptions!$B$19,"A",IF(M542&gt;=Assumptions!$B$20,"B",IF(M542&gt;=Assumptions!$B$21,"C",IF(M542&gt;=Assumptions!$B$22,"D","F"))))))</f>
        <v>C</v>
      </c>
      <c r="D542" s="3" t="s">
        <v>253</v>
      </c>
      <c r="E542" s="3" t="n">
        <v>7</v>
      </c>
      <c r="F542" s="12" t="n">
        <v>0.8571</v>
      </c>
      <c r="G542" s="12" t="n">
        <v>0.4</v>
      </c>
      <c r="H542" s="12" t="n">
        <v>0.75</v>
      </c>
      <c r="I542" s="12" t="n">
        <v>0.6163</v>
      </c>
      <c r="J542" s="12" t="n">
        <v>0.3861</v>
      </c>
      <c r="K542" s="12" t="n">
        <v>0.6005</v>
      </c>
      <c r="L542" s="3" t="n">
        <v>4</v>
      </c>
      <c r="M542" s="12" t="n">
        <f aca="false">Z542-W542</f>
        <v>0.0710370000000001</v>
      </c>
      <c r="N542" s="12" t="n">
        <f aca="false">IFERROR((Z542-J542)/L542,"")</f>
        <v>0.05360925</v>
      </c>
      <c r="O542" s="3" t="n">
        <v>13</v>
      </c>
      <c r="P542" s="13" t="b">
        <f aca="false">FALSE()</f>
        <v>0</v>
      </c>
      <c r="Q542" s="3" t="s">
        <v>201</v>
      </c>
      <c r="R542" s="12" t="n">
        <v>0.7189</v>
      </c>
      <c r="S542" s="12" t="n">
        <v>0.6113</v>
      </c>
      <c r="T542" s="3" t="n">
        <v>0.1689</v>
      </c>
      <c r="U542" s="12" t="n">
        <v>0.4556</v>
      </c>
      <c r="V542" s="12" t="n">
        <v>0.5366</v>
      </c>
      <c r="W542" s="12" t="n">
        <v>0.5295</v>
      </c>
      <c r="X542" s="3" t="n">
        <v>0.8454</v>
      </c>
      <c r="Y542" s="3" t="n">
        <v>0.6181</v>
      </c>
      <c r="Z542" s="14" t="n">
        <f aca="false">Assumptions!$B$3*R542+Assumptions!$B$4*S542+IF(AA542=1,Assumptions!$B$11,Assumptions!$B$5)*X542+IF(AA542=1,Assumptions!$B$12,Assumptions!$B$6)*T542+Assumptions!$B$7*U542+Assumptions!$B$8*V542+Assumptions!$B$9*Y542</f>
        <v>0.600537</v>
      </c>
      <c r="AA542" s="3" t="n">
        <v>0</v>
      </c>
    </row>
    <row r="543" customFormat="false" ht="15" hidden="false" customHeight="false" outlineLevel="0" collapsed="false">
      <c r="A543" s="3" t="s">
        <v>728</v>
      </c>
      <c r="B543" s="3" t="n">
        <v>495</v>
      </c>
      <c r="C543" s="11" t="str">
        <f aca="false">IF(M543&gt;=Assumptions!$B$17,"S+",IF(M543&gt;=Assumptions!$B$18,"S",IF(M543&gt;=Assumptions!$B$19,"A",IF(M543&gt;=Assumptions!$B$20,"B",IF(M543&gt;=Assumptions!$B$21,"C",IF(M543&gt;=Assumptions!$B$22,"D","F"))))))</f>
        <v>C</v>
      </c>
      <c r="D543" s="3" t="s">
        <v>253</v>
      </c>
      <c r="E543" s="3" t="n">
        <v>7</v>
      </c>
      <c r="F543" s="12" t="n">
        <v>0.8571</v>
      </c>
      <c r="G543" s="12" t="n">
        <v>0.4</v>
      </c>
      <c r="H543" s="12" t="n">
        <v>0.75</v>
      </c>
      <c r="I543" s="12" t="n">
        <v>0.6163</v>
      </c>
      <c r="J543" s="12" t="n">
        <v>0.3861</v>
      </c>
      <c r="K543" s="12" t="n">
        <v>0.6005</v>
      </c>
      <c r="L543" s="3" t="n">
        <v>4</v>
      </c>
      <c r="M543" s="12" t="n">
        <f aca="false">Z543-W543</f>
        <v>0.0710370000000001</v>
      </c>
      <c r="N543" s="12" t="n">
        <f aca="false">IFERROR((Z543-J543)/L543,"")</f>
        <v>0.05360925</v>
      </c>
      <c r="O543" s="3" t="n">
        <v>13</v>
      </c>
      <c r="P543" s="13" t="b">
        <f aca="false">FALSE()</f>
        <v>0</v>
      </c>
      <c r="Q543" s="3" t="s">
        <v>201</v>
      </c>
      <c r="R543" s="12" t="n">
        <v>0.7189</v>
      </c>
      <c r="S543" s="12" t="n">
        <v>0.6113</v>
      </c>
      <c r="T543" s="3" t="n">
        <v>0.1689</v>
      </c>
      <c r="U543" s="12" t="n">
        <v>0.4556</v>
      </c>
      <c r="V543" s="12" t="n">
        <v>0.5366</v>
      </c>
      <c r="W543" s="12" t="n">
        <v>0.5295</v>
      </c>
      <c r="X543" s="3" t="n">
        <v>0.8454</v>
      </c>
      <c r="Y543" s="3" t="n">
        <v>0.6181</v>
      </c>
      <c r="Z543" s="14" t="n">
        <f aca="false">Assumptions!$B$3*R543+Assumptions!$B$4*S543+IF(AA543=1,Assumptions!$B$11,Assumptions!$B$5)*X543+IF(AA543=1,Assumptions!$B$12,Assumptions!$B$6)*T543+Assumptions!$B$7*U543+Assumptions!$B$8*V543+Assumptions!$B$9*Y543</f>
        <v>0.600537</v>
      </c>
      <c r="AA543" s="3" t="n">
        <v>0</v>
      </c>
    </row>
    <row r="544" customFormat="false" ht="15" hidden="false" customHeight="false" outlineLevel="0" collapsed="false">
      <c r="A544" s="3" t="s">
        <v>729</v>
      </c>
      <c r="B544" s="3" t="n">
        <v>495</v>
      </c>
      <c r="C544" s="11" t="str">
        <f aca="false">IF(M544&gt;=Assumptions!$B$17,"S+",IF(M544&gt;=Assumptions!$B$18,"S",IF(M544&gt;=Assumptions!$B$19,"A",IF(M544&gt;=Assumptions!$B$20,"B",IF(M544&gt;=Assumptions!$B$21,"C",IF(M544&gt;=Assumptions!$B$22,"D","F"))))))</f>
        <v>C</v>
      </c>
      <c r="D544" s="3" t="s">
        <v>253</v>
      </c>
      <c r="E544" s="3" t="n">
        <v>7</v>
      </c>
      <c r="F544" s="12" t="n">
        <v>0.8571</v>
      </c>
      <c r="G544" s="12" t="n">
        <v>0.4</v>
      </c>
      <c r="H544" s="12" t="n">
        <v>0.75</v>
      </c>
      <c r="I544" s="12" t="n">
        <v>0.6163</v>
      </c>
      <c r="J544" s="12" t="n">
        <v>0.3861</v>
      </c>
      <c r="K544" s="12" t="n">
        <v>0.6005</v>
      </c>
      <c r="L544" s="3" t="n">
        <v>4</v>
      </c>
      <c r="M544" s="12" t="n">
        <f aca="false">Z544-W544</f>
        <v>0.0710370000000001</v>
      </c>
      <c r="N544" s="12" t="n">
        <f aca="false">IFERROR((Z544-J544)/L544,"")</f>
        <v>0.05360925</v>
      </c>
      <c r="O544" s="3" t="n">
        <v>13</v>
      </c>
      <c r="P544" s="13" t="b">
        <f aca="false">FALSE()</f>
        <v>0</v>
      </c>
      <c r="Q544" s="3" t="s">
        <v>201</v>
      </c>
      <c r="R544" s="12" t="n">
        <v>0.7189</v>
      </c>
      <c r="S544" s="12" t="n">
        <v>0.6113</v>
      </c>
      <c r="T544" s="3" t="n">
        <v>0.1689</v>
      </c>
      <c r="U544" s="12" t="n">
        <v>0.4556</v>
      </c>
      <c r="V544" s="12" t="n">
        <v>0.5366</v>
      </c>
      <c r="W544" s="12" t="n">
        <v>0.5295</v>
      </c>
      <c r="X544" s="3" t="n">
        <v>0.8454</v>
      </c>
      <c r="Y544" s="3" t="n">
        <v>0.6181</v>
      </c>
      <c r="Z544" s="14" t="n">
        <f aca="false">Assumptions!$B$3*R544+Assumptions!$B$4*S544+IF(AA544=1,Assumptions!$B$11,Assumptions!$B$5)*X544+IF(AA544=1,Assumptions!$B$12,Assumptions!$B$6)*T544+Assumptions!$B$7*U544+Assumptions!$B$8*V544+Assumptions!$B$9*Y544</f>
        <v>0.600537</v>
      </c>
      <c r="AA544" s="3" t="n">
        <v>0</v>
      </c>
    </row>
    <row r="545" customFormat="false" ht="15" hidden="false" customHeight="false" outlineLevel="0" collapsed="false">
      <c r="A545" s="3" t="s">
        <v>730</v>
      </c>
      <c r="B545" s="3" t="n">
        <v>495</v>
      </c>
      <c r="C545" s="11" t="str">
        <f aca="false">IF(M545&gt;=Assumptions!$B$17,"S+",IF(M545&gt;=Assumptions!$B$18,"S",IF(M545&gt;=Assumptions!$B$19,"A",IF(M545&gt;=Assumptions!$B$20,"B",IF(M545&gt;=Assumptions!$B$21,"C",IF(M545&gt;=Assumptions!$B$22,"D","F"))))))</f>
        <v>C</v>
      </c>
      <c r="D545" s="3" t="s">
        <v>253</v>
      </c>
      <c r="E545" s="3" t="n">
        <v>7</v>
      </c>
      <c r="F545" s="12" t="n">
        <v>0.8571</v>
      </c>
      <c r="G545" s="12" t="n">
        <v>0.4</v>
      </c>
      <c r="H545" s="12" t="n">
        <v>0.75</v>
      </c>
      <c r="I545" s="12" t="n">
        <v>0.6163</v>
      </c>
      <c r="J545" s="12" t="n">
        <v>0.3861</v>
      </c>
      <c r="K545" s="12" t="n">
        <v>0.6005</v>
      </c>
      <c r="L545" s="3" t="n">
        <v>4</v>
      </c>
      <c r="M545" s="12" t="n">
        <f aca="false">Z545-W545</f>
        <v>0.0710370000000001</v>
      </c>
      <c r="N545" s="12" t="n">
        <f aca="false">IFERROR((Z545-J545)/L545,"")</f>
        <v>0.05360925</v>
      </c>
      <c r="O545" s="3" t="n">
        <v>13</v>
      </c>
      <c r="P545" s="13" t="b">
        <f aca="false">FALSE()</f>
        <v>0</v>
      </c>
      <c r="Q545" s="3" t="s">
        <v>201</v>
      </c>
      <c r="R545" s="12" t="n">
        <v>0.7189</v>
      </c>
      <c r="S545" s="12" t="n">
        <v>0.6113</v>
      </c>
      <c r="T545" s="3" t="n">
        <v>0.1689</v>
      </c>
      <c r="U545" s="12" t="n">
        <v>0.4556</v>
      </c>
      <c r="V545" s="12" t="n">
        <v>0.5366</v>
      </c>
      <c r="W545" s="12" t="n">
        <v>0.5295</v>
      </c>
      <c r="X545" s="3" t="n">
        <v>0.8454</v>
      </c>
      <c r="Y545" s="3" t="n">
        <v>0.6181</v>
      </c>
      <c r="Z545" s="14" t="n">
        <f aca="false">Assumptions!$B$3*R545+Assumptions!$B$4*S545+IF(AA545=1,Assumptions!$B$11,Assumptions!$B$5)*X545+IF(AA545=1,Assumptions!$B$12,Assumptions!$B$6)*T545+Assumptions!$B$7*U545+Assumptions!$B$8*V545+Assumptions!$B$9*Y545</f>
        <v>0.600537</v>
      </c>
      <c r="AA545" s="3" t="n">
        <v>0</v>
      </c>
    </row>
    <row r="546" customFormat="false" ht="15" hidden="false" customHeight="false" outlineLevel="0" collapsed="false">
      <c r="A546" s="3" t="s">
        <v>731</v>
      </c>
      <c r="B546" s="3" t="n">
        <v>495</v>
      </c>
      <c r="C546" s="11" t="str">
        <f aca="false">IF(M546&gt;=Assumptions!$B$17,"S+",IF(M546&gt;=Assumptions!$B$18,"S",IF(M546&gt;=Assumptions!$B$19,"A",IF(M546&gt;=Assumptions!$B$20,"B",IF(M546&gt;=Assumptions!$B$21,"C",IF(M546&gt;=Assumptions!$B$22,"D","F"))))))</f>
        <v>C</v>
      </c>
      <c r="D546" s="3" t="s">
        <v>253</v>
      </c>
      <c r="E546" s="3" t="n">
        <v>7</v>
      </c>
      <c r="F546" s="12" t="n">
        <v>0.8571</v>
      </c>
      <c r="G546" s="12" t="n">
        <v>0.4</v>
      </c>
      <c r="H546" s="12" t="n">
        <v>0.75</v>
      </c>
      <c r="I546" s="12" t="n">
        <v>0.6163</v>
      </c>
      <c r="J546" s="12" t="n">
        <v>0.3861</v>
      </c>
      <c r="K546" s="12" t="n">
        <v>0.6005</v>
      </c>
      <c r="L546" s="3" t="n">
        <v>4</v>
      </c>
      <c r="M546" s="12" t="n">
        <f aca="false">Z546-W546</f>
        <v>0.0710370000000001</v>
      </c>
      <c r="N546" s="12" t="n">
        <f aca="false">IFERROR((Z546-J546)/L546,"")</f>
        <v>0.05360925</v>
      </c>
      <c r="O546" s="3" t="n">
        <v>13</v>
      </c>
      <c r="P546" s="13" t="b">
        <f aca="false">FALSE()</f>
        <v>0</v>
      </c>
      <c r="Q546" s="3" t="s">
        <v>201</v>
      </c>
      <c r="R546" s="12" t="n">
        <v>0.7189</v>
      </c>
      <c r="S546" s="12" t="n">
        <v>0.6113</v>
      </c>
      <c r="T546" s="3" t="n">
        <v>0.1689</v>
      </c>
      <c r="U546" s="12" t="n">
        <v>0.4556</v>
      </c>
      <c r="V546" s="12" t="n">
        <v>0.5366</v>
      </c>
      <c r="W546" s="12" t="n">
        <v>0.5295</v>
      </c>
      <c r="X546" s="3" t="n">
        <v>0.8454</v>
      </c>
      <c r="Y546" s="3" t="n">
        <v>0.6181</v>
      </c>
      <c r="Z546" s="14" t="n">
        <f aca="false">Assumptions!$B$3*R546+Assumptions!$B$4*S546+IF(AA546=1,Assumptions!$B$11,Assumptions!$B$5)*X546+IF(AA546=1,Assumptions!$B$12,Assumptions!$B$6)*T546+Assumptions!$B$7*U546+Assumptions!$B$8*V546+Assumptions!$B$9*Y546</f>
        <v>0.600537</v>
      </c>
      <c r="AA546" s="3" t="n">
        <v>0</v>
      </c>
    </row>
    <row r="547" customFormat="false" ht="15" hidden="false" customHeight="false" outlineLevel="0" collapsed="false">
      <c r="A547" s="3" t="s">
        <v>732</v>
      </c>
      <c r="B547" s="3" t="n">
        <v>570</v>
      </c>
      <c r="C547" s="11" t="str">
        <f aca="false">IF(M547&gt;=Assumptions!$B$17,"S+",IF(M547&gt;=Assumptions!$B$18,"S",IF(M547&gt;=Assumptions!$B$19,"A",IF(M547&gt;=Assumptions!$B$20,"B",IF(M547&gt;=Assumptions!$B$21,"C",IF(M547&gt;=Assumptions!$B$22,"D","F"))))))</f>
        <v>C</v>
      </c>
      <c r="D547" s="3" t="s">
        <v>253</v>
      </c>
      <c r="E547" s="3" t="n">
        <v>7</v>
      </c>
      <c r="F547" s="12" t="n">
        <v>0.9498</v>
      </c>
      <c r="G547" s="12" t="n">
        <v>0.4</v>
      </c>
      <c r="H547" s="12" t="n">
        <v>0.75</v>
      </c>
      <c r="I547" s="12" t="n">
        <v>0.6459</v>
      </c>
      <c r="J547" s="12" t="n">
        <v>0.3977</v>
      </c>
      <c r="K547" s="12" t="n">
        <v>0.5959</v>
      </c>
      <c r="L547" s="3" t="n">
        <v>4</v>
      </c>
      <c r="M547" s="12" t="n">
        <f aca="false">Z547-W547</f>
        <v>0.070626</v>
      </c>
      <c r="N547" s="12" t="n">
        <f aca="false">IFERROR((Z547-J547)/L547,"")</f>
        <v>0.0495565</v>
      </c>
      <c r="O547" s="3" t="n">
        <v>13</v>
      </c>
      <c r="P547" s="13" t="b">
        <f aca="false">FALSE()</f>
        <v>0</v>
      </c>
      <c r="Q547" s="3" t="s">
        <v>166</v>
      </c>
      <c r="R547" s="12" t="n">
        <v>0.854</v>
      </c>
      <c r="S547" s="12" t="n">
        <v>0.4532</v>
      </c>
      <c r="T547" s="3" t="n">
        <v>0.3537</v>
      </c>
      <c r="U547" s="12" t="n">
        <v>0.3373</v>
      </c>
      <c r="V547" s="12" t="n">
        <v>0.4634</v>
      </c>
      <c r="W547" s="12" t="n">
        <v>0.5253</v>
      </c>
      <c r="X547" s="3" t="n">
        <v>0.7153</v>
      </c>
      <c r="Y547" s="3" t="n">
        <v>0.6431</v>
      </c>
      <c r="Z547" s="14" t="n">
        <f aca="false">Assumptions!$B$3*R547+Assumptions!$B$4*S547+IF(AA547=1,Assumptions!$B$11,Assumptions!$B$5)*X547+IF(AA547=1,Assumptions!$B$12,Assumptions!$B$6)*T547+Assumptions!$B$7*U547+Assumptions!$B$8*V547+Assumptions!$B$9*Y547</f>
        <v>0.595926</v>
      </c>
      <c r="AA547" s="3" t="n">
        <v>0</v>
      </c>
    </row>
    <row r="548" customFormat="false" ht="15" hidden="false" customHeight="false" outlineLevel="0" collapsed="false">
      <c r="A548" s="3" t="s">
        <v>733</v>
      </c>
      <c r="B548" s="3" t="n">
        <v>446</v>
      </c>
      <c r="C548" s="11" t="str">
        <f aca="false">IF(M548&gt;=Assumptions!$B$17,"S+",IF(M548&gt;=Assumptions!$B$18,"S",IF(M548&gt;=Assumptions!$B$19,"A",IF(M548&gt;=Assumptions!$B$20,"B",IF(M548&gt;=Assumptions!$B$21,"C",IF(M548&gt;=Assumptions!$B$22,"D","F"))))))</f>
        <v>C</v>
      </c>
      <c r="D548" s="3" t="s">
        <v>197</v>
      </c>
      <c r="E548" s="3" t="n">
        <v>4</v>
      </c>
      <c r="F548" s="12" t="n">
        <v>0.6921</v>
      </c>
      <c r="G548" s="12" t="n">
        <v>1</v>
      </c>
      <c r="H548" s="12" t="n">
        <v>0.75</v>
      </c>
      <c r="I548" s="12" t="n">
        <v>0.833</v>
      </c>
      <c r="J548" s="12" t="n">
        <v>0.3864</v>
      </c>
      <c r="K548" s="12" t="n">
        <v>0.5721</v>
      </c>
      <c r="L548" s="3" t="n">
        <v>3.88</v>
      </c>
      <c r="M548" s="12" t="n">
        <f aca="false">Z548-W548</f>
        <v>0.0705720000000001</v>
      </c>
      <c r="N548" s="12" t="n">
        <f aca="false">IFERROR((Z548-J548)/L548,"")</f>
        <v>0.0478536082474227</v>
      </c>
      <c r="O548" s="3" t="n">
        <v>16</v>
      </c>
      <c r="P548" s="13" t="b">
        <f aca="false">FALSE()</f>
        <v>0</v>
      </c>
      <c r="Q548" s="3" t="s">
        <v>166</v>
      </c>
      <c r="R548" s="12" t="n">
        <v>0.6234</v>
      </c>
      <c r="S548" s="12" t="n">
        <v>0.5407</v>
      </c>
      <c r="T548" s="3" t="n">
        <v>0.4443</v>
      </c>
      <c r="U548" s="12" t="n">
        <v>0.4086</v>
      </c>
      <c r="V548" s="12" t="n">
        <v>0.4651</v>
      </c>
      <c r="W548" s="12" t="n">
        <v>0.5015</v>
      </c>
      <c r="X548" s="3" t="n">
        <v>0.6516</v>
      </c>
      <c r="Y548" s="3" t="n">
        <v>0.7929</v>
      </c>
      <c r="Z548" s="14" t="n">
        <f aca="false">Assumptions!$B$3*R548+Assumptions!$B$4*S548+IF(AA548=1,Assumptions!$B$11,Assumptions!$B$5)*X548+IF(AA548=1,Assumptions!$B$12,Assumptions!$B$6)*T548+Assumptions!$B$7*U548+Assumptions!$B$8*V548+Assumptions!$B$9*Y548</f>
        <v>0.572072</v>
      </c>
      <c r="AA548" s="3" t="n">
        <v>0</v>
      </c>
    </row>
    <row r="549" customFormat="false" ht="15" hidden="false" customHeight="false" outlineLevel="0" collapsed="false">
      <c r="A549" s="3" t="s">
        <v>734</v>
      </c>
      <c r="B549" s="3" t="n">
        <v>530</v>
      </c>
      <c r="C549" s="11" t="str">
        <f aca="false">IF(M549&gt;=Assumptions!$B$17,"S+",IF(M549&gt;=Assumptions!$B$18,"S",IF(M549&gt;=Assumptions!$B$19,"A",IF(M549&gt;=Assumptions!$B$20,"B",IF(M549&gt;=Assumptions!$B$21,"C",IF(M549&gt;=Assumptions!$B$22,"D","F"))))))</f>
        <v>C</v>
      </c>
      <c r="D549" s="3" t="s">
        <v>218</v>
      </c>
      <c r="E549" s="3" t="n">
        <v>3</v>
      </c>
      <c r="F549" s="12" t="n">
        <v>0.8964</v>
      </c>
      <c r="G549" s="12" t="n">
        <v>0.6</v>
      </c>
      <c r="H549" s="12" t="n">
        <v>0.75</v>
      </c>
      <c r="I549" s="12" t="n">
        <v>0.7249</v>
      </c>
      <c r="J549" s="12" t="n">
        <v>0.3864</v>
      </c>
      <c r="K549" s="12" t="n">
        <v>0.5788</v>
      </c>
      <c r="L549" s="3" t="n">
        <v>3.82</v>
      </c>
      <c r="M549" s="12" t="n">
        <f aca="false">Z549-W549</f>
        <v>0.0697390000000001</v>
      </c>
      <c r="N549" s="12" t="n">
        <f aca="false">IFERROR((Z549-J549)/L549,"")</f>
        <v>0.0503767015706807</v>
      </c>
      <c r="O549" s="3" t="n">
        <v>17</v>
      </c>
      <c r="P549" s="13" t="b">
        <f aca="false">FALSE()</f>
        <v>0</v>
      </c>
      <c r="Q549" s="3" t="s">
        <v>166</v>
      </c>
      <c r="R549" s="12" t="n">
        <v>0.7815</v>
      </c>
      <c r="S549" s="12" t="n">
        <v>0.7077</v>
      </c>
      <c r="T549" s="3" t="n">
        <v>0.1188</v>
      </c>
      <c r="U549" s="12" t="n">
        <v>0.4616</v>
      </c>
      <c r="V549" s="12" t="n">
        <v>0.492</v>
      </c>
      <c r="W549" s="12" t="n">
        <v>0.5091</v>
      </c>
      <c r="X549" s="3" t="n">
        <v>0.5308</v>
      </c>
      <c r="Y549" s="3" t="n">
        <v>0.7003</v>
      </c>
      <c r="Z549" s="14" t="n">
        <f aca="false">Assumptions!$B$3*R549+Assumptions!$B$4*S549+IF(AA549=1,Assumptions!$B$11,Assumptions!$B$5)*X549+IF(AA549=1,Assumptions!$B$12,Assumptions!$B$6)*T549+Assumptions!$B$7*U549+Assumptions!$B$8*V549+Assumptions!$B$9*Y549</f>
        <v>0.578839</v>
      </c>
      <c r="AA549" s="3" t="n">
        <v>0</v>
      </c>
    </row>
    <row r="550" customFormat="false" ht="15" hidden="false" customHeight="false" outlineLevel="0" collapsed="false">
      <c r="A550" s="3" t="s">
        <v>735</v>
      </c>
      <c r="B550" s="3" t="n">
        <v>489</v>
      </c>
      <c r="C550" s="11" t="str">
        <f aca="false">IF(M550&gt;=Assumptions!$B$17,"S+",IF(M550&gt;=Assumptions!$B$18,"S",IF(M550&gt;=Assumptions!$B$19,"A",IF(M550&gt;=Assumptions!$B$20,"B",IF(M550&gt;=Assumptions!$B$21,"C",IF(M550&gt;=Assumptions!$B$22,"D","F"))))))</f>
        <v>C</v>
      </c>
      <c r="D550" s="3" t="s">
        <v>183</v>
      </c>
      <c r="E550" s="3" t="n">
        <v>2</v>
      </c>
      <c r="F550" s="12" t="n">
        <v>0.9451</v>
      </c>
      <c r="G550" s="12" t="n">
        <v>0.64</v>
      </c>
      <c r="H550" s="12" t="n">
        <v>0.4762</v>
      </c>
      <c r="I550" s="12" t="n">
        <v>0.6845</v>
      </c>
      <c r="J550" s="12" t="n">
        <v>0.3522</v>
      </c>
      <c r="K550" s="12" t="n">
        <v>0.5621</v>
      </c>
      <c r="L550" s="3" t="n">
        <v>4.64</v>
      </c>
      <c r="M550" s="12" t="n">
        <f aca="false">Z550-W550</f>
        <v>0.069218</v>
      </c>
      <c r="N550" s="12" t="n">
        <f aca="false">IFERROR((Z550-J550)/L550,"")</f>
        <v>0.0452409482758621</v>
      </c>
      <c r="O550" s="3" t="n">
        <v>18</v>
      </c>
      <c r="P550" s="13" t="b">
        <f aca="false">FALSE()</f>
        <v>0</v>
      </c>
      <c r="Q550" s="3" t="s">
        <v>166</v>
      </c>
      <c r="R550" s="12" t="n">
        <v>0.6591</v>
      </c>
      <c r="S550" s="12" t="n">
        <v>0.7163</v>
      </c>
      <c r="T550" s="3" t="n">
        <v>0.2979</v>
      </c>
      <c r="U550" s="12" t="n">
        <v>0.2393</v>
      </c>
      <c r="V550" s="12" t="n">
        <v>0.4579</v>
      </c>
      <c r="W550" s="12" t="n">
        <v>0.4929</v>
      </c>
      <c r="X550" s="3" t="n">
        <v>0.5608</v>
      </c>
      <c r="Y550" s="3" t="n">
        <v>0.625</v>
      </c>
      <c r="Z550" s="14" t="n">
        <f aca="false">Assumptions!$B$3*R550+Assumptions!$B$4*S550+IF(AA550=1,Assumptions!$B$11,Assumptions!$B$5)*X550+IF(AA550=1,Assumptions!$B$12,Assumptions!$B$6)*T550+Assumptions!$B$7*U550+Assumptions!$B$8*V550+Assumptions!$B$9*Y550</f>
        <v>0.562118</v>
      </c>
      <c r="AA550" s="3" t="n">
        <v>1</v>
      </c>
    </row>
    <row r="551" customFormat="false" ht="15" hidden="false" customHeight="false" outlineLevel="0" collapsed="false">
      <c r="A551" s="3" t="s">
        <v>736</v>
      </c>
      <c r="B551" s="3" t="n">
        <v>600</v>
      </c>
      <c r="C551" s="11" t="str">
        <f aca="false">IF(M551&gt;=Assumptions!$B$17,"S+",IF(M551&gt;=Assumptions!$B$18,"S",IF(M551&gt;=Assumptions!$B$19,"A",IF(M551&gt;=Assumptions!$B$20,"B",IF(M551&gt;=Assumptions!$B$21,"C",IF(M551&gt;=Assumptions!$B$22,"D","F"))))))</f>
        <v>C</v>
      </c>
      <c r="D551" s="3" t="s">
        <v>218</v>
      </c>
      <c r="E551" s="3" t="n">
        <v>7</v>
      </c>
      <c r="F551" s="12" t="n">
        <v>0.9982</v>
      </c>
      <c r="G551" s="12" t="n">
        <v>0.6</v>
      </c>
      <c r="H551" s="12" t="n">
        <v>0.75</v>
      </c>
      <c r="I551" s="12" t="n">
        <v>0.7574</v>
      </c>
      <c r="J551" s="12" t="n">
        <v>0.3904</v>
      </c>
      <c r="K551" s="12" t="n">
        <v>0.5799</v>
      </c>
      <c r="L551" s="3" t="n">
        <v>6</v>
      </c>
      <c r="M551" s="12" t="n">
        <f aca="false">Z551-W551</f>
        <v>0.0692410000000001</v>
      </c>
      <c r="N551" s="12" t="n">
        <f aca="false">IFERROR((Z551-J551)/L551,"")</f>
        <v>0.0315901666666667</v>
      </c>
      <c r="O551" s="3" t="n">
        <v>13</v>
      </c>
      <c r="P551" s="13" t="b">
        <f aca="false">FALSE()</f>
        <v>0</v>
      </c>
      <c r="Q551" s="3" t="s">
        <v>166</v>
      </c>
      <c r="R551" s="12" t="n">
        <v>0.9222</v>
      </c>
      <c r="S551" s="12" t="n">
        <v>0.566</v>
      </c>
      <c r="T551" s="3" t="n">
        <v>0.1884</v>
      </c>
      <c r="U551" s="12" t="n">
        <v>0.426</v>
      </c>
      <c r="V551" s="12" t="n">
        <v>0.4179</v>
      </c>
      <c r="W551" s="12" t="n">
        <v>0.5107</v>
      </c>
      <c r="X551" s="3" t="n">
        <v>0.4272</v>
      </c>
      <c r="Y551" s="3" t="n">
        <v>0.7574</v>
      </c>
      <c r="Z551" s="14" t="n">
        <f aca="false">Assumptions!$B$3*R551+Assumptions!$B$4*S551+IF(AA551=1,Assumptions!$B$11,Assumptions!$B$5)*X551+IF(AA551=1,Assumptions!$B$12,Assumptions!$B$6)*T551+Assumptions!$B$7*U551+Assumptions!$B$8*V551+Assumptions!$B$9*Y551</f>
        <v>0.579941</v>
      </c>
      <c r="AA551" s="3" t="n">
        <v>0</v>
      </c>
    </row>
    <row r="552" customFormat="false" ht="15" hidden="false" customHeight="false" outlineLevel="0" collapsed="false">
      <c r="A552" s="3" t="s">
        <v>737</v>
      </c>
      <c r="B552" s="3" t="n">
        <v>570</v>
      </c>
      <c r="C552" s="11" t="str">
        <f aca="false">IF(M552&gt;=Assumptions!$B$17,"S+",IF(M552&gt;=Assumptions!$B$18,"S",IF(M552&gt;=Assumptions!$B$19,"A",IF(M552&gt;=Assumptions!$B$20,"B",IF(M552&gt;=Assumptions!$B$21,"C",IF(M552&gt;=Assumptions!$B$22,"D","F"))))))</f>
        <v>C</v>
      </c>
      <c r="D552" s="3" t="s">
        <v>190</v>
      </c>
      <c r="E552" s="3" t="n">
        <v>7</v>
      </c>
      <c r="F552" s="12" t="n">
        <v>0.9372</v>
      </c>
      <c r="G552" s="12" t="n">
        <v>0.6</v>
      </c>
      <c r="H552" s="12" t="n">
        <v>0.75</v>
      </c>
      <c r="I552" s="12" t="n">
        <v>0.7581</v>
      </c>
      <c r="J552" s="12" t="n">
        <v>0.4212</v>
      </c>
      <c r="K552" s="12" t="n">
        <v>0.5457</v>
      </c>
      <c r="L552" s="3" t="n">
        <v>4</v>
      </c>
      <c r="M552" s="12" t="n">
        <f aca="false">Z552-W552</f>
        <v>0.068838</v>
      </c>
      <c r="N552" s="12" t="n">
        <f aca="false">IFERROR((Z552-J552)/L552,"")</f>
        <v>0.0311345</v>
      </c>
      <c r="O552" s="3" t="n">
        <v>13</v>
      </c>
      <c r="P552" s="13" t="b">
        <f aca="false">FALSE()</f>
        <v>0</v>
      </c>
      <c r="Q552" s="3" t="s">
        <v>166</v>
      </c>
      <c r="R552" s="12" t="n">
        <v>0.8783</v>
      </c>
      <c r="S552" s="12" t="n">
        <v>0.2239</v>
      </c>
      <c r="T552" s="3" t="n">
        <v>0.7989</v>
      </c>
      <c r="U552" s="12" t="n">
        <v>0.4615</v>
      </c>
      <c r="V552" s="12" t="n">
        <v>0.2947</v>
      </c>
      <c r="W552" s="12" t="n">
        <v>0.4769</v>
      </c>
      <c r="X552" s="3" t="n">
        <v>0.209</v>
      </c>
      <c r="Y552" s="3" t="n">
        <v>0.7592</v>
      </c>
      <c r="Z552" s="14" t="n">
        <f aca="false">Assumptions!$B$3*R552+Assumptions!$B$4*S552+IF(AA552=1,Assumptions!$B$11,Assumptions!$B$5)*X552+IF(AA552=1,Assumptions!$B$12,Assumptions!$B$6)*T552+Assumptions!$B$7*U552+Assumptions!$B$8*V552+Assumptions!$B$9*Y552</f>
        <v>0.545738</v>
      </c>
      <c r="AA552" s="3" t="n">
        <v>0</v>
      </c>
    </row>
    <row r="553" customFormat="false" ht="15" hidden="false" customHeight="false" outlineLevel="0" collapsed="false">
      <c r="A553" s="3" t="s">
        <v>738</v>
      </c>
      <c r="B553" s="3" t="n">
        <v>375</v>
      </c>
      <c r="C553" s="11" t="str">
        <f aca="false">IF(M553&gt;=Assumptions!$B$17,"S+",IF(M553&gt;=Assumptions!$B$18,"S",IF(M553&gt;=Assumptions!$B$19,"A",IF(M553&gt;=Assumptions!$B$20,"B",IF(M553&gt;=Assumptions!$B$21,"C",IF(M553&gt;=Assumptions!$B$22,"D","F"))))))</f>
        <v>C</v>
      </c>
      <c r="D553" s="3" t="s">
        <v>186</v>
      </c>
      <c r="E553" s="3" t="n">
        <v>1</v>
      </c>
      <c r="F553" s="12" t="n">
        <v>0.5069</v>
      </c>
      <c r="G553" s="12" t="n">
        <v>0.85</v>
      </c>
      <c r="H553" s="12" t="n">
        <v>0.75</v>
      </c>
      <c r="I553" s="12" t="n">
        <v>0.7682</v>
      </c>
      <c r="J553" s="12" t="n">
        <v>0.3476</v>
      </c>
      <c r="K553" s="12" t="n">
        <v>0.5047</v>
      </c>
      <c r="L553" s="3" t="n">
        <v>5.76</v>
      </c>
      <c r="M553" s="12" t="n">
        <f aca="false">Z553-W553</f>
        <v>0.06892</v>
      </c>
      <c r="N553" s="12" t="n">
        <f aca="false">IFERROR((Z553-J553)/L553,"")</f>
        <v>0.0272777777777778</v>
      </c>
      <c r="O553" s="3" t="n">
        <v>19</v>
      </c>
      <c r="P553" s="13" t="b">
        <f aca="false">FALSE()</f>
        <v>0</v>
      </c>
      <c r="Q553" s="3" t="s">
        <v>166</v>
      </c>
      <c r="R553" s="12" t="n">
        <v>0.638</v>
      </c>
      <c r="S553" s="12" t="n">
        <v>0.5202</v>
      </c>
      <c r="T553" s="3" t="n">
        <v>0.0674</v>
      </c>
      <c r="U553" s="12" t="n">
        <v>0.502</v>
      </c>
      <c r="V553" s="12" t="n">
        <v>0.3872</v>
      </c>
      <c r="W553" s="12" t="n">
        <v>0.4358</v>
      </c>
      <c r="X553" s="3" t="n">
        <v>0.3713</v>
      </c>
      <c r="Y553" s="3" t="n">
        <v>0.7621</v>
      </c>
      <c r="Z553" s="14" t="n">
        <f aca="false">Assumptions!$B$3*R553+Assumptions!$B$4*S553+IF(AA553=1,Assumptions!$B$11,Assumptions!$B$5)*X553+IF(AA553=1,Assumptions!$B$12,Assumptions!$B$6)*T553+Assumptions!$B$7*U553+Assumptions!$B$8*V553+Assumptions!$B$9*Y553</f>
        <v>0.50472</v>
      </c>
      <c r="AA553" s="3" t="n">
        <v>1</v>
      </c>
    </row>
    <row r="554" customFormat="false" ht="15" hidden="false" customHeight="false" outlineLevel="0" collapsed="false">
      <c r="A554" s="3" t="s">
        <v>739</v>
      </c>
      <c r="B554" s="3" t="n">
        <v>490</v>
      </c>
      <c r="C554" s="11" t="str">
        <f aca="false">IF(M554&gt;=Assumptions!$B$17,"S+",IF(M554&gt;=Assumptions!$B$18,"S",IF(M554&gt;=Assumptions!$B$19,"A",IF(M554&gt;=Assumptions!$B$20,"B",IF(M554&gt;=Assumptions!$B$21,"C",IF(M554&gt;=Assumptions!$B$22,"D","F"))))))</f>
        <v>C</v>
      </c>
      <c r="D554" s="3" t="s">
        <v>228</v>
      </c>
      <c r="E554" s="3" t="n">
        <v>3</v>
      </c>
      <c r="F554" s="12" t="n">
        <v>0.7465</v>
      </c>
      <c r="G554" s="12" t="n">
        <v>1</v>
      </c>
      <c r="H554" s="12" t="n">
        <v>0.75</v>
      </c>
      <c r="I554" s="12" t="n">
        <v>0.8689</v>
      </c>
      <c r="J554" s="12" t="n">
        <v>0.3883</v>
      </c>
      <c r="K554" s="12" t="n">
        <v>0.5528</v>
      </c>
      <c r="L554" s="3" t="n">
        <v>4.94</v>
      </c>
      <c r="M554" s="12" t="n">
        <f aca="false">Z554-W554</f>
        <v>0.068862</v>
      </c>
      <c r="N554" s="12" t="n">
        <f aca="false">IFERROR((Z554-J554)/L554,"")</f>
        <v>0.0332919028340081</v>
      </c>
      <c r="O554" s="3" t="n">
        <v>17</v>
      </c>
      <c r="P554" s="13" t="b">
        <f aca="false">FALSE()</f>
        <v>0</v>
      </c>
      <c r="Q554" s="3" t="s">
        <v>166</v>
      </c>
      <c r="R554" s="12" t="n">
        <v>0.726</v>
      </c>
      <c r="S554" s="12" t="n">
        <v>0.4721</v>
      </c>
      <c r="T554" s="3" t="n">
        <v>0.5887</v>
      </c>
      <c r="U554" s="12" t="n">
        <v>0.4072</v>
      </c>
      <c r="V554" s="12" t="n">
        <v>0.4913</v>
      </c>
      <c r="W554" s="12" t="n">
        <v>0.4839</v>
      </c>
      <c r="X554" s="3" t="n">
        <v>0.2885</v>
      </c>
      <c r="Y554" s="3" t="n">
        <v>0.8162</v>
      </c>
      <c r="Z554" s="14" t="n">
        <f aca="false">Assumptions!$B$3*R554+Assumptions!$B$4*S554+IF(AA554=1,Assumptions!$B$11,Assumptions!$B$5)*X554+IF(AA554=1,Assumptions!$B$12,Assumptions!$B$6)*T554+Assumptions!$B$7*U554+Assumptions!$B$8*V554+Assumptions!$B$9*Y554</f>
        <v>0.552762</v>
      </c>
      <c r="AA554" s="3" t="n">
        <v>0</v>
      </c>
    </row>
    <row r="555" customFormat="false" ht="15" hidden="false" customHeight="false" outlineLevel="0" collapsed="false">
      <c r="A555" s="3" t="s">
        <v>740</v>
      </c>
      <c r="B555" s="3" t="n">
        <v>500</v>
      </c>
      <c r="C555" s="11" t="str">
        <f aca="false">IF(M555&gt;=Assumptions!$B$17,"S+",IF(M555&gt;=Assumptions!$B$18,"S",IF(M555&gt;=Assumptions!$B$19,"A",IF(M555&gt;=Assumptions!$B$20,"B",IF(M555&gt;=Assumptions!$B$21,"C",IF(M555&gt;=Assumptions!$B$22,"D","F"))))))</f>
        <v>C</v>
      </c>
      <c r="D555" s="3" t="s">
        <v>253</v>
      </c>
      <c r="E555" s="3" t="n">
        <v>2</v>
      </c>
      <c r="F555" s="12" t="n">
        <v>0.9759</v>
      </c>
      <c r="G555" s="12" t="n">
        <v>0.4</v>
      </c>
      <c r="H555" s="12" t="n">
        <v>0.75</v>
      </c>
      <c r="I555" s="12" t="n">
        <v>0.6543</v>
      </c>
      <c r="J555" s="12" t="n">
        <v>0.4785</v>
      </c>
      <c r="K555" s="12" t="n">
        <v>0.599</v>
      </c>
      <c r="L555" s="3" t="n">
        <v>4.64</v>
      </c>
      <c r="M555" s="12" t="n">
        <f aca="false">Z555-W555</f>
        <v>0.068825</v>
      </c>
      <c r="N555" s="12" t="n">
        <f aca="false">IFERROR((Z555-J555)/L555,"")</f>
        <v>0.0259752155172414</v>
      </c>
      <c r="O555" s="3" t="n">
        <v>18</v>
      </c>
      <c r="P555" s="13" t="b">
        <f aca="false">FALSE()</f>
        <v>0</v>
      </c>
      <c r="Q555" s="3" t="s">
        <v>201</v>
      </c>
      <c r="R555" s="12" t="n">
        <v>0.8242</v>
      </c>
      <c r="S555" s="12" t="n">
        <v>0.428</v>
      </c>
      <c r="T555" s="3" t="n">
        <v>0.6652</v>
      </c>
      <c r="U555" s="12" t="n">
        <v>0.3547</v>
      </c>
      <c r="V555" s="12" t="n">
        <v>0.4695</v>
      </c>
      <c r="W555" s="12" t="n">
        <v>0.5302</v>
      </c>
      <c r="X555" s="3" t="n">
        <v>0.5814</v>
      </c>
      <c r="Y555" s="3" t="n">
        <v>0.6057</v>
      </c>
      <c r="Z555" s="14" t="n">
        <f aca="false">Assumptions!$B$3*R555+Assumptions!$B$4*S555+IF(AA555=1,Assumptions!$B$11,Assumptions!$B$5)*X555+IF(AA555=1,Assumptions!$B$12,Assumptions!$B$6)*T555+Assumptions!$B$7*U555+Assumptions!$B$8*V555+Assumptions!$B$9*Y555</f>
        <v>0.599025</v>
      </c>
      <c r="AA555" s="3" t="n">
        <v>0</v>
      </c>
    </row>
    <row r="556" customFormat="false" ht="15" hidden="false" customHeight="false" outlineLevel="0" collapsed="false">
      <c r="A556" s="3" t="s">
        <v>741</v>
      </c>
      <c r="B556" s="3" t="n">
        <v>500</v>
      </c>
      <c r="C556" s="11" t="str">
        <f aca="false">IF(M556&gt;=Assumptions!$B$17,"S+",IF(M556&gt;=Assumptions!$B$18,"S",IF(M556&gt;=Assumptions!$B$19,"A",IF(M556&gt;=Assumptions!$B$20,"B",IF(M556&gt;=Assumptions!$B$21,"C",IF(M556&gt;=Assumptions!$B$22,"D","F"))))))</f>
        <v>C</v>
      </c>
      <c r="D556" s="3" t="s">
        <v>200</v>
      </c>
      <c r="E556" s="3" t="n">
        <v>1</v>
      </c>
      <c r="F556" s="12" t="n">
        <v>0.732</v>
      </c>
      <c r="G556" s="12" t="n">
        <v>0.85</v>
      </c>
      <c r="H556" s="12" t="n">
        <v>0.5476</v>
      </c>
      <c r="I556" s="12" t="n">
        <v>0.76</v>
      </c>
      <c r="J556" s="12" t="n">
        <v>0.3413</v>
      </c>
      <c r="K556" s="12" t="n">
        <v>0.5702</v>
      </c>
      <c r="L556" s="3" t="n">
        <v>3.58</v>
      </c>
      <c r="M556" s="12" t="n">
        <f aca="false">Z556-W556</f>
        <v>0.0686370000000001</v>
      </c>
      <c r="N556" s="12" t="n">
        <f aca="false">IFERROR((Z556-J556)/L556,"")</f>
        <v>0.0639209497206704</v>
      </c>
      <c r="O556" s="3" t="n">
        <v>19</v>
      </c>
      <c r="P556" s="13" t="b">
        <f aca="false">FALSE()</f>
        <v>0</v>
      </c>
      <c r="Q556" s="3" t="s">
        <v>201</v>
      </c>
      <c r="R556" s="12" t="n">
        <v>0.6952</v>
      </c>
      <c r="S556" s="12" t="n">
        <v>0.757</v>
      </c>
      <c r="T556" s="3" t="n">
        <v>0.3185</v>
      </c>
      <c r="U556" s="12" t="n">
        <v>0.3198</v>
      </c>
      <c r="V556" s="12" t="n">
        <v>0.4905</v>
      </c>
      <c r="W556" s="12" t="n">
        <v>0.5015</v>
      </c>
      <c r="X556" s="3" t="n">
        <v>0.45</v>
      </c>
      <c r="Y556" s="3" t="n">
        <v>0.6916</v>
      </c>
      <c r="Z556" s="14" t="n">
        <f aca="false">Assumptions!$B$3*R556+Assumptions!$B$4*S556+IF(AA556=1,Assumptions!$B$11,Assumptions!$B$5)*X556+IF(AA556=1,Assumptions!$B$12,Assumptions!$B$6)*T556+Assumptions!$B$7*U556+Assumptions!$B$8*V556+Assumptions!$B$9*Y556</f>
        <v>0.570137</v>
      </c>
      <c r="AA556" s="3" t="n">
        <v>1</v>
      </c>
    </row>
    <row r="557" customFormat="false" ht="15" hidden="false" customHeight="false" outlineLevel="0" collapsed="false">
      <c r="A557" s="3" t="s">
        <v>742</v>
      </c>
      <c r="B557" s="3" t="n">
        <v>512</v>
      </c>
      <c r="C557" s="11" t="str">
        <f aca="false">IF(M557&gt;=Assumptions!$B$17,"S+",IF(M557&gt;=Assumptions!$B$18,"S",IF(M557&gt;=Assumptions!$B$19,"A",IF(M557&gt;=Assumptions!$B$20,"B",IF(M557&gt;=Assumptions!$B$21,"C",IF(M557&gt;=Assumptions!$B$22,"D","F"))))))</f>
        <v>C</v>
      </c>
      <c r="D557" s="3" t="s">
        <v>203</v>
      </c>
      <c r="E557" s="3" t="n">
        <v>1</v>
      </c>
      <c r="F557" s="12" t="n">
        <v>0.7995</v>
      </c>
      <c r="G557" s="12" t="n">
        <v>0.6</v>
      </c>
      <c r="H557" s="12" t="n">
        <v>0.75</v>
      </c>
      <c r="I557" s="12" t="n">
        <v>0.6898</v>
      </c>
      <c r="J557" s="12" t="n">
        <v>0.3785</v>
      </c>
      <c r="K557" s="12" t="n">
        <v>0.5586</v>
      </c>
      <c r="L557" s="3" t="n">
        <v>5.79</v>
      </c>
      <c r="M557" s="12" t="n">
        <f aca="false">Z557-W557</f>
        <v>0.068347</v>
      </c>
      <c r="N557" s="12" t="n">
        <f aca="false">IFERROR((Z557-J557)/L557,"")</f>
        <v>0.0310962003454231</v>
      </c>
      <c r="O557" s="3" t="n">
        <v>19</v>
      </c>
      <c r="P557" s="13" t="b">
        <f aca="false">FALSE()</f>
        <v>0</v>
      </c>
      <c r="Q557" s="3" t="s">
        <v>166</v>
      </c>
      <c r="R557" s="12" t="n">
        <v>0.8032</v>
      </c>
      <c r="S557" s="12" t="n">
        <v>0.5707</v>
      </c>
      <c r="T557" s="3" t="n">
        <v>0.5174</v>
      </c>
      <c r="U557" s="12" t="n">
        <v>0.3481</v>
      </c>
      <c r="V557" s="12" t="n">
        <v>0.4614</v>
      </c>
      <c r="W557" s="12" t="n">
        <v>0.4902</v>
      </c>
      <c r="X557" s="3" t="n">
        <v>0.2953</v>
      </c>
      <c r="Y557" s="3" t="n">
        <v>0.6921</v>
      </c>
      <c r="Z557" s="14" t="n">
        <f aca="false">Assumptions!$B$3*R557+Assumptions!$B$4*S557+IF(AA557=1,Assumptions!$B$11,Assumptions!$B$5)*X557+IF(AA557=1,Assumptions!$B$12,Assumptions!$B$6)*T557+Assumptions!$B$7*U557+Assumptions!$B$8*V557+Assumptions!$B$9*Y557</f>
        <v>0.558547</v>
      </c>
      <c r="AA557" s="3" t="n">
        <v>0</v>
      </c>
    </row>
    <row r="558" customFormat="false" ht="15" hidden="false" customHeight="false" outlineLevel="0" collapsed="false">
      <c r="A558" s="3" t="s">
        <v>743</v>
      </c>
      <c r="B558" s="3" t="n">
        <v>380</v>
      </c>
      <c r="C558" s="11" t="str">
        <f aca="false">IF(M558&gt;=Assumptions!$B$17,"S+",IF(M558&gt;=Assumptions!$B$18,"S",IF(M558&gt;=Assumptions!$B$19,"A",IF(M558&gt;=Assumptions!$B$20,"B",IF(M558&gt;=Assumptions!$B$21,"C",IF(M558&gt;=Assumptions!$B$22,"D","F"))))))</f>
        <v>C</v>
      </c>
      <c r="D558" s="3" t="s">
        <v>203</v>
      </c>
      <c r="E558" s="3" t="n">
        <v>1</v>
      </c>
      <c r="F558" s="12" t="n">
        <v>0.4603</v>
      </c>
      <c r="G558" s="12" t="n">
        <v>1</v>
      </c>
      <c r="H558" s="12" t="n">
        <v>0.75</v>
      </c>
      <c r="I558" s="12" t="n">
        <v>0.7881</v>
      </c>
      <c r="J558" s="12" t="n">
        <v>0.3699</v>
      </c>
      <c r="K558" s="12" t="n">
        <v>0.5537</v>
      </c>
      <c r="L558" s="3" t="n">
        <v>6.05</v>
      </c>
      <c r="M558" s="12" t="n">
        <f aca="false">Z558-W558</f>
        <v>0.067877</v>
      </c>
      <c r="N558" s="12" t="n">
        <f aca="false">IFERROR((Z558-J558)/L558,"")</f>
        <v>0.0303763636363636</v>
      </c>
      <c r="O558" s="3" t="n">
        <v>19</v>
      </c>
      <c r="P558" s="13" t="b">
        <f aca="false">FALSE()</f>
        <v>0</v>
      </c>
      <c r="Q558" s="3" t="s">
        <v>166</v>
      </c>
      <c r="R558" s="12" t="n">
        <v>0.6579</v>
      </c>
      <c r="S558" s="12" t="n">
        <v>0.6281</v>
      </c>
      <c r="T558" s="3" t="n">
        <v>0.1209</v>
      </c>
      <c r="U558" s="12" t="n">
        <v>0.4413</v>
      </c>
      <c r="V558" s="12" t="n">
        <v>0.6048</v>
      </c>
      <c r="W558" s="12" t="n">
        <v>0.4858</v>
      </c>
      <c r="X558" s="3" t="n">
        <v>0.5257</v>
      </c>
      <c r="Y558" s="3" t="n">
        <v>0.7913</v>
      </c>
      <c r="Z558" s="14" t="n">
        <f aca="false">Assumptions!$B$3*R558+Assumptions!$B$4*S558+IF(AA558=1,Assumptions!$B$11,Assumptions!$B$5)*X558+IF(AA558=1,Assumptions!$B$12,Assumptions!$B$6)*T558+Assumptions!$B$7*U558+Assumptions!$B$8*V558+Assumptions!$B$9*Y558</f>
        <v>0.553677</v>
      </c>
      <c r="AA558" s="3" t="n">
        <v>0</v>
      </c>
    </row>
    <row r="559" customFormat="false" ht="15" hidden="false" customHeight="false" outlineLevel="0" collapsed="false">
      <c r="A559" s="3" t="s">
        <v>744</v>
      </c>
      <c r="B559" s="3" t="n">
        <v>485</v>
      </c>
      <c r="C559" s="11" t="str">
        <f aca="false">IF(M559&gt;=Assumptions!$B$17,"S+",IF(M559&gt;=Assumptions!$B$18,"S",IF(M559&gt;=Assumptions!$B$19,"A",IF(M559&gt;=Assumptions!$B$20,"B",IF(M559&gt;=Assumptions!$B$21,"C",IF(M559&gt;=Assumptions!$B$22,"D","F"))))))</f>
        <v>C</v>
      </c>
      <c r="D559" s="3" t="s">
        <v>186</v>
      </c>
      <c r="E559" s="3" t="n">
        <v>1</v>
      </c>
      <c r="F559" s="12" t="n">
        <v>0.7889</v>
      </c>
      <c r="G559" s="12" t="n">
        <v>0.85</v>
      </c>
      <c r="H559" s="12" t="n">
        <v>0.75</v>
      </c>
      <c r="I559" s="12" t="n">
        <v>0.819</v>
      </c>
      <c r="J559" s="12" t="n">
        <v>0.3966</v>
      </c>
      <c r="K559" s="12" t="n">
        <v>0.548</v>
      </c>
      <c r="L559" s="3" t="n">
        <v>5.55</v>
      </c>
      <c r="M559" s="12" t="n">
        <f aca="false">Z559-W559</f>
        <v>0.067688</v>
      </c>
      <c r="N559" s="12" t="n">
        <f aca="false">IFERROR((Z559-J559)/L559,"")</f>
        <v>0.0272771171171171</v>
      </c>
      <c r="O559" s="3" t="n">
        <v>19</v>
      </c>
      <c r="P559" s="13" t="b">
        <f aca="false">FALSE()</f>
        <v>0</v>
      </c>
      <c r="Q559" s="3" t="s">
        <v>166</v>
      </c>
      <c r="R559" s="12" t="n">
        <v>0.7897</v>
      </c>
      <c r="S559" s="12" t="n">
        <v>0.6173</v>
      </c>
      <c r="T559" s="3" t="n">
        <v>0.2233</v>
      </c>
      <c r="U559" s="12" t="n">
        <v>0.336</v>
      </c>
      <c r="V559" s="12" t="n">
        <v>0.3719</v>
      </c>
      <c r="W559" s="12" t="n">
        <v>0.4803</v>
      </c>
      <c r="X559" s="3" t="n">
        <v>0.4145</v>
      </c>
      <c r="Y559" s="3" t="n">
        <v>0.6715</v>
      </c>
      <c r="Z559" s="14" t="n">
        <f aca="false">Assumptions!$B$3*R559+Assumptions!$B$4*S559+IF(AA559=1,Assumptions!$B$11,Assumptions!$B$5)*X559+IF(AA559=1,Assumptions!$B$12,Assumptions!$B$6)*T559+Assumptions!$B$7*U559+Assumptions!$B$8*V559+Assumptions!$B$9*Y559</f>
        <v>0.547988</v>
      </c>
      <c r="AA559" s="3" t="n">
        <v>1</v>
      </c>
    </row>
    <row r="560" customFormat="false" ht="15" hidden="false" customHeight="false" outlineLevel="0" collapsed="false">
      <c r="A560" s="3" t="s">
        <v>745</v>
      </c>
      <c r="B560" s="3" t="n">
        <v>503</v>
      </c>
      <c r="C560" s="11" t="str">
        <f aca="false">IF(M560&gt;=Assumptions!$B$17,"S+",IF(M560&gt;=Assumptions!$B$18,"S",IF(M560&gt;=Assumptions!$B$19,"A",IF(M560&gt;=Assumptions!$B$20,"B",IF(M560&gt;=Assumptions!$B$21,"C",IF(M560&gt;=Assumptions!$B$22,"D","F"))))))</f>
        <v>C</v>
      </c>
      <c r="D560" s="3" t="s">
        <v>190</v>
      </c>
      <c r="E560" s="3" t="n">
        <v>7</v>
      </c>
      <c r="F560" s="12" t="n">
        <v>0.9013</v>
      </c>
      <c r="G560" s="12" t="n">
        <v>0.6</v>
      </c>
      <c r="H560" s="12" t="n">
        <v>0.75</v>
      </c>
      <c r="I560" s="12" t="n">
        <v>0.7445</v>
      </c>
      <c r="J560" s="12" t="n">
        <v>0.4096</v>
      </c>
      <c r="K560" s="12" t="n">
        <v>0.5443</v>
      </c>
      <c r="L560" s="3" t="n">
        <v>4</v>
      </c>
      <c r="M560" s="12" t="n">
        <f aca="false">Z560-W560</f>
        <v>0.0674150000000001</v>
      </c>
      <c r="N560" s="12" t="n">
        <f aca="false">IFERROR((Z560-J560)/L560,"")</f>
        <v>0.03367875</v>
      </c>
      <c r="O560" s="3" t="n">
        <v>13</v>
      </c>
      <c r="P560" s="13" t="b">
        <f aca="false">FALSE()</f>
        <v>0</v>
      </c>
      <c r="Q560" s="3" t="s">
        <v>166</v>
      </c>
      <c r="R560" s="12" t="n">
        <v>0.8246</v>
      </c>
      <c r="S560" s="12" t="n">
        <v>0.396</v>
      </c>
      <c r="T560" s="3" t="n">
        <v>0.4497</v>
      </c>
      <c r="U560" s="12" t="n">
        <v>0.4793</v>
      </c>
      <c r="V560" s="12" t="n">
        <v>0.4969</v>
      </c>
      <c r="W560" s="12" t="n">
        <v>0.4769</v>
      </c>
      <c r="X560" s="3" t="n">
        <v>0.2621</v>
      </c>
      <c r="Y560" s="3" t="n">
        <v>0.7203</v>
      </c>
      <c r="Z560" s="14" t="n">
        <f aca="false">Assumptions!$B$3*R560+Assumptions!$B$4*S560+IF(AA560=1,Assumptions!$B$11,Assumptions!$B$5)*X560+IF(AA560=1,Assumptions!$B$12,Assumptions!$B$6)*T560+Assumptions!$B$7*U560+Assumptions!$B$8*V560+Assumptions!$B$9*Y560</f>
        <v>0.544315</v>
      </c>
      <c r="AA560" s="3" t="n">
        <v>0</v>
      </c>
    </row>
    <row r="561" customFormat="false" ht="15" hidden="false" customHeight="false" outlineLevel="0" collapsed="false">
      <c r="A561" s="3" t="s">
        <v>746</v>
      </c>
      <c r="B561" s="3" t="n">
        <v>483</v>
      </c>
      <c r="C561" s="11" t="str">
        <f aca="false">IF(M561&gt;=Assumptions!$B$17,"S+",IF(M561&gt;=Assumptions!$B$18,"S",IF(M561&gt;=Assumptions!$B$19,"A",IF(M561&gt;=Assumptions!$B$20,"B",IF(M561&gt;=Assumptions!$B$21,"C",IF(M561&gt;=Assumptions!$B$22,"D","F"))))))</f>
        <v>C</v>
      </c>
      <c r="D561" s="3" t="s">
        <v>169</v>
      </c>
      <c r="E561" s="3" t="n">
        <v>2</v>
      </c>
      <c r="F561" s="12" t="n">
        <v>0.3493</v>
      </c>
      <c r="G561" s="12" t="n">
        <v>0.6</v>
      </c>
      <c r="H561" s="12" t="n">
        <v>0.5694</v>
      </c>
      <c r="I561" s="12" t="n">
        <v>0.5437</v>
      </c>
      <c r="J561" s="12" t="n">
        <v>0.4241</v>
      </c>
      <c r="K561" s="12" t="n">
        <v>0.5352</v>
      </c>
      <c r="L561" s="3" t="n">
        <v>3.81</v>
      </c>
      <c r="M561" s="12" t="n">
        <f aca="false">Z561-W561</f>
        <v>0.0670629999999999</v>
      </c>
      <c r="N561" s="12" t="n">
        <f aca="false">IFERROR((Z561-J561)/L561,"")</f>
        <v>0.0291766404199475</v>
      </c>
      <c r="O561" s="3" t="n">
        <v>18</v>
      </c>
      <c r="P561" s="13" t="b">
        <f aca="false">FALSE()</f>
        <v>0</v>
      </c>
      <c r="Q561" s="3" t="s">
        <v>166</v>
      </c>
      <c r="R561" s="12" t="n">
        <v>0.7325</v>
      </c>
      <c r="S561" s="12" t="n">
        <v>0.5411</v>
      </c>
      <c r="T561" s="3" t="n">
        <v>0.4703</v>
      </c>
      <c r="U561" s="12" t="n">
        <v>0.4145</v>
      </c>
      <c r="V561" s="12" t="n">
        <v>0.4858</v>
      </c>
      <c r="W561" s="12" t="n">
        <v>0.4682</v>
      </c>
      <c r="X561" s="3" t="n">
        <v>0.4082</v>
      </c>
      <c r="Y561" s="3" t="n">
        <v>0.5198</v>
      </c>
      <c r="Z561" s="14" t="n">
        <f aca="false">Assumptions!$B$3*R561+Assumptions!$B$4*S561+IF(AA561=1,Assumptions!$B$11,Assumptions!$B$5)*X561+IF(AA561=1,Assumptions!$B$12,Assumptions!$B$6)*T561+Assumptions!$B$7*U561+Assumptions!$B$8*V561+Assumptions!$B$9*Y561</f>
        <v>0.535263</v>
      </c>
      <c r="AA561" s="3" t="n">
        <v>1</v>
      </c>
    </row>
    <row r="562" customFormat="false" ht="15" hidden="false" customHeight="false" outlineLevel="0" collapsed="false">
      <c r="A562" s="3" t="s">
        <v>747</v>
      </c>
      <c r="B562" s="3" t="n">
        <v>500</v>
      </c>
      <c r="C562" s="11" t="str">
        <f aca="false">IF(M562&gt;=Assumptions!$B$17,"S+",IF(M562&gt;=Assumptions!$B$18,"S",IF(M562&gt;=Assumptions!$B$19,"A",IF(M562&gt;=Assumptions!$B$20,"B",IF(M562&gt;=Assumptions!$B$21,"C",IF(M562&gt;=Assumptions!$B$22,"D","F"))))))</f>
        <v>C</v>
      </c>
      <c r="D562" s="3" t="s">
        <v>218</v>
      </c>
      <c r="E562" s="3" t="n">
        <v>3</v>
      </c>
      <c r="F562" s="12" t="n">
        <v>0.8889</v>
      </c>
      <c r="G562" s="12" t="n">
        <v>1</v>
      </c>
      <c r="H562" s="12" t="n">
        <v>0.75</v>
      </c>
      <c r="I562" s="12" t="n">
        <v>0.9144</v>
      </c>
      <c r="J562" s="12" t="n">
        <v>0.41</v>
      </c>
      <c r="K562" s="12" t="n">
        <v>0.587</v>
      </c>
      <c r="L562" s="3" t="n">
        <v>4.76</v>
      </c>
      <c r="M562" s="12" t="n">
        <f aca="false">Z562-W562</f>
        <v>0.0667409999999999</v>
      </c>
      <c r="N562" s="12" t="n">
        <f aca="false">IFERROR((Z562-J562)/L562,"")</f>
        <v>0.0371724789915966</v>
      </c>
      <c r="O562" s="3" t="n">
        <v>17</v>
      </c>
      <c r="P562" s="13" t="b">
        <f aca="false">FALSE()</f>
        <v>0</v>
      </c>
      <c r="Q562" s="3" t="s">
        <v>166</v>
      </c>
      <c r="R562" s="12" t="n">
        <v>0.8655</v>
      </c>
      <c r="S562" s="12" t="n">
        <v>0.6216</v>
      </c>
      <c r="T562" s="3" t="n">
        <v>0.1689</v>
      </c>
      <c r="U562" s="12" t="n">
        <v>0.4434</v>
      </c>
      <c r="V562" s="12" t="n">
        <v>0.4739</v>
      </c>
      <c r="W562" s="12" t="n">
        <v>0.5202</v>
      </c>
      <c r="X562" s="3" t="n">
        <v>0.4144</v>
      </c>
      <c r="Y562" s="3" t="n">
        <v>0.8563</v>
      </c>
      <c r="Z562" s="14" t="n">
        <f aca="false">Assumptions!$B$3*R562+Assumptions!$B$4*S562+IF(AA562=1,Assumptions!$B$11,Assumptions!$B$5)*X562+IF(AA562=1,Assumptions!$B$12,Assumptions!$B$6)*T562+Assumptions!$B$7*U562+Assumptions!$B$8*V562+Assumptions!$B$9*Y562</f>
        <v>0.586941</v>
      </c>
      <c r="AA562" s="3" t="n">
        <v>0</v>
      </c>
    </row>
    <row r="563" customFormat="false" ht="15" hidden="false" customHeight="false" outlineLevel="0" collapsed="false">
      <c r="A563" s="3" t="s">
        <v>748</v>
      </c>
      <c r="B563" s="3" t="n">
        <v>600</v>
      </c>
      <c r="C563" s="11" t="str">
        <f aca="false">IF(M563&gt;=Assumptions!$B$17,"S+",IF(M563&gt;=Assumptions!$B$18,"S",IF(M563&gt;=Assumptions!$B$19,"A",IF(M563&gt;=Assumptions!$B$20,"B",IF(M563&gt;=Assumptions!$B$21,"C",IF(M563&gt;=Assumptions!$B$22,"D","F"))))))</f>
        <v>C</v>
      </c>
      <c r="D563" s="3" t="s">
        <v>218</v>
      </c>
      <c r="E563" s="3" t="n">
        <v>8</v>
      </c>
      <c r="F563" s="12" t="n">
        <v>0.7267</v>
      </c>
      <c r="G563" s="12" t="n">
        <v>0.6</v>
      </c>
      <c r="H563" s="12" t="n">
        <v>0.75</v>
      </c>
      <c r="I563" s="12" t="n">
        <v>0.6705</v>
      </c>
      <c r="J563" s="12" t="n">
        <v>0.3495</v>
      </c>
      <c r="K563" s="12" t="n">
        <v>0.5762</v>
      </c>
      <c r="L563" s="3" t="n">
        <v>4</v>
      </c>
      <c r="M563" s="12" t="n">
        <f aca="false">Z563-W563</f>
        <v>0.066623</v>
      </c>
      <c r="N563" s="12" t="n">
        <f aca="false">IFERROR((Z563-J563)/L563,"")</f>
        <v>0.05668075</v>
      </c>
      <c r="O563" s="3" t="n">
        <v>12</v>
      </c>
      <c r="P563" s="13" t="b">
        <f aca="false">FALSE()</f>
        <v>0</v>
      </c>
      <c r="Q563" s="3" t="s">
        <v>166</v>
      </c>
      <c r="R563" s="12" t="n">
        <v>0.8495</v>
      </c>
      <c r="S563" s="12" t="n">
        <v>0.5641</v>
      </c>
      <c r="T563" s="3" t="n">
        <v>0.218</v>
      </c>
      <c r="U563" s="12" t="n">
        <v>0.5064</v>
      </c>
      <c r="V563" s="12" t="n">
        <v>0.424</v>
      </c>
      <c r="W563" s="12" t="n">
        <v>0.5096</v>
      </c>
      <c r="X563" s="3" t="n">
        <v>0.5003</v>
      </c>
      <c r="Y563" s="3" t="n">
        <v>0.6725</v>
      </c>
      <c r="Z563" s="14" t="n">
        <f aca="false">Assumptions!$B$3*R563+Assumptions!$B$4*S563+IF(AA563=1,Assumptions!$B$11,Assumptions!$B$5)*X563+IF(AA563=1,Assumptions!$B$12,Assumptions!$B$6)*T563+Assumptions!$B$7*U563+Assumptions!$B$8*V563+Assumptions!$B$9*Y563</f>
        <v>0.576223</v>
      </c>
      <c r="AA563" s="3" t="n">
        <v>0</v>
      </c>
    </row>
    <row r="564" customFormat="false" ht="15" hidden="false" customHeight="false" outlineLevel="0" collapsed="false">
      <c r="A564" s="3" t="s">
        <v>749</v>
      </c>
      <c r="B564" s="3" t="n">
        <v>530</v>
      </c>
      <c r="C564" s="11" t="str">
        <f aca="false">IF(M564&gt;=Assumptions!$B$17,"S+",IF(M564&gt;=Assumptions!$B$18,"S",IF(M564&gt;=Assumptions!$B$19,"A",IF(M564&gt;=Assumptions!$B$20,"B",IF(M564&gt;=Assumptions!$B$21,"C",IF(M564&gt;=Assumptions!$B$22,"D","F"))))))</f>
        <v>C</v>
      </c>
      <c r="D564" s="3" t="s">
        <v>218</v>
      </c>
      <c r="E564" s="3" t="n">
        <v>7</v>
      </c>
      <c r="F564" s="12" t="n">
        <v>0.8964</v>
      </c>
      <c r="G564" s="12" t="n">
        <v>0.6</v>
      </c>
      <c r="H564" s="12" t="n">
        <v>0.75</v>
      </c>
      <c r="I564" s="12" t="n">
        <v>0.7249</v>
      </c>
      <c r="J564" s="12" t="n">
        <v>0.3713</v>
      </c>
      <c r="K564" s="12" t="n">
        <v>0.5751</v>
      </c>
      <c r="L564" s="3" t="n">
        <v>4</v>
      </c>
      <c r="M564" s="12" t="n">
        <f aca="false">Z564-W564</f>
        <v>0.066507</v>
      </c>
      <c r="N564" s="12" t="n">
        <f aca="false">IFERROR((Z564-J564)/L564,"")</f>
        <v>0.05095175</v>
      </c>
      <c r="O564" s="3" t="n">
        <v>13</v>
      </c>
      <c r="P564" s="13" t="b">
        <f aca="false">FALSE()</f>
        <v>0</v>
      </c>
      <c r="Q564" s="3" t="s">
        <v>166</v>
      </c>
      <c r="R564" s="12" t="n">
        <v>0.8161</v>
      </c>
      <c r="S564" s="12" t="n">
        <v>0.5211</v>
      </c>
      <c r="T564" s="3" t="n">
        <v>0.2953</v>
      </c>
      <c r="U564" s="12" t="n">
        <v>0.5681</v>
      </c>
      <c r="V564" s="12" t="n">
        <v>0.45</v>
      </c>
      <c r="W564" s="12" t="n">
        <v>0.5086</v>
      </c>
      <c r="X564" s="3" t="n">
        <v>0.4405</v>
      </c>
      <c r="Y564" s="3" t="n">
        <v>0.7253</v>
      </c>
      <c r="Z564" s="14" t="n">
        <f aca="false">Assumptions!$B$3*R564+Assumptions!$B$4*S564+IF(AA564=1,Assumptions!$B$11,Assumptions!$B$5)*X564+IF(AA564=1,Assumptions!$B$12,Assumptions!$B$6)*T564+Assumptions!$B$7*U564+Assumptions!$B$8*V564+Assumptions!$B$9*Y564</f>
        <v>0.575107</v>
      </c>
      <c r="AA564" s="3" t="n">
        <v>0</v>
      </c>
    </row>
    <row r="565" customFormat="false" ht="15" hidden="false" customHeight="false" outlineLevel="0" collapsed="false">
      <c r="A565" s="3" t="s">
        <v>750</v>
      </c>
      <c r="B565" s="3" t="n">
        <v>441</v>
      </c>
      <c r="C565" s="11" t="str">
        <f aca="false">IF(M565&gt;=Assumptions!$B$17,"S+",IF(M565&gt;=Assumptions!$B$18,"S",IF(M565&gt;=Assumptions!$B$19,"A",IF(M565&gt;=Assumptions!$B$20,"B",IF(M565&gt;=Assumptions!$B$21,"C",IF(M565&gt;=Assumptions!$B$22,"D","F"))))))</f>
        <v>C</v>
      </c>
      <c r="D565" s="3" t="s">
        <v>173</v>
      </c>
      <c r="E565" s="3" t="n">
        <v>1</v>
      </c>
      <c r="F565" s="12" t="n">
        <v>0.5616</v>
      </c>
      <c r="G565" s="12" t="n">
        <v>0.45</v>
      </c>
      <c r="H565" s="12" t="n">
        <v>0.75</v>
      </c>
      <c r="I565" s="12" t="n">
        <v>0.5301</v>
      </c>
      <c r="J565" s="12" t="n">
        <v>0.3969</v>
      </c>
      <c r="K565" s="12" t="n">
        <v>0.5104</v>
      </c>
      <c r="L565" s="3" t="n">
        <v>5.66</v>
      </c>
      <c r="M565" s="12" t="n">
        <f aca="false">Z565-W565</f>
        <v>0.0663529999999999</v>
      </c>
      <c r="N565" s="12" t="n">
        <f aca="false">IFERROR((Z565-J565)/L565,"")</f>
        <v>0.0200446996466431</v>
      </c>
      <c r="O565" s="3" t="n">
        <v>19</v>
      </c>
      <c r="P565" s="13" t="b">
        <f aca="false">FALSE()</f>
        <v>0</v>
      </c>
      <c r="Q565" s="3" t="s">
        <v>166</v>
      </c>
      <c r="R565" s="12" t="n">
        <v>0.6477</v>
      </c>
      <c r="S565" s="12" t="n">
        <v>0.5775</v>
      </c>
      <c r="T565" s="3" t="n">
        <v>0.4648</v>
      </c>
      <c r="U565" s="12" t="n">
        <v>0.3684</v>
      </c>
      <c r="V565" s="12" t="n">
        <v>0.543</v>
      </c>
      <c r="W565" s="12" t="n">
        <v>0.444</v>
      </c>
      <c r="X565" s="3" t="n">
        <v>0.3686</v>
      </c>
      <c r="Y565" s="3" t="n">
        <v>0.517</v>
      </c>
      <c r="Z565" s="14" t="n">
        <f aca="false">Assumptions!$B$3*R565+Assumptions!$B$4*S565+IF(AA565=1,Assumptions!$B$11,Assumptions!$B$5)*X565+IF(AA565=1,Assumptions!$B$12,Assumptions!$B$6)*T565+Assumptions!$B$7*U565+Assumptions!$B$8*V565+Assumptions!$B$9*Y565</f>
        <v>0.510353</v>
      </c>
      <c r="AA565" s="3" t="n">
        <v>1</v>
      </c>
    </row>
    <row r="566" customFormat="false" ht="15" hidden="false" customHeight="false" outlineLevel="0" collapsed="false">
      <c r="A566" s="3" t="s">
        <v>751</v>
      </c>
      <c r="B566" s="3" t="n">
        <v>485</v>
      </c>
      <c r="C566" s="11" t="str">
        <f aca="false">IF(M566&gt;=Assumptions!$B$17,"S+",IF(M566&gt;=Assumptions!$B$18,"S",IF(M566&gt;=Assumptions!$B$19,"A",IF(M566&gt;=Assumptions!$B$20,"B",IF(M566&gt;=Assumptions!$B$21,"C",IF(M566&gt;=Assumptions!$B$22,"D","F"))))))</f>
        <v>C</v>
      </c>
      <c r="D566" s="3" t="s">
        <v>190</v>
      </c>
      <c r="E566" s="3" t="n">
        <v>4</v>
      </c>
      <c r="F566" s="12" t="n">
        <v>0.8766</v>
      </c>
      <c r="G566" s="12" t="n">
        <v>0.8</v>
      </c>
      <c r="H566" s="12" t="n">
        <v>0.75</v>
      </c>
      <c r="I566" s="12" t="n">
        <v>0.8191</v>
      </c>
      <c r="J566" s="12" t="n">
        <v>0.3902</v>
      </c>
      <c r="K566" s="12" t="n">
        <v>0.5573</v>
      </c>
      <c r="L566" s="3" t="n">
        <v>5</v>
      </c>
      <c r="M566" s="12" t="n">
        <f aca="false">Z566-W566</f>
        <v>0.065857</v>
      </c>
      <c r="N566" s="12" t="n">
        <f aca="false">IFERROR((Z566-J566)/L566,"")</f>
        <v>0.0334114</v>
      </c>
      <c r="O566" s="3" t="n">
        <v>16</v>
      </c>
      <c r="P566" s="13" t="b">
        <f aca="false">FALSE()</f>
        <v>0</v>
      </c>
      <c r="Q566" s="3" t="s">
        <v>166</v>
      </c>
      <c r="R566" s="12" t="n">
        <v>0.8276</v>
      </c>
      <c r="S566" s="12" t="n">
        <v>0.4032</v>
      </c>
      <c r="T566" s="3" t="n">
        <v>0.5619</v>
      </c>
      <c r="U566" s="12" t="n">
        <v>0.3798</v>
      </c>
      <c r="V566" s="12" t="n">
        <v>0.4771</v>
      </c>
      <c r="W566" s="12" t="n">
        <v>0.4914</v>
      </c>
      <c r="X566" s="3" t="n">
        <v>0.2797</v>
      </c>
      <c r="Y566" s="3" t="n">
        <v>0.7896</v>
      </c>
      <c r="Z566" s="14" t="n">
        <f aca="false">Assumptions!$B$3*R566+Assumptions!$B$4*S566+IF(AA566=1,Assumptions!$B$11,Assumptions!$B$5)*X566+IF(AA566=1,Assumptions!$B$12,Assumptions!$B$6)*T566+Assumptions!$B$7*U566+Assumptions!$B$8*V566+Assumptions!$B$9*Y566</f>
        <v>0.557257</v>
      </c>
      <c r="AA566" s="3" t="n">
        <v>0</v>
      </c>
    </row>
    <row r="567" customFormat="false" ht="15" hidden="false" customHeight="false" outlineLevel="0" collapsed="false">
      <c r="A567" s="3" t="s">
        <v>752</v>
      </c>
      <c r="B567" s="3" t="n">
        <v>550</v>
      </c>
      <c r="C567" s="11" t="str">
        <f aca="false">IF(M567&gt;=Assumptions!$B$17,"S+",IF(M567&gt;=Assumptions!$B$18,"S",IF(M567&gt;=Assumptions!$B$19,"A",IF(M567&gt;=Assumptions!$B$20,"B",IF(M567&gt;=Assumptions!$B$21,"C",IF(M567&gt;=Assumptions!$B$22,"D","F"))))))</f>
        <v>C</v>
      </c>
      <c r="D567" s="3" t="s">
        <v>218</v>
      </c>
      <c r="E567" s="3" t="n">
        <v>7</v>
      </c>
      <c r="F567" s="12" t="n">
        <v>0.9105</v>
      </c>
      <c r="G567" s="12" t="n">
        <v>0.6</v>
      </c>
      <c r="H567" s="12" t="n">
        <v>0.75</v>
      </c>
      <c r="I567" s="12" t="n">
        <v>0.7293</v>
      </c>
      <c r="J567" s="12" t="n">
        <v>0.4051</v>
      </c>
      <c r="K567" s="12" t="n">
        <v>0.5766</v>
      </c>
      <c r="L567" s="3" t="n">
        <v>5</v>
      </c>
      <c r="M567" s="12" t="n">
        <f aca="false">Z567-W567</f>
        <v>0.065868</v>
      </c>
      <c r="N567" s="12" t="n">
        <f aca="false">IFERROR((Z567-J567)/L567,"")</f>
        <v>0.0342936</v>
      </c>
      <c r="O567" s="3" t="n">
        <v>13</v>
      </c>
      <c r="P567" s="13" t="b">
        <f aca="false">FALSE()</f>
        <v>0</v>
      </c>
      <c r="Q567" s="3" t="s">
        <v>166</v>
      </c>
      <c r="R567" s="12" t="n">
        <v>0.8677</v>
      </c>
      <c r="S567" s="12" t="n">
        <v>0.517</v>
      </c>
      <c r="T567" s="3" t="n">
        <v>0.3045</v>
      </c>
      <c r="U567" s="12" t="n">
        <v>0.3846</v>
      </c>
      <c r="V567" s="12" t="n">
        <v>0.457</v>
      </c>
      <c r="W567" s="12" t="n">
        <v>0.5107</v>
      </c>
      <c r="X567" s="3" t="n">
        <v>0.4691</v>
      </c>
      <c r="Y567" s="3" t="n">
        <v>0.7309</v>
      </c>
      <c r="Z567" s="14" t="n">
        <f aca="false">Assumptions!$B$3*R567+Assumptions!$B$4*S567+IF(AA567=1,Assumptions!$B$11,Assumptions!$B$5)*X567+IF(AA567=1,Assumptions!$B$12,Assumptions!$B$6)*T567+Assumptions!$B$7*U567+Assumptions!$B$8*V567+Assumptions!$B$9*Y567</f>
        <v>0.576568</v>
      </c>
      <c r="AA567" s="3" t="n">
        <v>0</v>
      </c>
    </row>
    <row r="568" customFormat="false" ht="15" hidden="false" customHeight="false" outlineLevel="0" collapsed="false">
      <c r="A568" s="3" t="s">
        <v>753</v>
      </c>
      <c r="B568" s="3" t="n">
        <v>600</v>
      </c>
      <c r="C568" s="11" t="str">
        <f aca="false">IF(M568&gt;=Assumptions!$B$17,"S+",IF(M568&gt;=Assumptions!$B$18,"S",IF(M568&gt;=Assumptions!$B$19,"A",IF(M568&gt;=Assumptions!$B$20,"B",IF(M568&gt;=Assumptions!$B$21,"C",IF(M568&gt;=Assumptions!$B$22,"D","F"))))))</f>
        <v>C</v>
      </c>
      <c r="D568" s="3" t="s">
        <v>253</v>
      </c>
      <c r="E568" s="3" t="n">
        <v>3</v>
      </c>
      <c r="F568" s="12" t="n">
        <v>0.7607</v>
      </c>
      <c r="G568" s="12" t="n">
        <v>0.4</v>
      </c>
      <c r="H568" s="12" t="n">
        <v>0.75</v>
      </c>
      <c r="I568" s="12" t="n">
        <v>0.5854</v>
      </c>
      <c r="J568" s="12" t="n">
        <v>0.4005</v>
      </c>
      <c r="K568" s="12" t="n">
        <v>0.5865</v>
      </c>
      <c r="L568" s="3" t="n">
        <v>3.71</v>
      </c>
      <c r="M568" s="12" t="n">
        <f aca="false">Z568-W568</f>
        <v>0.0658490000000001</v>
      </c>
      <c r="N568" s="12" t="n">
        <f aca="false">IFERROR((Z568-J568)/L568,"")</f>
        <v>0.0501479784366577</v>
      </c>
      <c r="O568" s="3" t="n">
        <v>17</v>
      </c>
      <c r="P568" s="13" t="b">
        <f aca="false">FALSE()</f>
        <v>0</v>
      </c>
      <c r="Q568" s="3" t="s">
        <v>201</v>
      </c>
      <c r="R568" s="12" t="n">
        <v>0.7607</v>
      </c>
      <c r="S568" s="12" t="n">
        <v>0.7528</v>
      </c>
      <c r="T568" s="3" t="n">
        <v>0.3323</v>
      </c>
      <c r="U568" s="12" t="n">
        <v>0.3575</v>
      </c>
      <c r="V568" s="12" t="n">
        <v>0.5057</v>
      </c>
      <c r="W568" s="12" t="n">
        <v>0.5207</v>
      </c>
      <c r="X568" s="3" t="n">
        <v>0.5759</v>
      </c>
      <c r="Y568" s="3" t="n">
        <v>0.5245</v>
      </c>
      <c r="Z568" s="14" t="n">
        <f aca="false">Assumptions!$B$3*R568+Assumptions!$B$4*S568+IF(AA568=1,Assumptions!$B$11,Assumptions!$B$5)*X568+IF(AA568=1,Assumptions!$B$12,Assumptions!$B$6)*T568+Assumptions!$B$7*U568+Assumptions!$B$8*V568+Assumptions!$B$9*Y568</f>
        <v>0.586549</v>
      </c>
      <c r="AA568" s="3" t="n">
        <v>0</v>
      </c>
    </row>
    <row r="569" customFormat="false" ht="15" hidden="false" customHeight="false" outlineLevel="0" collapsed="false">
      <c r="A569" s="3" t="s">
        <v>754</v>
      </c>
      <c r="B569" s="3" t="n">
        <v>435</v>
      </c>
      <c r="C569" s="11" t="str">
        <f aca="false">IF(M569&gt;=Assumptions!$B$17,"S+",IF(M569&gt;=Assumptions!$B$18,"S",IF(M569&gt;=Assumptions!$B$19,"A",IF(M569&gt;=Assumptions!$B$20,"B",IF(M569&gt;=Assumptions!$B$21,"C",IF(M569&gt;=Assumptions!$B$22,"D","F"))))))</f>
        <v>C</v>
      </c>
      <c r="D569" s="3" t="s">
        <v>197</v>
      </c>
      <c r="E569" s="3" t="n">
        <v>1</v>
      </c>
      <c r="F569" s="12" t="n">
        <v>0.6434</v>
      </c>
      <c r="G569" s="12" t="n">
        <v>0.8</v>
      </c>
      <c r="H569" s="12" t="n">
        <v>0.75</v>
      </c>
      <c r="I569" s="12" t="n">
        <v>0.7305</v>
      </c>
      <c r="J569" s="12" t="n">
        <v>0.3493</v>
      </c>
      <c r="K569" s="12" t="n">
        <v>0.5569</v>
      </c>
      <c r="L569" s="3" t="n">
        <v>5.84</v>
      </c>
      <c r="M569" s="12" t="n">
        <f aca="false">Z569-W569</f>
        <v>0.0657420000000001</v>
      </c>
      <c r="N569" s="12" t="n">
        <f aca="false">IFERROR((Z569-J569)/L569,"")</f>
        <v>0.0355380136986302</v>
      </c>
      <c r="O569" s="3" t="n">
        <v>19</v>
      </c>
      <c r="P569" s="13" t="b">
        <f aca="false">FALSE()</f>
        <v>0</v>
      </c>
      <c r="Q569" s="3" t="s">
        <v>166</v>
      </c>
      <c r="R569" s="12" t="n">
        <v>0.7666</v>
      </c>
      <c r="S569" s="12" t="n">
        <v>0.4683</v>
      </c>
      <c r="T569" s="3" t="n">
        <v>0.3279</v>
      </c>
      <c r="U569" s="12" t="n">
        <v>0.3927</v>
      </c>
      <c r="V569" s="12" t="n">
        <v>0.4497</v>
      </c>
      <c r="W569" s="12" t="n">
        <v>0.4911</v>
      </c>
      <c r="X569" s="3" t="n">
        <v>0.5531</v>
      </c>
      <c r="Y569" s="3" t="n">
        <v>0.707</v>
      </c>
      <c r="Z569" s="14" t="n">
        <f aca="false">Assumptions!$B$3*R569+Assumptions!$B$4*S569+IF(AA569=1,Assumptions!$B$11,Assumptions!$B$5)*X569+IF(AA569=1,Assumptions!$B$12,Assumptions!$B$6)*T569+Assumptions!$B$7*U569+Assumptions!$B$8*V569+Assumptions!$B$9*Y569</f>
        <v>0.556842</v>
      </c>
      <c r="AA569" s="3" t="n">
        <v>0</v>
      </c>
    </row>
    <row r="570" customFormat="false" ht="15" hidden="false" customHeight="false" outlineLevel="0" collapsed="false">
      <c r="A570" s="3" t="s">
        <v>755</v>
      </c>
      <c r="B570" s="3" t="n">
        <v>480</v>
      </c>
      <c r="C570" s="11" t="str">
        <f aca="false">IF(M570&gt;=Assumptions!$B$17,"S+",IF(M570&gt;=Assumptions!$B$18,"S",IF(M570&gt;=Assumptions!$B$19,"A",IF(M570&gt;=Assumptions!$B$20,"B",IF(M570&gt;=Assumptions!$B$21,"C",IF(M570&gt;=Assumptions!$B$22,"D","F"))))))</f>
        <v>C</v>
      </c>
      <c r="D570" s="3" t="s">
        <v>190</v>
      </c>
      <c r="E570" s="3" t="n">
        <v>6</v>
      </c>
      <c r="F570" s="12" t="n">
        <v>0.8752</v>
      </c>
      <c r="G570" s="12" t="n">
        <v>1</v>
      </c>
      <c r="H570" s="12" t="n">
        <v>0.75</v>
      </c>
      <c r="I570" s="12" t="n">
        <v>0.9026</v>
      </c>
      <c r="J570" s="12" t="n">
        <v>0.3714</v>
      </c>
      <c r="K570" s="12" t="n">
        <v>0.5425</v>
      </c>
      <c r="L570" s="3" t="n">
        <v>5</v>
      </c>
      <c r="M570" s="12" t="n">
        <f aca="false">Z570-W570</f>
        <v>0.0652</v>
      </c>
      <c r="N570" s="12" t="n">
        <f aca="false">IFERROR((Z570-J570)/L570,"")</f>
        <v>0.03422</v>
      </c>
      <c r="O570" s="3" t="n">
        <v>14</v>
      </c>
      <c r="P570" s="13" t="b">
        <f aca="false">FALSE()</f>
        <v>0</v>
      </c>
      <c r="Q570" s="3" t="s">
        <v>166</v>
      </c>
      <c r="R570" s="12" t="n">
        <v>0.8822</v>
      </c>
      <c r="S570" s="12" t="n">
        <v>0.2855</v>
      </c>
      <c r="T570" s="3" t="n">
        <v>0.4268</v>
      </c>
      <c r="U570" s="12" t="n">
        <v>0.4121</v>
      </c>
      <c r="V570" s="12" t="n">
        <v>0.3887</v>
      </c>
      <c r="W570" s="12" t="n">
        <v>0.4773</v>
      </c>
      <c r="X570" s="3" t="n">
        <v>0.279</v>
      </c>
      <c r="Y570" s="3" t="n">
        <v>0.9048</v>
      </c>
      <c r="Z570" s="14" t="n">
        <f aca="false">Assumptions!$B$3*R570+Assumptions!$B$4*S570+IF(AA570=1,Assumptions!$B$11,Assumptions!$B$5)*X570+IF(AA570=1,Assumptions!$B$12,Assumptions!$B$6)*T570+Assumptions!$B$7*U570+Assumptions!$B$8*V570+Assumptions!$B$9*Y570</f>
        <v>0.5425</v>
      </c>
      <c r="AA570" s="3" t="n">
        <v>0</v>
      </c>
    </row>
    <row r="571" customFormat="false" ht="15" hidden="false" customHeight="false" outlineLevel="0" collapsed="false">
      <c r="A571" s="3" t="s">
        <v>756</v>
      </c>
      <c r="B571" s="3" t="n">
        <v>479</v>
      </c>
      <c r="C571" s="11" t="str">
        <f aca="false">IF(M571&gt;=Assumptions!$B$17,"S+",IF(M571&gt;=Assumptions!$B$18,"S",IF(M571&gt;=Assumptions!$B$19,"A",IF(M571&gt;=Assumptions!$B$20,"B",IF(M571&gt;=Assumptions!$B$21,"C",IF(M571&gt;=Assumptions!$B$22,"D","F"))))))</f>
        <v>C</v>
      </c>
      <c r="D571" s="3" t="s">
        <v>218</v>
      </c>
      <c r="E571" s="3" t="n">
        <v>4</v>
      </c>
      <c r="F571" s="12" t="n">
        <v>0.8735</v>
      </c>
      <c r="G571" s="12" t="n">
        <v>0.4</v>
      </c>
      <c r="H571" s="12" t="n">
        <v>0.75</v>
      </c>
      <c r="I571" s="12" t="n">
        <v>0.6215</v>
      </c>
      <c r="J571" s="12" t="n">
        <v>0.4435</v>
      </c>
      <c r="K571" s="12" t="n">
        <v>0.5819</v>
      </c>
      <c r="L571" s="3" t="n">
        <v>3.81</v>
      </c>
      <c r="M571" s="12" t="n">
        <f aca="false">Z571-W571</f>
        <v>0.064963</v>
      </c>
      <c r="N571" s="12" t="n">
        <f aca="false">IFERROR((Z571-J571)/L571,"")</f>
        <v>0.0363157480314961</v>
      </c>
      <c r="O571" s="3" t="n">
        <v>16</v>
      </c>
      <c r="P571" s="13" t="b">
        <f aca="false">FALSE()</f>
        <v>0</v>
      </c>
      <c r="Q571" s="3" t="s">
        <v>166</v>
      </c>
      <c r="R571" s="12" t="n">
        <v>0.8004</v>
      </c>
      <c r="S571" s="12" t="n">
        <v>0.6286</v>
      </c>
      <c r="T571" s="3" t="n">
        <v>0.2248</v>
      </c>
      <c r="U571" s="12" t="n">
        <v>0.3221</v>
      </c>
      <c r="V571" s="12" t="n">
        <v>0.5075</v>
      </c>
      <c r="W571" s="12" t="n">
        <v>0.5169</v>
      </c>
      <c r="X571" s="3" t="n">
        <v>0.6518</v>
      </c>
      <c r="Y571" s="3" t="n">
        <v>0.6017</v>
      </c>
      <c r="Z571" s="14" t="n">
        <f aca="false">Assumptions!$B$3*R571+Assumptions!$B$4*S571+IF(AA571=1,Assumptions!$B$11,Assumptions!$B$5)*X571+IF(AA571=1,Assumptions!$B$12,Assumptions!$B$6)*T571+Assumptions!$B$7*U571+Assumptions!$B$8*V571+Assumptions!$B$9*Y571</f>
        <v>0.581863</v>
      </c>
      <c r="AA571" s="3" t="n">
        <v>0</v>
      </c>
    </row>
    <row r="572" customFormat="false" ht="15" hidden="false" customHeight="false" outlineLevel="0" collapsed="false">
      <c r="A572" s="3" t="s">
        <v>757</v>
      </c>
      <c r="B572" s="3" t="n">
        <v>460</v>
      </c>
      <c r="C572" s="11" t="str">
        <f aca="false">IF(M572&gt;=Assumptions!$B$17,"S+",IF(M572&gt;=Assumptions!$B$18,"S",IF(M572&gt;=Assumptions!$B$19,"A",IF(M572&gt;=Assumptions!$B$20,"B",IF(M572&gt;=Assumptions!$B$21,"C",IF(M572&gt;=Assumptions!$B$22,"D","F"))))))</f>
        <v>C</v>
      </c>
      <c r="D572" s="3" t="s">
        <v>190</v>
      </c>
      <c r="E572" s="3" t="n">
        <v>6</v>
      </c>
      <c r="F572" s="12" t="n">
        <v>0.6939</v>
      </c>
      <c r="G572" s="12" t="n">
        <v>1</v>
      </c>
      <c r="H572" s="12" t="n">
        <v>0.75</v>
      </c>
      <c r="I572" s="12" t="n">
        <v>0.8337</v>
      </c>
      <c r="J572" s="12" t="n">
        <v>0.3042</v>
      </c>
      <c r="K572" s="12" t="n">
        <v>0.5422</v>
      </c>
      <c r="L572" s="3" t="n">
        <v>5.43</v>
      </c>
      <c r="M572" s="12" t="n">
        <f aca="false">Z572-W572</f>
        <v>0.06487</v>
      </c>
      <c r="N572" s="12" t="n">
        <f aca="false">IFERROR((Z572-J572)/L572,"")</f>
        <v>0.0438250460405157</v>
      </c>
      <c r="O572" s="3" t="n">
        <v>14</v>
      </c>
      <c r="P572" s="13" t="b">
        <f aca="false">FALSE()</f>
        <v>0</v>
      </c>
      <c r="Q572" s="3" t="s">
        <v>166</v>
      </c>
      <c r="R572" s="12" t="n">
        <v>0.8264</v>
      </c>
      <c r="S572" s="12" t="n">
        <v>0.4326</v>
      </c>
      <c r="T572" s="3" t="n">
        <v>0.185</v>
      </c>
      <c r="U572" s="12" t="n">
        <v>0.5275</v>
      </c>
      <c r="V572" s="12" t="n">
        <v>0.3346</v>
      </c>
      <c r="W572" s="12" t="n">
        <v>0.4773</v>
      </c>
      <c r="X572" s="3" t="n">
        <v>0.419</v>
      </c>
      <c r="Y572" s="3" t="n">
        <v>0.8362</v>
      </c>
      <c r="Z572" s="14" t="n">
        <f aca="false">Assumptions!$B$3*R572+Assumptions!$B$4*S572+IF(AA572=1,Assumptions!$B$11,Assumptions!$B$5)*X572+IF(AA572=1,Assumptions!$B$12,Assumptions!$B$6)*T572+Assumptions!$B$7*U572+Assumptions!$B$8*V572+Assumptions!$B$9*Y572</f>
        <v>0.54217</v>
      </c>
      <c r="AA572" s="3" t="n">
        <v>0</v>
      </c>
    </row>
    <row r="573" customFormat="false" ht="15" hidden="false" customHeight="false" outlineLevel="0" collapsed="false">
      <c r="A573" s="3" t="s">
        <v>758</v>
      </c>
      <c r="B573" s="3" t="n">
        <v>505</v>
      </c>
      <c r="C573" s="11" t="str">
        <f aca="false">IF(M573&gt;=Assumptions!$B$17,"S+",IF(M573&gt;=Assumptions!$B$18,"S",IF(M573&gt;=Assumptions!$B$19,"A",IF(M573&gt;=Assumptions!$B$20,"B",IF(M573&gt;=Assumptions!$B$21,"C",IF(M573&gt;=Assumptions!$B$22,"D","F"))))))</f>
        <v>C</v>
      </c>
      <c r="D573" s="3" t="s">
        <v>218</v>
      </c>
      <c r="E573" s="3" t="n">
        <v>4</v>
      </c>
      <c r="F573" s="12" t="n">
        <v>0.8108</v>
      </c>
      <c r="G573" s="12" t="n">
        <v>0.4</v>
      </c>
      <c r="H573" s="12" t="n">
        <v>0.75</v>
      </c>
      <c r="I573" s="12" t="n">
        <v>0.6014</v>
      </c>
      <c r="J573" s="12" t="n">
        <v>0.4068</v>
      </c>
      <c r="K573" s="12" t="n">
        <v>0.5774</v>
      </c>
      <c r="L573" s="3" t="n">
        <v>5.88</v>
      </c>
      <c r="M573" s="12" t="n">
        <f aca="false">Z573-W573</f>
        <v>0.064261</v>
      </c>
      <c r="N573" s="12" t="n">
        <f aca="false">IFERROR((Z573-J573)/L573,"")</f>
        <v>0.0290069727891157</v>
      </c>
      <c r="O573" s="3" t="n">
        <v>16</v>
      </c>
      <c r="P573" s="13" t="b">
        <f aca="false">FALSE()</f>
        <v>0</v>
      </c>
      <c r="Q573" s="3" t="s">
        <v>166</v>
      </c>
      <c r="R573" s="12" t="n">
        <v>0.8015</v>
      </c>
      <c r="S573" s="12" t="n">
        <v>0.7516</v>
      </c>
      <c r="T573" s="3" t="n">
        <v>0.2539</v>
      </c>
      <c r="U573" s="12" t="n">
        <v>0.2452</v>
      </c>
      <c r="V573" s="12" t="n">
        <v>0.4637</v>
      </c>
      <c r="W573" s="12" t="n">
        <v>0.5131</v>
      </c>
      <c r="X573" s="3" t="n">
        <v>0.5756</v>
      </c>
      <c r="Y573" s="3" t="n">
        <v>0.5814</v>
      </c>
      <c r="Z573" s="14" t="n">
        <f aca="false">Assumptions!$B$3*R573+Assumptions!$B$4*S573+IF(AA573=1,Assumptions!$B$11,Assumptions!$B$5)*X573+IF(AA573=1,Assumptions!$B$12,Assumptions!$B$6)*T573+Assumptions!$B$7*U573+Assumptions!$B$8*V573+Assumptions!$B$9*Y573</f>
        <v>0.577361</v>
      </c>
      <c r="AA573" s="3" t="n">
        <v>0</v>
      </c>
    </row>
    <row r="574" customFormat="false" ht="15" hidden="false" customHeight="false" outlineLevel="0" collapsed="false">
      <c r="A574" s="3" t="s">
        <v>759</v>
      </c>
      <c r="B574" s="3" t="n">
        <v>440</v>
      </c>
      <c r="C574" s="11" t="str">
        <f aca="false">IF(M574&gt;=Assumptions!$B$17,"S+",IF(M574&gt;=Assumptions!$B$18,"S",IF(M574&gt;=Assumptions!$B$19,"A",IF(M574&gt;=Assumptions!$B$20,"B",IF(M574&gt;=Assumptions!$B$21,"C",IF(M574&gt;=Assumptions!$B$22,"D","F"))))))</f>
        <v>C</v>
      </c>
      <c r="D574" s="3" t="s">
        <v>169</v>
      </c>
      <c r="E574" s="3" t="n">
        <v>1</v>
      </c>
      <c r="F574" s="12" t="n">
        <v>0.5952</v>
      </c>
      <c r="G574" s="12" t="n">
        <v>0.6</v>
      </c>
      <c r="H574" s="12" t="n">
        <v>0.5694</v>
      </c>
      <c r="I574" s="12" t="n">
        <v>0.5929</v>
      </c>
      <c r="J574" s="12" t="n">
        <v>0.3651</v>
      </c>
      <c r="K574" s="12" t="n">
        <v>0.5112</v>
      </c>
      <c r="L574" s="3" t="n">
        <v>3.63</v>
      </c>
      <c r="M574" s="12" t="n">
        <f aca="false">Z574-W574</f>
        <v>0.0639980000000001</v>
      </c>
      <c r="N574" s="12" t="n">
        <f aca="false">IFERROR((Z574-J574)/L574,"")</f>
        <v>0.0402473829201102</v>
      </c>
      <c r="O574" s="3" t="n">
        <v>19</v>
      </c>
      <c r="P574" s="13" t="b">
        <f aca="false">FALSE()</f>
        <v>0</v>
      </c>
      <c r="Q574" s="3" t="s">
        <v>166</v>
      </c>
      <c r="R574" s="12" t="n">
        <v>0.6946</v>
      </c>
      <c r="S574" s="12" t="n">
        <v>0.5826</v>
      </c>
      <c r="T574" s="3" t="n">
        <v>0.3305</v>
      </c>
      <c r="U574" s="12" t="n">
        <v>0.3684</v>
      </c>
      <c r="V574" s="12" t="n">
        <v>0.4854</v>
      </c>
      <c r="W574" s="12" t="n">
        <v>0.4472</v>
      </c>
      <c r="X574" s="3" t="n">
        <v>0.3587</v>
      </c>
      <c r="Y574" s="3" t="n">
        <v>0.5367</v>
      </c>
      <c r="Z574" s="14" t="n">
        <f aca="false">Assumptions!$B$3*R574+Assumptions!$B$4*S574+IF(AA574=1,Assumptions!$B$11,Assumptions!$B$5)*X574+IF(AA574=1,Assumptions!$B$12,Assumptions!$B$6)*T574+Assumptions!$B$7*U574+Assumptions!$B$8*V574+Assumptions!$B$9*Y574</f>
        <v>0.511198</v>
      </c>
      <c r="AA574" s="3" t="n">
        <v>1</v>
      </c>
    </row>
    <row r="575" customFormat="false" ht="15" hidden="false" customHeight="false" outlineLevel="0" collapsed="false">
      <c r="A575" s="3" t="s">
        <v>760</v>
      </c>
      <c r="B575" s="3" t="n">
        <v>477</v>
      </c>
      <c r="C575" s="11" t="str">
        <f aca="false">IF(M575&gt;=Assumptions!$B$17,"S+",IF(M575&gt;=Assumptions!$B$18,"S",IF(M575&gt;=Assumptions!$B$19,"A",IF(M575&gt;=Assumptions!$B$20,"B",IF(M575&gt;=Assumptions!$B$21,"C",IF(M575&gt;=Assumptions!$B$22,"D","F"))))))</f>
        <v>C</v>
      </c>
      <c r="D575" s="3" t="s">
        <v>175</v>
      </c>
      <c r="E575" s="3" t="n">
        <v>7</v>
      </c>
      <c r="F575" s="12" t="n">
        <v>0.6542</v>
      </c>
      <c r="G575" s="12" t="n">
        <v>0.45</v>
      </c>
      <c r="H575" s="12" t="n">
        <v>0.75</v>
      </c>
      <c r="I575" s="12" t="n">
        <v>0.5406</v>
      </c>
      <c r="J575" s="12" t="n">
        <v>0.3927</v>
      </c>
      <c r="K575" s="12" t="n">
        <v>0.5135</v>
      </c>
      <c r="L575" s="3" t="n">
        <v>4</v>
      </c>
      <c r="M575" s="12" t="n">
        <f aca="false">Z575-W575</f>
        <v>0.0636039999999999</v>
      </c>
      <c r="N575" s="12" t="n">
        <f aca="false">IFERROR((Z575-J575)/L575,"")</f>
        <v>0.030201</v>
      </c>
      <c r="O575" s="3" t="n">
        <v>13</v>
      </c>
      <c r="P575" s="13" t="b">
        <f aca="false">FALSE()</f>
        <v>0</v>
      </c>
      <c r="Q575" s="3" t="s">
        <v>166</v>
      </c>
      <c r="R575" s="12" t="n">
        <v>0.7181</v>
      </c>
      <c r="S575" s="12" t="n">
        <v>0.6016</v>
      </c>
      <c r="T575" s="3" t="n">
        <v>0.3302</v>
      </c>
      <c r="U575" s="12" t="n">
        <v>0.2722</v>
      </c>
      <c r="V575" s="12" t="n">
        <v>0.5366</v>
      </c>
      <c r="W575" s="12" t="n">
        <v>0.4499</v>
      </c>
      <c r="X575" s="3" t="n">
        <v>0.3608</v>
      </c>
      <c r="Y575" s="3" t="n">
        <v>0.5296</v>
      </c>
      <c r="Z575" s="14" t="n">
        <f aca="false">Assumptions!$B$3*R575+Assumptions!$B$4*S575+IF(AA575=1,Assumptions!$B$11,Assumptions!$B$5)*X575+IF(AA575=1,Assumptions!$B$12,Assumptions!$B$6)*T575+Assumptions!$B$7*U575+Assumptions!$B$8*V575+Assumptions!$B$9*Y575</f>
        <v>0.513504</v>
      </c>
      <c r="AA575" s="3" t="n">
        <v>0</v>
      </c>
    </row>
    <row r="576" customFormat="false" ht="15" hidden="false" customHeight="false" outlineLevel="0" collapsed="false">
      <c r="A576" s="3" t="s">
        <v>761</v>
      </c>
      <c r="B576" s="3" t="n">
        <v>510</v>
      </c>
      <c r="C576" s="11" t="str">
        <f aca="false">IF(M576&gt;=Assumptions!$B$17,"S+",IF(M576&gt;=Assumptions!$B$18,"S",IF(M576&gt;=Assumptions!$B$19,"A",IF(M576&gt;=Assumptions!$B$20,"B",IF(M576&gt;=Assumptions!$B$21,"C",IF(M576&gt;=Assumptions!$B$22,"D","F"))))))</f>
        <v>C</v>
      </c>
      <c r="D576" s="3" t="s">
        <v>197</v>
      </c>
      <c r="E576" s="3" t="n">
        <v>1</v>
      </c>
      <c r="F576" s="12" t="n">
        <v>0.6273</v>
      </c>
      <c r="G576" s="12" t="n">
        <v>0.8</v>
      </c>
      <c r="H576" s="12" t="n">
        <v>0.75</v>
      </c>
      <c r="I576" s="12" t="n">
        <v>0.7244</v>
      </c>
      <c r="J576" s="12" t="n">
        <v>0.4014</v>
      </c>
      <c r="K576" s="12" t="n">
        <v>0.5539</v>
      </c>
      <c r="L576" s="3" t="n">
        <v>5.68</v>
      </c>
      <c r="M576" s="12" t="n">
        <f aca="false">Z576-W576</f>
        <v>0.0634730000000001</v>
      </c>
      <c r="N576" s="12" t="n">
        <f aca="false">IFERROR((Z576-J576)/L576,"")</f>
        <v>0.026843838028169</v>
      </c>
      <c r="O576" s="3" t="n">
        <v>19</v>
      </c>
      <c r="P576" s="13" t="b">
        <f aca="false">FALSE()</f>
        <v>0</v>
      </c>
      <c r="Q576" s="3" t="s">
        <v>166</v>
      </c>
      <c r="R576" s="12" t="n">
        <v>0.7289</v>
      </c>
      <c r="S576" s="12" t="n">
        <v>0.6238</v>
      </c>
      <c r="T576" s="3" t="n">
        <v>0.3728</v>
      </c>
      <c r="U576" s="12" t="n">
        <v>0.413</v>
      </c>
      <c r="V576" s="12" t="n">
        <v>0.4255</v>
      </c>
      <c r="W576" s="12" t="n">
        <v>0.4904</v>
      </c>
      <c r="X576" s="3" t="n">
        <v>0.4053</v>
      </c>
      <c r="Y576" s="3" t="n">
        <v>0.731</v>
      </c>
      <c r="Z576" s="14" t="n">
        <f aca="false">Assumptions!$B$3*R576+Assumptions!$B$4*S576+IF(AA576=1,Assumptions!$B$11,Assumptions!$B$5)*X576+IF(AA576=1,Assumptions!$B$12,Assumptions!$B$6)*T576+Assumptions!$B$7*U576+Assumptions!$B$8*V576+Assumptions!$B$9*Y576</f>
        <v>0.553873</v>
      </c>
      <c r="AA576" s="3" t="n">
        <v>0</v>
      </c>
    </row>
    <row r="577" customFormat="false" ht="15" hidden="false" customHeight="false" outlineLevel="0" collapsed="false">
      <c r="A577" s="3" t="s">
        <v>762</v>
      </c>
      <c r="B577" s="3" t="n">
        <v>600</v>
      </c>
      <c r="C577" s="11" t="str">
        <f aca="false">IF(M577&gt;=Assumptions!$B$17,"S+",IF(M577&gt;=Assumptions!$B$18,"S",IF(M577&gt;=Assumptions!$B$19,"A",IF(M577&gt;=Assumptions!$B$20,"B",IF(M577&gt;=Assumptions!$B$21,"C",IF(M577&gt;=Assumptions!$B$22,"D","F"))))))</f>
        <v>C</v>
      </c>
      <c r="D577" s="3" t="s">
        <v>253</v>
      </c>
      <c r="E577" s="3" t="n">
        <v>7</v>
      </c>
      <c r="F577" s="12" t="n">
        <v>0.9777</v>
      </c>
      <c r="G577" s="12" t="n">
        <v>0.4</v>
      </c>
      <c r="H577" s="12" t="n">
        <v>0.75</v>
      </c>
      <c r="I577" s="12" t="n">
        <v>0.6549</v>
      </c>
      <c r="J577" s="12" t="n">
        <v>0.3822</v>
      </c>
      <c r="K577" s="12" t="n">
        <v>0.5929</v>
      </c>
      <c r="L577" s="3" t="n">
        <v>4</v>
      </c>
      <c r="M577" s="12" t="n">
        <f aca="false">Z577-W577</f>
        <v>0.0633730000000001</v>
      </c>
      <c r="N577" s="12" t="n">
        <f aca="false">IFERROR((Z577-J577)/L577,"")</f>
        <v>0.05266825</v>
      </c>
      <c r="O577" s="3" t="n">
        <v>13</v>
      </c>
      <c r="P577" s="13" t="b">
        <f aca="false">FALSE()</f>
        <v>0</v>
      </c>
      <c r="Q577" s="3" t="s">
        <v>166</v>
      </c>
      <c r="R577" s="12" t="n">
        <v>0.9264</v>
      </c>
      <c r="S577" s="12" t="n">
        <v>0.4696</v>
      </c>
      <c r="T577" s="3" t="n">
        <v>0.2148</v>
      </c>
      <c r="U577" s="12" t="n">
        <v>0.426</v>
      </c>
      <c r="V577" s="12" t="n">
        <v>0.4459</v>
      </c>
      <c r="W577" s="12" t="n">
        <v>0.5295</v>
      </c>
      <c r="X577" s="3" t="n">
        <v>0.6164</v>
      </c>
      <c r="Y577" s="3" t="n">
        <v>0.6552</v>
      </c>
      <c r="Z577" s="14" t="n">
        <f aca="false">Assumptions!$B$3*R577+Assumptions!$B$4*S577+IF(AA577=1,Assumptions!$B$11,Assumptions!$B$5)*X577+IF(AA577=1,Assumptions!$B$12,Assumptions!$B$6)*T577+Assumptions!$B$7*U577+Assumptions!$B$8*V577+Assumptions!$B$9*Y577</f>
        <v>0.592873</v>
      </c>
      <c r="AA577" s="3" t="n">
        <v>0</v>
      </c>
    </row>
    <row r="578" customFormat="false" ht="15" hidden="false" customHeight="false" outlineLevel="0" collapsed="false">
      <c r="A578" s="3" t="s">
        <v>763</v>
      </c>
      <c r="B578" s="3" t="n">
        <v>480</v>
      </c>
      <c r="C578" s="11" t="str">
        <f aca="false">IF(M578&gt;=Assumptions!$B$17,"S+",IF(M578&gt;=Assumptions!$B$18,"S",IF(M578&gt;=Assumptions!$B$19,"A",IF(M578&gt;=Assumptions!$B$20,"B",IF(M578&gt;=Assumptions!$B$21,"C",IF(M578&gt;=Assumptions!$B$22,"D","F"))))))</f>
        <v>C</v>
      </c>
      <c r="D578" s="3" t="s">
        <v>218</v>
      </c>
      <c r="E578" s="3" t="n">
        <v>7</v>
      </c>
      <c r="F578" s="12" t="n">
        <v>0.8726</v>
      </c>
      <c r="G578" s="12" t="n">
        <v>0.6</v>
      </c>
      <c r="H578" s="12" t="n">
        <v>0.75</v>
      </c>
      <c r="I578" s="12" t="n">
        <v>0.7172</v>
      </c>
      <c r="J578" s="12" t="n">
        <v>0.3776</v>
      </c>
      <c r="K578" s="12" t="n">
        <v>0.5738</v>
      </c>
      <c r="L578" s="3" t="n">
        <v>4</v>
      </c>
      <c r="M578" s="12" t="n">
        <f aca="false">Z578-W578</f>
        <v>0.0631259999999999</v>
      </c>
      <c r="N578" s="12" t="n">
        <f aca="false">IFERROR((Z578-J578)/L578,"")</f>
        <v>0.0490565</v>
      </c>
      <c r="O578" s="3" t="n">
        <v>13</v>
      </c>
      <c r="P578" s="13" t="b">
        <f aca="false">FALSE()</f>
        <v>0</v>
      </c>
      <c r="Q578" s="3" t="s">
        <v>166</v>
      </c>
      <c r="R578" s="12" t="n">
        <v>0.7694</v>
      </c>
      <c r="S578" s="12" t="n">
        <v>0.3438</v>
      </c>
      <c r="T578" s="3" t="n">
        <v>0.3157</v>
      </c>
      <c r="U578" s="12" t="n">
        <v>0.5385</v>
      </c>
      <c r="V578" s="12" t="n">
        <v>0.5126</v>
      </c>
      <c r="W578" s="12" t="n">
        <v>0.5107</v>
      </c>
      <c r="X578" s="3" t="n">
        <v>0.6387</v>
      </c>
      <c r="Y578" s="3" t="n">
        <v>0.719</v>
      </c>
      <c r="Z578" s="14" t="n">
        <f aca="false">Assumptions!$B$3*R578+Assumptions!$B$4*S578+IF(AA578=1,Assumptions!$B$11,Assumptions!$B$5)*X578+IF(AA578=1,Assumptions!$B$12,Assumptions!$B$6)*T578+Assumptions!$B$7*U578+Assumptions!$B$8*V578+Assumptions!$B$9*Y578</f>
        <v>0.573826</v>
      </c>
      <c r="AA578" s="3" t="n">
        <v>0</v>
      </c>
    </row>
    <row r="579" customFormat="false" ht="15" hidden="false" customHeight="false" outlineLevel="0" collapsed="false">
      <c r="A579" s="3" t="s">
        <v>764</v>
      </c>
      <c r="B579" s="3" t="n">
        <v>480</v>
      </c>
      <c r="C579" s="11" t="str">
        <f aca="false">IF(M579&gt;=Assumptions!$B$17,"S+",IF(M579&gt;=Assumptions!$B$18,"S",IF(M579&gt;=Assumptions!$B$19,"A",IF(M579&gt;=Assumptions!$B$20,"B",IF(M579&gt;=Assumptions!$B$21,"C",IF(M579&gt;=Assumptions!$B$22,"D","F"))))))</f>
        <v>C</v>
      </c>
      <c r="D579" s="3" t="s">
        <v>197</v>
      </c>
      <c r="E579" s="3" t="n">
        <v>3</v>
      </c>
      <c r="F579" s="12" t="n">
        <v>0.5794</v>
      </c>
      <c r="G579" s="12" t="n">
        <v>0.6</v>
      </c>
      <c r="H579" s="12" t="n">
        <v>0.75</v>
      </c>
      <c r="I579" s="12" t="n">
        <v>0.6222</v>
      </c>
      <c r="J579" s="12" t="n">
        <v>0.3562</v>
      </c>
      <c r="K579" s="12" t="n">
        <v>0.5608</v>
      </c>
      <c r="L579" s="3" t="n">
        <v>5.94</v>
      </c>
      <c r="M579" s="12" t="n">
        <f aca="false">Z579-W579</f>
        <v>0.0628439999999999</v>
      </c>
      <c r="N579" s="12" t="n">
        <f aca="false">IFERROR((Z579-J579)/L579,"")</f>
        <v>0.0344350168350168</v>
      </c>
      <c r="O579" s="3" t="n">
        <v>17</v>
      </c>
      <c r="P579" s="13" t="b">
        <f aca="false">FALSE()</f>
        <v>0</v>
      </c>
      <c r="Q579" s="3" t="s">
        <v>166</v>
      </c>
      <c r="R579" s="12" t="n">
        <v>0.7249</v>
      </c>
      <c r="S579" s="12" t="n">
        <v>0.581</v>
      </c>
      <c r="T579" s="3" t="n">
        <v>0.3431</v>
      </c>
      <c r="U579" s="12" t="n">
        <v>0.552</v>
      </c>
      <c r="V579" s="12" t="n">
        <v>0.4584</v>
      </c>
      <c r="W579" s="12" t="n">
        <v>0.4979</v>
      </c>
      <c r="X579" s="3" t="n">
        <v>0.4839</v>
      </c>
      <c r="Y579" s="3" t="n">
        <v>0.609</v>
      </c>
      <c r="Z579" s="14" t="n">
        <f aca="false">Assumptions!$B$3*R579+Assumptions!$B$4*S579+IF(AA579=1,Assumptions!$B$11,Assumptions!$B$5)*X579+IF(AA579=1,Assumptions!$B$12,Assumptions!$B$6)*T579+Assumptions!$B$7*U579+Assumptions!$B$8*V579+Assumptions!$B$9*Y579</f>
        <v>0.560744</v>
      </c>
      <c r="AA579" s="3" t="n">
        <v>0</v>
      </c>
    </row>
    <row r="580" customFormat="false" ht="15" hidden="false" customHeight="false" outlineLevel="0" collapsed="false">
      <c r="A580" s="3" t="s">
        <v>765</v>
      </c>
      <c r="B580" s="3" t="n">
        <v>500</v>
      </c>
      <c r="C580" s="11" t="str">
        <f aca="false">IF(M580&gt;=Assumptions!$B$17,"S+",IF(M580&gt;=Assumptions!$B$18,"S",IF(M580&gt;=Assumptions!$B$19,"A",IF(M580&gt;=Assumptions!$B$20,"B",IF(M580&gt;=Assumptions!$B$21,"C",IF(M580&gt;=Assumptions!$B$22,"D","F"))))))</f>
        <v>C</v>
      </c>
      <c r="D580" s="3" t="s">
        <v>218</v>
      </c>
      <c r="E580" s="3" t="n">
        <v>2</v>
      </c>
      <c r="F580" s="12" t="n">
        <v>0.9223</v>
      </c>
      <c r="G580" s="12" t="n">
        <v>1</v>
      </c>
      <c r="H580" s="12" t="n">
        <v>0.75</v>
      </c>
      <c r="I580" s="12" t="n">
        <v>0.9252</v>
      </c>
      <c r="J580" s="12" t="n">
        <v>0.3719</v>
      </c>
      <c r="K580" s="12" t="n">
        <v>0.5726</v>
      </c>
      <c r="L580" s="3" t="n">
        <v>6.78</v>
      </c>
      <c r="M580" s="12" t="n">
        <f aca="false">Z580-W580</f>
        <v>0.062815</v>
      </c>
      <c r="N580" s="12" t="n">
        <f aca="false">IFERROR((Z580-J580)/L580,"")</f>
        <v>0.029603982300885</v>
      </c>
      <c r="O580" s="3" t="n">
        <v>18</v>
      </c>
      <c r="P580" s="13" t="b">
        <f aca="false">FALSE()</f>
        <v>0</v>
      </c>
      <c r="Q580" s="3" t="s">
        <v>166</v>
      </c>
      <c r="R580" s="12" t="n">
        <v>0.8516</v>
      </c>
      <c r="S580" s="12" t="n">
        <v>0.523</v>
      </c>
      <c r="T580" s="3" t="n">
        <v>0.4244</v>
      </c>
      <c r="U580" s="12" t="n">
        <v>0.3333</v>
      </c>
      <c r="V580" s="12" t="n">
        <v>0.4703</v>
      </c>
      <c r="W580" s="12" t="n">
        <v>0.5098</v>
      </c>
      <c r="X580" s="3" t="n">
        <v>0.3008</v>
      </c>
      <c r="Y580" s="3" t="n">
        <v>0.8863</v>
      </c>
      <c r="Z580" s="14" t="n">
        <f aca="false">Assumptions!$B$3*R580+Assumptions!$B$4*S580+IF(AA580=1,Assumptions!$B$11,Assumptions!$B$5)*X580+IF(AA580=1,Assumptions!$B$12,Assumptions!$B$6)*T580+Assumptions!$B$7*U580+Assumptions!$B$8*V580+Assumptions!$B$9*Y580</f>
        <v>0.572615</v>
      </c>
      <c r="AA580" s="3" t="n">
        <v>0</v>
      </c>
    </row>
    <row r="581" customFormat="false" ht="15" hidden="false" customHeight="false" outlineLevel="0" collapsed="false">
      <c r="A581" s="3" t="s">
        <v>766</v>
      </c>
      <c r="B581" s="3" t="n">
        <v>490</v>
      </c>
      <c r="C581" s="11" t="str">
        <f aca="false">IF(M581&gt;=Assumptions!$B$17,"S+",IF(M581&gt;=Assumptions!$B$18,"S",IF(M581&gt;=Assumptions!$B$19,"A",IF(M581&gt;=Assumptions!$B$20,"B",IF(M581&gt;=Assumptions!$B$21,"C",IF(M581&gt;=Assumptions!$B$22,"D","F"))))))</f>
        <v>C</v>
      </c>
      <c r="D581" s="3" t="s">
        <v>218</v>
      </c>
      <c r="E581" s="3" t="n">
        <v>3</v>
      </c>
      <c r="F581" s="12" t="n">
        <v>0.8621</v>
      </c>
      <c r="G581" s="12" t="n">
        <v>0.6</v>
      </c>
      <c r="H581" s="12" t="n">
        <v>0.75</v>
      </c>
      <c r="I581" s="12" t="n">
        <v>0.7139</v>
      </c>
      <c r="J581" s="12" t="n">
        <v>0.4079</v>
      </c>
      <c r="K581" s="12" t="n">
        <v>0.5668</v>
      </c>
      <c r="L581" s="3" t="n">
        <v>5.82</v>
      </c>
      <c r="M581" s="12" t="n">
        <f aca="false">Z581-W581</f>
        <v>0.062458</v>
      </c>
      <c r="N581" s="12" t="n">
        <f aca="false">IFERROR((Z581-J581)/L581,"")</f>
        <v>0.0272951890034364</v>
      </c>
      <c r="O581" s="3" t="n">
        <v>17</v>
      </c>
      <c r="P581" s="13" t="b">
        <f aca="false">FALSE()</f>
        <v>0</v>
      </c>
      <c r="Q581" s="3" t="s">
        <v>166</v>
      </c>
      <c r="R581" s="12" t="n">
        <v>0.7404</v>
      </c>
      <c r="S581" s="12" t="n">
        <v>0.5962</v>
      </c>
      <c r="T581" s="3" t="n">
        <v>0.2743</v>
      </c>
      <c r="U581" s="12" t="n">
        <v>0.5521</v>
      </c>
      <c r="V581" s="12" t="n">
        <v>0.4584</v>
      </c>
      <c r="W581" s="12" t="n">
        <v>0.5043</v>
      </c>
      <c r="X581" s="3" t="n">
        <v>0.4819</v>
      </c>
      <c r="Y581" s="3" t="n">
        <v>0.6917</v>
      </c>
      <c r="Z581" s="14" t="n">
        <f aca="false">Assumptions!$B$3*R581+Assumptions!$B$4*S581+IF(AA581=1,Assumptions!$B$11,Assumptions!$B$5)*X581+IF(AA581=1,Assumptions!$B$12,Assumptions!$B$6)*T581+Assumptions!$B$7*U581+Assumptions!$B$8*V581+Assumptions!$B$9*Y581</f>
        <v>0.566758</v>
      </c>
      <c r="AA581" s="3" t="n">
        <v>0</v>
      </c>
    </row>
    <row r="582" customFormat="false" ht="15" hidden="false" customHeight="false" outlineLevel="0" collapsed="false">
      <c r="A582" s="3" t="s">
        <v>767</v>
      </c>
      <c r="B582" s="3" t="n">
        <v>490</v>
      </c>
      <c r="C582" s="11" t="str">
        <f aca="false">IF(M582&gt;=Assumptions!$B$17,"S+",IF(M582&gt;=Assumptions!$B$18,"S",IF(M582&gt;=Assumptions!$B$19,"A",IF(M582&gt;=Assumptions!$B$20,"B",IF(M582&gt;=Assumptions!$B$21,"C",IF(M582&gt;=Assumptions!$B$22,"D","F"))))))</f>
        <v>C</v>
      </c>
      <c r="D582" s="3" t="s">
        <v>253</v>
      </c>
      <c r="E582" s="3" t="n">
        <v>6</v>
      </c>
      <c r="F582" s="12" t="n">
        <v>0.8696</v>
      </c>
      <c r="G582" s="12" t="n">
        <v>0.6</v>
      </c>
      <c r="H582" s="12" t="n">
        <v>0.75</v>
      </c>
      <c r="I582" s="12" t="n">
        <v>0.7163</v>
      </c>
      <c r="J582" s="12" t="n">
        <v>0.3692</v>
      </c>
      <c r="K582" s="12" t="n">
        <v>0.5889</v>
      </c>
      <c r="L582" s="3" t="n">
        <v>5</v>
      </c>
      <c r="M582" s="12" t="n">
        <f aca="false">Z582-W582</f>
        <v>0.062326</v>
      </c>
      <c r="N582" s="12" t="n">
        <f aca="false">IFERROR((Z582-J582)/L582,"")</f>
        <v>0.0439452</v>
      </c>
      <c r="O582" s="3" t="n">
        <v>14</v>
      </c>
      <c r="P582" s="13" t="b">
        <f aca="false">FALSE()</f>
        <v>0</v>
      </c>
      <c r="Q582" s="3" t="s">
        <v>166</v>
      </c>
      <c r="R582" s="12" t="n">
        <v>0.7458</v>
      </c>
      <c r="S582" s="12" t="n">
        <v>0.5682</v>
      </c>
      <c r="T582" s="3" t="n">
        <v>0.0935</v>
      </c>
      <c r="U582" s="12" t="n">
        <v>0.489</v>
      </c>
      <c r="V582" s="12" t="n">
        <v>0.4776</v>
      </c>
      <c r="W582" s="12" t="n">
        <v>0.5266</v>
      </c>
      <c r="X582" s="3" t="n">
        <v>0.8042</v>
      </c>
      <c r="Y582" s="3" t="n">
        <v>0.6846</v>
      </c>
      <c r="Z582" s="14" t="n">
        <f aca="false">Assumptions!$B$3*R582+Assumptions!$B$4*S582+IF(AA582=1,Assumptions!$B$11,Assumptions!$B$5)*X582+IF(AA582=1,Assumptions!$B$12,Assumptions!$B$6)*T582+Assumptions!$B$7*U582+Assumptions!$B$8*V582+Assumptions!$B$9*Y582</f>
        <v>0.588926</v>
      </c>
      <c r="AA582" s="3" t="n">
        <v>0</v>
      </c>
    </row>
    <row r="583" customFormat="false" ht="15" hidden="false" customHeight="false" outlineLevel="0" collapsed="false">
      <c r="A583" s="3" t="s">
        <v>768</v>
      </c>
      <c r="B583" s="3" t="n">
        <v>555</v>
      </c>
      <c r="C583" s="11" t="str">
        <f aca="false">IF(M583&gt;=Assumptions!$B$17,"S+",IF(M583&gt;=Assumptions!$B$18,"S",IF(M583&gt;=Assumptions!$B$19,"A",IF(M583&gt;=Assumptions!$B$20,"B",IF(M583&gt;=Assumptions!$B$21,"C",IF(M583&gt;=Assumptions!$B$22,"D","F"))))))</f>
        <v>C</v>
      </c>
      <c r="D583" s="3" t="s">
        <v>218</v>
      </c>
      <c r="E583" s="3" t="n">
        <v>7</v>
      </c>
      <c r="F583" s="12" t="n">
        <v>0.8928</v>
      </c>
      <c r="G583" s="12" t="n">
        <v>0.6</v>
      </c>
      <c r="H583" s="12" t="n">
        <v>0.75</v>
      </c>
      <c r="I583" s="12" t="n">
        <v>0.7237</v>
      </c>
      <c r="J583" s="12" t="n">
        <v>0.3973</v>
      </c>
      <c r="K583" s="12" t="n">
        <v>0.5729</v>
      </c>
      <c r="L583" s="3" t="n">
        <v>4</v>
      </c>
      <c r="M583" s="12" t="n">
        <f aca="false">Z583-W583</f>
        <v>0.0622010000000001</v>
      </c>
      <c r="N583" s="12" t="n">
        <f aca="false">IFERROR((Z583-J583)/L583,"")</f>
        <v>0.04390025</v>
      </c>
      <c r="O583" s="3" t="n">
        <v>13</v>
      </c>
      <c r="P583" s="13" t="b">
        <f aca="false">FALSE()</f>
        <v>0</v>
      </c>
      <c r="Q583" s="3" t="s">
        <v>166</v>
      </c>
      <c r="R583" s="12" t="n">
        <v>0.8892</v>
      </c>
      <c r="S583" s="12" t="n">
        <v>0.553</v>
      </c>
      <c r="T583" s="3" t="n">
        <v>0.2076</v>
      </c>
      <c r="U583" s="12" t="n">
        <v>0.3846</v>
      </c>
      <c r="V583" s="12" t="n">
        <v>0.4349</v>
      </c>
      <c r="W583" s="12" t="n">
        <v>0.5107</v>
      </c>
      <c r="X583" s="3" t="n">
        <v>0.4688</v>
      </c>
      <c r="Y583" s="3" t="n">
        <v>0.7254</v>
      </c>
      <c r="Z583" s="14" t="n">
        <f aca="false">Assumptions!$B$3*R583+Assumptions!$B$4*S583+IF(AA583=1,Assumptions!$B$11,Assumptions!$B$5)*X583+IF(AA583=1,Assumptions!$B$12,Assumptions!$B$6)*T583+Assumptions!$B$7*U583+Assumptions!$B$8*V583+Assumptions!$B$9*Y583</f>
        <v>0.572901</v>
      </c>
      <c r="AA583" s="3" t="n">
        <v>0</v>
      </c>
    </row>
    <row r="584" customFormat="false" ht="15" hidden="false" customHeight="false" outlineLevel="0" collapsed="false">
      <c r="A584" s="3" t="s">
        <v>769</v>
      </c>
      <c r="B584" s="3" t="n">
        <v>313</v>
      </c>
      <c r="C584" s="11" t="str">
        <f aca="false">IF(M584&gt;=Assumptions!$B$17,"S+",IF(M584&gt;=Assumptions!$B$18,"S",IF(M584&gt;=Assumptions!$B$19,"A",IF(M584&gt;=Assumptions!$B$20,"B",IF(M584&gt;=Assumptions!$B$21,"C",IF(M584&gt;=Assumptions!$B$22,"D","F"))))))</f>
        <v>C</v>
      </c>
      <c r="D584" s="3" t="s">
        <v>186</v>
      </c>
      <c r="E584" s="3" t="n">
        <v>1</v>
      </c>
      <c r="F584" s="12" t="n">
        <v>0.4369</v>
      </c>
      <c r="G584" s="12" t="n">
        <v>0.6</v>
      </c>
      <c r="H584" s="12" t="n">
        <v>0.75</v>
      </c>
      <c r="I584" s="12" t="n">
        <v>0.6006</v>
      </c>
      <c r="J584" s="12" t="n">
        <v>0.2636</v>
      </c>
      <c r="K584" s="12" t="n">
        <v>0.5128</v>
      </c>
      <c r="L584" s="3" t="n">
        <v>5.87</v>
      </c>
      <c r="M584" s="12" t="n">
        <f aca="false">Z584-W584</f>
        <v>0.0618289999999999</v>
      </c>
      <c r="N584" s="12" t="n">
        <f aca="false">IFERROR((Z584-J584)/L584,"")</f>
        <v>0.0424580919931857</v>
      </c>
      <c r="O584" s="3" t="n">
        <v>19</v>
      </c>
      <c r="P584" s="13" t="b">
        <f aca="false">FALSE()</f>
        <v>0</v>
      </c>
      <c r="Q584" s="3" t="s">
        <v>166</v>
      </c>
      <c r="R584" s="12" t="n">
        <v>0.6081</v>
      </c>
      <c r="S584" s="12" t="n">
        <v>0.4318</v>
      </c>
      <c r="T584" s="3" t="n">
        <v>0.0896</v>
      </c>
      <c r="U584" s="12" t="n">
        <v>0.4818</v>
      </c>
      <c r="V584" s="12" t="n">
        <v>0.4497</v>
      </c>
      <c r="W584" s="12" t="n">
        <v>0.451</v>
      </c>
      <c r="X584" s="3" t="n">
        <v>0.5518</v>
      </c>
      <c r="Y584" s="3" t="n">
        <v>0.5629</v>
      </c>
      <c r="Z584" s="14" t="n">
        <f aca="false">Assumptions!$B$3*R584+Assumptions!$B$4*S584+IF(AA584=1,Assumptions!$B$11,Assumptions!$B$5)*X584+IF(AA584=1,Assumptions!$B$12,Assumptions!$B$6)*T584+Assumptions!$B$7*U584+Assumptions!$B$8*V584+Assumptions!$B$9*Y584</f>
        <v>0.512829</v>
      </c>
      <c r="AA584" s="3" t="n">
        <v>1</v>
      </c>
    </row>
    <row r="585" customFormat="false" ht="15" hidden="false" customHeight="false" outlineLevel="0" collapsed="false">
      <c r="A585" s="3" t="s">
        <v>770</v>
      </c>
      <c r="B585" s="3" t="n">
        <v>530</v>
      </c>
      <c r="C585" s="11" t="str">
        <f aca="false">IF(M585&gt;=Assumptions!$B$17,"S+",IF(M585&gt;=Assumptions!$B$18,"S",IF(M585&gt;=Assumptions!$B$19,"A",IF(M585&gt;=Assumptions!$B$20,"B",IF(M585&gt;=Assumptions!$B$21,"C",IF(M585&gt;=Assumptions!$B$22,"D","F"))))))</f>
        <v>C</v>
      </c>
      <c r="D585" s="3" t="s">
        <v>197</v>
      </c>
      <c r="E585" s="3" t="n">
        <v>6</v>
      </c>
      <c r="F585" s="12" t="n">
        <v>0.7867</v>
      </c>
      <c r="G585" s="12" t="n">
        <v>1</v>
      </c>
      <c r="H585" s="12" t="n">
        <v>0.75</v>
      </c>
      <c r="I585" s="12" t="n">
        <v>0.8689</v>
      </c>
      <c r="J585" s="12" t="n">
        <v>0.3659</v>
      </c>
      <c r="K585" s="12" t="n">
        <v>0.5509</v>
      </c>
      <c r="L585" s="3" t="n">
        <v>6</v>
      </c>
      <c r="M585" s="12" t="n">
        <f aca="false">Z585-W585</f>
        <v>0.061741</v>
      </c>
      <c r="N585" s="12" t="n">
        <f aca="false">IFERROR((Z585-J585)/L585,"")</f>
        <v>0.0308401666666667</v>
      </c>
      <c r="O585" s="3" t="n">
        <v>14</v>
      </c>
      <c r="P585" s="13" t="b">
        <f aca="false">FALSE()</f>
        <v>0</v>
      </c>
      <c r="Q585" s="3" t="s">
        <v>166</v>
      </c>
      <c r="R585" s="12" t="n">
        <v>0.7987</v>
      </c>
      <c r="S585" s="12" t="n">
        <v>0.4108</v>
      </c>
      <c r="T585" s="3" t="n">
        <v>0.2971</v>
      </c>
      <c r="U585" s="12" t="n">
        <v>0.4945</v>
      </c>
      <c r="V585" s="12" t="n">
        <v>0.4955</v>
      </c>
      <c r="W585" s="12" t="n">
        <v>0.4892</v>
      </c>
      <c r="X585" s="3" t="n">
        <v>0.3562</v>
      </c>
      <c r="Y585" s="3" t="n">
        <v>0.8506</v>
      </c>
      <c r="Z585" s="14" t="n">
        <f aca="false">Assumptions!$B$3*R585+Assumptions!$B$4*S585+IF(AA585=1,Assumptions!$B$11,Assumptions!$B$5)*X585+IF(AA585=1,Assumptions!$B$12,Assumptions!$B$6)*T585+Assumptions!$B$7*U585+Assumptions!$B$8*V585+Assumptions!$B$9*Y585</f>
        <v>0.550941</v>
      </c>
      <c r="AA585" s="3" t="n">
        <v>0</v>
      </c>
    </row>
    <row r="586" customFormat="false" ht="15" hidden="false" customHeight="false" outlineLevel="0" collapsed="false">
      <c r="A586" s="3" t="s">
        <v>771</v>
      </c>
      <c r="B586" s="3" t="n">
        <v>430</v>
      </c>
      <c r="C586" s="11" t="str">
        <f aca="false">IF(M586&gt;=Assumptions!$B$17,"S+",IF(M586&gt;=Assumptions!$B$18,"S",IF(M586&gt;=Assumptions!$B$19,"A",IF(M586&gt;=Assumptions!$B$20,"B",IF(M586&gt;=Assumptions!$B$21,"C",IF(M586&gt;=Assumptions!$B$22,"D","F"))))))</f>
        <v>C</v>
      </c>
      <c r="D586" s="3" t="s">
        <v>190</v>
      </c>
      <c r="E586" s="3" t="n">
        <v>3</v>
      </c>
      <c r="F586" s="12" t="n">
        <v>0.8916</v>
      </c>
      <c r="G586" s="12" t="n">
        <v>0.6</v>
      </c>
      <c r="H586" s="12" t="n">
        <v>0.75</v>
      </c>
      <c r="I586" s="12" t="n">
        <v>0.7408</v>
      </c>
      <c r="J586" s="12" t="n">
        <v>0.3847</v>
      </c>
      <c r="K586" s="12" t="n">
        <v>0.5539</v>
      </c>
      <c r="L586" s="3" t="n">
        <v>5.82</v>
      </c>
      <c r="M586" s="12" t="n">
        <f aca="false">Z586-W586</f>
        <v>0.061537</v>
      </c>
      <c r="N586" s="12" t="n">
        <f aca="false">IFERROR((Z586-J586)/L586,"")</f>
        <v>0.0290785223367698</v>
      </c>
      <c r="O586" s="3" t="n">
        <v>17</v>
      </c>
      <c r="P586" s="13" t="b">
        <f aca="false">FALSE()</f>
        <v>0</v>
      </c>
      <c r="Q586" s="3" t="s">
        <v>166</v>
      </c>
      <c r="R586" s="12" t="n">
        <v>0.8573</v>
      </c>
      <c r="S586" s="12" t="n">
        <v>0.3606</v>
      </c>
      <c r="T586" s="3" t="n">
        <v>0.649</v>
      </c>
      <c r="U586" s="12" t="n">
        <v>0.448</v>
      </c>
      <c r="V586" s="12" t="n">
        <v>0.4501</v>
      </c>
      <c r="W586" s="12" t="n">
        <v>0.4924</v>
      </c>
      <c r="X586" s="3" t="n">
        <v>0.1958</v>
      </c>
      <c r="Y586" s="3" t="n">
        <v>0.7343</v>
      </c>
      <c r="Z586" s="14" t="n">
        <f aca="false">Assumptions!$B$3*R586+Assumptions!$B$4*S586+IF(AA586=1,Assumptions!$B$11,Assumptions!$B$5)*X586+IF(AA586=1,Assumptions!$B$12,Assumptions!$B$6)*T586+Assumptions!$B$7*U586+Assumptions!$B$8*V586+Assumptions!$B$9*Y586</f>
        <v>0.553937</v>
      </c>
      <c r="AA586" s="3" t="n">
        <v>0</v>
      </c>
    </row>
    <row r="587" customFormat="false" ht="15" hidden="false" customHeight="false" outlineLevel="0" collapsed="false">
      <c r="A587" s="3" t="s">
        <v>772</v>
      </c>
      <c r="B587" s="3" t="n">
        <v>390</v>
      </c>
      <c r="C587" s="11" t="str">
        <f aca="false">IF(M587&gt;=Assumptions!$B$17,"S+",IF(M587&gt;=Assumptions!$B$18,"S",IF(M587&gt;=Assumptions!$B$19,"A",IF(M587&gt;=Assumptions!$B$20,"B",IF(M587&gt;=Assumptions!$B$21,"C",IF(M587&gt;=Assumptions!$B$22,"D","F"))))))</f>
        <v>C</v>
      </c>
      <c r="D587" s="3" t="s">
        <v>186</v>
      </c>
      <c r="E587" s="3" t="n">
        <v>2</v>
      </c>
      <c r="F587" s="12" t="n">
        <v>0.5739</v>
      </c>
      <c r="G587" s="12" t="n">
        <v>0.85</v>
      </c>
      <c r="H587" s="12" t="n">
        <v>0.75</v>
      </c>
      <c r="I587" s="12" t="n">
        <v>0.7803</v>
      </c>
      <c r="J587" s="12" t="n">
        <v>0.3395</v>
      </c>
      <c r="K587" s="12" t="n">
        <v>0.5125</v>
      </c>
      <c r="L587" s="3" t="n">
        <v>3.86</v>
      </c>
      <c r="M587" s="12" t="n">
        <f aca="false">Z587-W587</f>
        <v>0.0612450000000001</v>
      </c>
      <c r="N587" s="12" t="n">
        <f aca="false">IFERROR((Z587-J587)/L587,"")</f>
        <v>0.044830310880829</v>
      </c>
      <c r="O587" s="3" t="n">
        <v>18</v>
      </c>
      <c r="P587" s="13" t="b">
        <f aca="false">FALSE()</f>
        <v>0</v>
      </c>
      <c r="Q587" s="3" t="s">
        <v>166</v>
      </c>
      <c r="R587" s="12" t="n">
        <v>0.8485</v>
      </c>
      <c r="S587" s="12" t="n">
        <v>0.3449</v>
      </c>
      <c r="T587" s="3" t="n">
        <v>0.1042</v>
      </c>
      <c r="U587" s="12" t="n">
        <v>0.4487</v>
      </c>
      <c r="V587" s="12" t="n">
        <v>0.365</v>
      </c>
      <c r="W587" s="12" t="n">
        <v>0.4513</v>
      </c>
      <c r="X587" s="3" t="n">
        <v>0.3298</v>
      </c>
      <c r="Y587" s="3" t="n">
        <v>0.7186</v>
      </c>
      <c r="Z587" s="14" t="n">
        <f aca="false">Assumptions!$B$3*R587+Assumptions!$B$4*S587+IF(AA587=1,Assumptions!$B$11,Assumptions!$B$5)*X587+IF(AA587=1,Assumptions!$B$12,Assumptions!$B$6)*T587+Assumptions!$B$7*U587+Assumptions!$B$8*V587+Assumptions!$B$9*Y587</f>
        <v>0.512545</v>
      </c>
      <c r="AA587" s="3" t="n">
        <v>1</v>
      </c>
    </row>
    <row r="588" customFormat="false" ht="15" hidden="false" customHeight="false" outlineLevel="0" collapsed="false">
      <c r="A588" s="3" t="s">
        <v>773</v>
      </c>
      <c r="B588" s="3" t="n">
        <v>510</v>
      </c>
      <c r="C588" s="11" t="str">
        <f aca="false">IF(M588&gt;=Assumptions!$B$17,"S+",IF(M588&gt;=Assumptions!$B$18,"S",IF(M588&gt;=Assumptions!$B$19,"A",IF(M588&gt;=Assumptions!$B$20,"B",IF(M588&gt;=Assumptions!$B$21,"C",IF(M588&gt;=Assumptions!$B$22,"D","F"))))))</f>
        <v>C</v>
      </c>
      <c r="D588" s="3" t="s">
        <v>183</v>
      </c>
      <c r="E588" s="3" t="n">
        <v>7</v>
      </c>
      <c r="F588" s="12" t="n">
        <v>0.7937</v>
      </c>
      <c r="G588" s="12" t="n">
        <v>0.76</v>
      </c>
      <c r="H588" s="12" t="n">
        <v>0.4444</v>
      </c>
      <c r="I588" s="12" t="n">
        <v>0.6905</v>
      </c>
      <c r="J588" s="12" t="n">
        <v>0.3965</v>
      </c>
      <c r="K588" s="12" t="n">
        <v>0.5457</v>
      </c>
      <c r="L588" s="3" t="n">
        <v>4</v>
      </c>
      <c r="M588" s="12" t="n">
        <f aca="false">Z588-W588</f>
        <v>0.0611389999999999</v>
      </c>
      <c r="N588" s="12" t="n">
        <f aca="false">IFERROR((Z588-J588)/L588,"")</f>
        <v>0.03730975</v>
      </c>
      <c r="O588" s="3" t="n">
        <v>13</v>
      </c>
      <c r="P588" s="13" t="b">
        <f aca="false">FALSE()</f>
        <v>0</v>
      </c>
      <c r="Q588" s="3" t="s">
        <v>166</v>
      </c>
      <c r="R588" s="12" t="n">
        <v>0.7141</v>
      </c>
      <c r="S588" s="12" t="n">
        <v>0.6147</v>
      </c>
      <c r="T588" s="3" t="n">
        <v>0.1048</v>
      </c>
      <c r="U588" s="12" t="n">
        <v>0.3846</v>
      </c>
      <c r="V588" s="12" t="n">
        <v>0.3956</v>
      </c>
      <c r="W588" s="12" t="n">
        <v>0.4846</v>
      </c>
      <c r="X588" s="3" t="n">
        <v>0.4735</v>
      </c>
      <c r="Y588" s="3" t="n">
        <v>0.6806</v>
      </c>
      <c r="Z588" s="14" t="n">
        <f aca="false">Assumptions!$B$3*R588+Assumptions!$B$4*S588+IF(AA588=1,Assumptions!$B$11,Assumptions!$B$5)*X588+IF(AA588=1,Assumptions!$B$12,Assumptions!$B$6)*T588+Assumptions!$B$7*U588+Assumptions!$B$8*V588+Assumptions!$B$9*Y588</f>
        <v>0.545739</v>
      </c>
      <c r="AA588" s="3" t="n">
        <v>1</v>
      </c>
    </row>
    <row r="589" customFormat="false" ht="15" hidden="false" customHeight="false" outlineLevel="0" collapsed="false">
      <c r="A589" s="3" t="s">
        <v>774</v>
      </c>
      <c r="B589" s="3" t="n">
        <v>390</v>
      </c>
      <c r="C589" s="11" t="str">
        <f aca="false">IF(M589&gt;=Assumptions!$B$17,"S+",IF(M589&gt;=Assumptions!$B$18,"S",IF(M589&gt;=Assumptions!$B$19,"A",IF(M589&gt;=Assumptions!$B$20,"B",IF(M589&gt;=Assumptions!$B$21,"C",IF(M589&gt;=Assumptions!$B$22,"D","F"))))))</f>
        <v>C</v>
      </c>
      <c r="D589" s="3" t="s">
        <v>183</v>
      </c>
      <c r="E589" s="3" t="n">
        <v>3</v>
      </c>
      <c r="F589" s="12" t="n">
        <v>0.9802</v>
      </c>
      <c r="G589" s="12" t="n">
        <v>0.64</v>
      </c>
      <c r="H589" s="12" t="n">
        <v>0.4762</v>
      </c>
      <c r="I589" s="12" t="n">
        <v>0.6943</v>
      </c>
      <c r="J589" s="12" t="n">
        <v>0.3774</v>
      </c>
      <c r="K589" s="12" t="n">
        <v>0.5546</v>
      </c>
      <c r="L589" s="3" t="n">
        <v>6.82</v>
      </c>
      <c r="M589" s="12" t="n">
        <f aca="false">Z589-W589</f>
        <v>0.061128</v>
      </c>
      <c r="N589" s="12" t="n">
        <f aca="false">IFERROR((Z589-J589)/L589,"")</f>
        <v>0.0259865102639296</v>
      </c>
      <c r="O589" s="3" t="n">
        <v>17</v>
      </c>
      <c r="P589" s="13" t="b">
        <f aca="false">FALSE()</f>
        <v>0</v>
      </c>
      <c r="Q589" s="3" t="s">
        <v>166</v>
      </c>
      <c r="R589" s="12" t="n">
        <v>0.7294</v>
      </c>
      <c r="S589" s="12" t="n">
        <v>0.6358</v>
      </c>
      <c r="T589" s="3" t="n">
        <v>0</v>
      </c>
      <c r="U589" s="12" t="n">
        <v>0.2579</v>
      </c>
      <c r="V589" s="12" t="n">
        <v>0.4584</v>
      </c>
      <c r="W589" s="12" t="n">
        <v>0.4935</v>
      </c>
      <c r="X589" s="3" t="n">
        <v>0.5325</v>
      </c>
      <c r="Y589" s="3" t="n">
        <v>0.656</v>
      </c>
      <c r="Z589" s="14" t="n">
        <f aca="false">Assumptions!$B$3*R589+Assumptions!$B$4*S589+IF(AA589=1,Assumptions!$B$11,Assumptions!$B$5)*X589+IF(AA589=1,Assumptions!$B$12,Assumptions!$B$6)*T589+Assumptions!$B$7*U589+Assumptions!$B$8*V589+Assumptions!$B$9*Y589</f>
        <v>0.554628</v>
      </c>
      <c r="AA589" s="3" t="n">
        <v>1</v>
      </c>
    </row>
    <row r="590" customFormat="false" ht="15" hidden="false" customHeight="false" outlineLevel="0" collapsed="false">
      <c r="A590" s="3" t="s">
        <v>775</v>
      </c>
      <c r="B590" s="3" t="n">
        <v>530</v>
      </c>
      <c r="C590" s="11" t="str">
        <f aca="false">IF(M590&gt;=Assumptions!$B$17,"S+",IF(M590&gt;=Assumptions!$B$18,"S",IF(M590&gt;=Assumptions!$B$19,"A",IF(M590&gt;=Assumptions!$B$20,"B",IF(M590&gt;=Assumptions!$B$21,"C",IF(M590&gt;=Assumptions!$B$22,"D","F"))))))</f>
        <v>C</v>
      </c>
      <c r="D590" s="3" t="s">
        <v>253</v>
      </c>
      <c r="E590" s="3" t="n">
        <v>4</v>
      </c>
      <c r="F590" s="12" t="n">
        <v>0.8126</v>
      </c>
      <c r="G590" s="12" t="n">
        <v>0.6</v>
      </c>
      <c r="H590" s="12" t="n">
        <v>0.75</v>
      </c>
      <c r="I590" s="12" t="n">
        <v>0.698</v>
      </c>
      <c r="J590" s="12" t="n">
        <v>0.4482</v>
      </c>
      <c r="K590" s="12" t="n">
        <v>0.5874</v>
      </c>
      <c r="L590" s="3" t="n">
        <v>3.78</v>
      </c>
      <c r="M590" s="12" t="n">
        <f aca="false">Z590-W590</f>
        <v>0.060962</v>
      </c>
      <c r="N590" s="12" t="n">
        <f aca="false">IFERROR((Z590-J590)/L590,"")</f>
        <v>0.0368153439153439</v>
      </c>
      <c r="O590" s="3" t="n">
        <v>16</v>
      </c>
      <c r="P590" s="13" t="b">
        <f aca="false">FALSE()</f>
        <v>0</v>
      </c>
      <c r="Q590" s="3" t="s">
        <v>166</v>
      </c>
      <c r="R590" s="12" t="n">
        <v>0.7636</v>
      </c>
      <c r="S590" s="12" t="n">
        <v>0.4854</v>
      </c>
      <c r="T590" s="3" t="n">
        <v>0.5057</v>
      </c>
      <c r="U590" s="12" t="n">
        <v>0.5</v>
      </c>
      <c r="V590" s="12" t="n">
        <v>0.3876</v>
      </c>
      <c r="W590" s="12" t="n">
        <v>0.5264</v>
      </c>
      <c r="X590" s="3" t="n">
        <v>0.5896</v>
      </c>
      <c r="Y590" s="3" t="n">
        <v>0.6836</v>
      </c>
      <c r="Z590" s="14" t="n">
        <f aca="false">Assumptions!$B$3*R590+Assumptions!$B$4*S590+IF(AA590=1,Assumptions!$B$11,Assumptions!$B$5)*X590+IF(AA590=1,Assumptions!$B$12,Assumptions!$B$6)*T590+Assumptions!$B$7*U590+Assumptions!$B$8*V590+Assumptions!$B$9*Y590</f>
        <v>0.587362</v>
      </c>
      <c r="AA590" s="3" t="n">
        <v>0</v>
      </c>
    </row>
    <row r="591" customFormat="false" ht="15" hidden="false" customHeight="false" outlineLevel="0" collapsed="false">
      <c r="A591" s="3" t="s">
        <v>776</v>
      </c>
      <c r="B591" s="3" t="n">
        <v>470</v>
      </c>
      <c r="C591" s="11" t="str">
        <f aca="false">IF(M591&gt;=Assumptions!$B$17,"S+",IF(M591&gt;=Assumptions!$B$18,"S",IF(M591&gt;=Assumptions!$B$19,"A",IF(M591&gt;=Assumptions!$B$20,"B",IF(M591&gt;=Assumptions!$B$21,"C",IF(M591&gt;=Assumptions!$B$22,"D","F"))))))</f>
        <v>C</v>
      </c>
      <c r="D591" s="3" t="s">
        <v>218</v>
      </c>
      <c r="E591" s="3" t="n">
        <v>5</v>
      </c>
      <c r="F591" s="12" t="n">
        <v>0.8437</v>
      </c>
      <c r="G591" s="12" t="n">
        <v>0.6</v>
      </c>
      <c r="H591" s="12" t="n">
        <v>0.75</v>
      </c>
      <c r="I591" s="12" t="n">
        <v>0.708</v>
      </c>
      <c r="J591" s="12" t="n">
        <v>0.3792</v>
      </c>
      <c r="K591" s="12" t="n">
        <v>0.5712</v>
      </c>
      <c r="L591" s="3" t="n">
        <v>3.93</v>
      </c>
      <c r="M591" s="12" t="n">
        <f aca="false">Z591-W591</f>
        <v>0.0606970000000001</v>
      </c>
      <c r="N591" s="12" t="n">
        <f aca="false">IFERROR((Z591-J591)/L591,"")</f>
        <v>0.0488541984732825</v>
      </c>
      <c r="O591" s="3" t="n">
        <v>15</v>
      </c>
      <c r="P591" s="13" t="b">
        <f aca="false">FALSE()</f>
        <v>0</v>
      </c>
      <c r="Q591" s="3" t="s">
        <v>166</v>
      </c>
      <c r="R591" s="12" t="n">
        <v>0.7803</v>
      </c>
      <c r="S591" s="12" t="n">
        <v>0.3626</v>
      </c>
      <c r="T591" s="3" t="n">
        <v>0.4999</v>
      </c>
      <c r="U591" s="12" t="n">
        <v>0.3948</v>
      </c>
      <c r="V591" s="12" t="n">
        <v>0.4863</v>
      </c>
      <c r="W591" s="12" t="n">
        <v>0.5105</v>
      </c>
      <c r="X591" s="3" t="n">
        <v>0.5653</v>
      </c>
      <c r="Y591" s="3" t="n">
        <v>0.7052</v>
      </c>
      <c r="Z591" s="14" t="n">
        <f aca="false">Assumptions!$B$3*R591+Assumptions!$B$4*S591+IF(AA591=1,Assumptions!$B$11,Assumptions!$B$5)*X591+IF(AA591=1,Assumptions!$B$12,Assumptions!$B$6)*T591+Assumptions!$B$7*U591+Assumptions!$B$8*V591+Assumptions!$B$9*Y591</f>
        <v>0.571197</v>
      </c>
      <c r="AA591" s="3" t="n">
        <v>0</v>
      </c>
    </row>
    <row r="592" customFormat="false" ht="15" hidden="false" customHeight="false" outlineLevel="0" collapsed="false">
      <c r="A592" s="3" t="s">
        <v>777</v>
      </c>
      <c r="B592" s="3" t="n">
        <v>519</v>
      </c>
      <c r="C592" s="11" t="str">
        <f aca="false">IF(M592&gt;=Assumptions!$B$17,"S+",IF(M592&gt;=Assumptions!$B$18,"S",IF(M592&gt;=Assumptions!$B$19,"A",IF(M592&gt;=Assumptions!$B$20,"B",IF(M592&gt;=Assumptions!$B$21,"C",IF(M592&gt;=Assumptions!$B$22,"D","F"))))))</f>
        <v>C</v>
      </c>
      <c r="D592" s="3" t="s">
        <v>190</v>
      </c>
      <c r="E592" s="3" t="n">
        <v>7</v>
      </c>
      <c r="F592" s="12" t="n">
        <v>0.8217</v>
      </c>
      <c r="G592" s="12" t="n">
        <v>0.8</v>
      </c>
      <c r="H592" s="12" t="n">
        <v>0.75</v>
      </c>
      <c r="I592" s="12" t="n">
        <v>0.7982</v>
      </c>
      <c r="J592" s="12" t="n">
        <v>0.3523</v>
      </c>
      <c r="K592" s="12" t="n">
        <v>0.5375</v>
      </c>
      <c r="L592" s="3" t="n">
        <v>4.69</v>
      </c>
      <c r="M592" s="12" t="n">
        <f aca="false">Z592-W592</f>
        <v>0.060555</v>
      </c>
      <c r="N592" s="12" t="n">
        <f aca="false">IFERROR((Z592-J592)/L592,"")</f>
        <v>0.0394786780383795</v>
      </c>
      <c r="O592" s="3" t="n">
        <v>13</v>
      </c>
      <c r="P592" s="13" t="b">
        <f aca="false">FALSE()</f>
        <v>0</v>
      </c>
      <c r="Q592" s="3" t="s">
        <v>166</v>
      </c>
      <c r="R592" s="12" t="n">
        <v>0.8888</v>
      </c>
      <c r="S592" s="12" t="n">
        <v>0.3847</v>
      </c>
      <c r="T592" s="3" t="n">
        <v>0.3302</v>
      </c>
      <c r="U592" s="12" t="n">
        <v>0.3432</v>
      </c>
      <c r="V592" s="12" t="n">
        <v>0.4394</v>
      </c>
      <c r="W592" s="12" t="n">
        <v>0.4769</v>
      </c>
      <c r="X592" s="3" t="n">
        <v>0.2899</v>
      </c>
      <c r="Y592" s="3" t="n">
        <v>0.8</v>
      </c>
      <c r="Z592" s="14" t="n">
        <f aca="false">Assumptions!$B$3*R592+Assumptions!$B$4*S592+IF(AA592=1,Assumptions!$B$11,Assumptions!$B$5)*X592+IF(AA592=1,Assumptions!$B$12,Assumptions!$B$6)*T592+Assumptions!$B$7*U592+Assumptions!$B$8*V592+Assumptions!$B$9*Y592</f>
        <v>0.537455</v>
      </c>
      <c r="AA592" s="3" t="n">
        <v>0</v>
      </c>
    </row>
    <row r="593" customFormat="false" ht="15" hidden="false" customHeight="false" outlineLevel="0" collapsed="false">
      <c r="A593" s="3" t="s">
        <v>778</v>
      </c>
      <c r="B593" s="3" t="n">
        <v>420</v>
      </c>
      <c r="C593" s="11" t="str">
        <f aca="false">IF(M593&gt;=Assumptions!$B$17,"S+",IF(M593&gt;=Assumptions!$B$18,"S",IF(M593&gt;=Assumptions!$B$19,"A",IF(M593&gt;=Assumptions!$B$20,"B",IF(M593&gt;=Assumptions!$B$21,"C",IF(M593&gt;=Assumptions!$B$22,"D","F"))))))</f>
        <v>C</v>
      </c>
      <c r="D593" s="3" t="s">
        <v>253</v>
      </c>
      <c r="E593" s="3" t="n">
        <v>1</v>
      </c>
      <c r="F593" s="12" t="n">
        <v>0.3942</v>
      </c>
      <c r="G593" s="12" t="n">
        <v>1</v>
      </c>
      <c r="H593" s="12" t="n">
        <v>0.75</v>
      </c>
      <c r="I593" s="12" t="n">
        <v>0.7561</v>
      </c>
      <c r="J593" s="12" t="n">
        <v>0.3688</v>
      </c>
      <c r="K593" s="12" t="n">
        <v>0.5853</v>
      </c>
      <c r="L593" s="3" t="n">
        <v>4.21</v>
      </c>
      <c r="M593" s="12" t="n">
        <f aca="false">Z593-W593</f>
        <v>0.0602729999999999</v>
      </c>
      <c r="N593" s="12" t="n">
        <f aca="false">IFERROR((Z593-J593)/L593,"")</f>
        <v>0.0514187648456057</v>
      </c>
      <c r="O593" s="3" t="n">
        <v>19</v>
      </c>
      <c r="P593" s="13" t="b">
        <f aca="false">FALSE()</f>
        <v>0</v>
      </c>
      <c r="Q593" s="3" t="s">
        <v>166</v>
      </c>
      <c r="R593" s="12" t="n">
        <v>0.7377</v>
      </c>
      <c r="S593" s="12" t="n">
        <v>0.6731</v>
      </c>
      <c r="T593" s="3" t="n">
        <v>0.2192</v>
      </c>
      <c r="U593" s="12" t="n">
        <v>0.3724</v>
      </c>
      <c r="V593" s="12" t="n">
        <v>0.5324</v>
      </c>
      <c r="W593" s="12" t="n">
        <v>0.525</v>
      </c>
      <c r="X593" s="3" t="n">
        <v>0.6388</v>
      </c>
      <c r="Y593" s="3" t="n">
        <v>0.6819</v>
      </c>
      <c r="Z593" s="14" t="n">
        <f aca="false">Assumptions!$B$3*R593+Assumptions!$B$4*S593+IF(AA593=1,Assumptions!$B$11,Assumptions!$B$5)*X593+IF(AA593=1,Assumptions!$B$12,Assumptions!$B$6)*T593+Assumptions!$B$7*U593+Assumptions!$B$8*V593+Assumptions!$B$9*Y593</f>
        <v>0.585273</v>
      </c>
      <c r="AA593" s="3" t="n">
        <v>0</v>
      </c>
    </row>
    <row r="594" customFormat="false" ht="15" hidden="false" customHeight="false" outlineLevel="0" collapsed="false">
      <c r="A594" s="3" t="s">
        <v>779</v>
      </c>
      <c r="B594" s="3" t="n">
        <v>465</v>
      </c>
      <c r="C594" s="11" t="str">
        <f aca="false">IF(M594&gt;=Assumptions!$B$17,"S+",IF(M594&gt;=Assumptions!$B$18,"S",IF(M594&gt;=Assumptions!$B$19,"A",IF(M594&gt;=Assumptions!$B$20,"B",IF(M594&gt;=Assumptions!$B$21,"C",IF(M594&gt;=Assumptions!$B$22,"D","F"))))))</f>
        <v>C</v>
      </c>
      <c r="D594" s="3" t="s">
        <v>253</v>
      </c>
      <c r="E594" s="3" t="n">
        <v>4</v>
      </c>
      <c r="F594" s="12" t="n">
        <v>0.9426</v>
      </c>
      <c r="G594" s="12" t="n">
        <v>0.8</v>
      </c>
      <c r="H594" s="12" t="n">
        <v>0.75</v>
      </c>
      <c r="I594" s="12" t="n">
        <v>0.8356</v>
      </c>
      <c r="J594" s="12" t="n">
        <v>0.4376</v>
      </c>
      <c r="K594" s="12" t="n">
        <v>0.5903</v>
      </c>
      <c r="L594" s="3" t="n">
        <v>4.78</v>
      </c>
      <c r="M594" s="12" t="n">
        <f aca="false">Z594-W594</f>
        <v>0.0599390000000001</v>
      </c>
      <c r="N594" s="12" t="n">
        <f aca="false">IFERROR((Z594-J594)/L594,"")</f>
        <v>0.0319537656903766</v>
      </c>
      <c r="O594" s="3" t="n">
        <v>16</v>
      </c>
      <c r="P594" s="13" t="b">
        <f aca="false">FALSE()</f>
        <v>0</v>
      </c>
      <c r="Q594" s="3" t="s">
        <v>166</v>
      </c>
      <c r="R594" s="12" t="n">
        <v>0.8329</v>
      </c>
      <c r="S594" s="12" t="n">
        <v>0.4304</v>
      </c>
      <c r="T594" s="3" t="n">
        <v>0.2518</v>
      </c>
      <c r="U594" s="12" t="n">
        <v>0.4712</v>
      </c>
      <c r="V594" s="12" t="n">
        <v>0.4875</v>
      </c>
      <c r="W594" s="12" t="n">
        <v>0.5304</v>
      </c>
      <c r="X594" s="3" t="n">
        <v>0.6089</v>
      </c>
      <c r="Y594" s="3" t="n">
        <v>0.8084</v>
      </c>
      <c r="Z594" s="14" t="n">
        <f aca="false">Assumptions!$B$3*R594+Assumptions!$B$4*S594+IF(AA594=1,Assumptions!$B$11,Assumptions!$B$5)*X594+IF(AA594=1,Assumptions!$B$12,Assumptions!$B$6)*T594+Assumptions!$B$7*U594+Assumptions!$B$8*V594+Assumptions!$B$9*Y594</f>
        <v>0.590339</v>
      </c>
      <c r="AA594" s="3" t="n">
        <v>0</v>
      </c>
    </row>
    <row r="595" customFormat="false" ht="15" hidden="false" customHeight="false" outlineLevel="0" collapsed="false">
      <c r="A595" s="3" t="s">
        <v>780</v>
      </c>
      <c r="B595" s="3" t="n">
        <v>410</v>
      </c>
      <c r="C595" s="11" t="str">
        <f aca="false">IF(M595&gt;=Assumptions!$B$17,"S+",IF(M595&gt;=Assumptions!$B$18,"S",IF(M595&gt;=Assumptions!$B$19,"A",IF(M595&gt;=Assumptions!$B$20,"B",IF(M595&gt;=Assumptions!$B$21,"C",IF(M595&gt;=Assumptions!$B$22,"D","F"))))))</f>
        <v>C</v>
      </c>
      <c r="D595" s="3" t="s">
        <v>175</v>
      </c>
      <c r="E595" s="3" t="n">
        <v>2</v>
      </c>
      <c r="F595" s="12" t="n">
        <v>0.7978</v>
      </c>
      <c r="G595" s="12" t="n">
        <v>0.45</v>
      </c>
      <c r="H595" s="12" t="n">
        <v>0.75</v>
      </c>
      <c r="I595" s="12" t="n">
        <v>0.5622</v>
      </c>
      <c r="J595" s="12" t="n">
        <v>0.278</v>
      </c>
      <c r="K595" s="12" t="n">
        <v>0.4836</v>
      </c>
      <c r="L595" s="3" t="n">
        <v>3.61</v>
      </c>
      <c r="M595" s="12" t="n">
        <f aca="false">Z595-W595</f>
        <v>0.0597469999999999</v>
      </c>
      <c r="N595" s="12" t="n">
        <f aca="false">IFERROR((Z595-J595)/L595,"")</f>
        <v>0.0569659279778393</v>
      </c>
      <c r="O595" s="3" t="n">
        <v>18</v>
      </c>
      <c r="P595" s="13" t="b">
        <f aca="false">FALSE()</f>
        <v>0</v>
      </c>
      <c r="Q595" s="3" t="s">
        <v>166</v>
      </c>
      <c r="R595" s="12" t="n">
        <v>0.7479</v>
      </c>
      <c r="S595" s="12" t="n">
        <v>0.3845</v>
      </c>
      <c r="T595" s="3" t="n">
        <v>0.1832</v>
      </c>
      <c r="U595" s="12" t="n">
        <v>0.4445</v>
      </c>
      <c r="V595" s="12" t="n">
        <v>0.3058</v>
      </c>
      <c r="W595" s="12" t="n">
        <v>0.4239</v>
      </c>
      <c r="X595" s="3" t="n">
        <v>0.4956</v>
      </c>
      <c r="Y595" s="3" t="n">
        <v>0.5215</v>
      </c>
      <c r="Z595" s="14" t="n">
        <f aca="false">Assumptions!$B$3*R595+Assumptions!$B$4*S595+IF(AA595=1,Assumptions!$B$11,Assumptions!$B$5)*X595+IF(AA595=1,Assumptions!$B$12,Assumptions!$B$6)*T595+Assumptions!$B$7*U595+Assumptions!$B$8*V595+Assumptions!$B$9*Y595</f>
        <v>0.483647</v>
      </c>
      <c r="AA595" s="3" t="n">
        <v>0</v>
      </c>
    </row>
    <row r="596" customFormat="false" ht="15" hidden="false" customHeight="false" outlineLevel="0" collapsed="false">
      <c r="A596" s="3" t="s">
        <v>781</v>
      </c>
      <c r="B596" s="3" t="n">
        <v>490</v>
      </c>
      <c r="C596" s="11" t="str">
        <f aca="false">IF(M596&gt;=Assumptions!$B$17,"S+",IF(M596&gt;=Assumptions!$B$18,"S",IF(M596&gt;=Assumptions!$B$19,"A",IF(M596&gt;=Assumptions!$B$20,"B",IF(M596&gt;=Assumptions!$B$21,"C",IF(M596&gt;=Assumptions!$B$22,"D","F"))))))</f>
        <v>C</v>
      </c>
      <c r="D596" s="3" t="s">
        <v>253</v>
      </c>
      <c r="E596" s="3" t="n">
        <v>6</v>
      </c>
      <c r="F596" s="12" t="n">
        <v>0.6484</v>
      </c>
      <c r="G596" s="12" t="n">
        <v>0.6</v>
      </c>
      <c r="H596" s="12" t="n">
        <v>0.75</v>
      </c>
      <c r="I596" s="12" t="n">
        <v>0.6455</v>
      </c>
      <c r="J596" s="12" t="n">
        <v>0.3837</v>
      </c>
      <c r="K596" s="12" t="n">
        <v>0.5589</v>
      </c>
      <c r="L596" s="3" t="n">
        <v>5</v>
      </c>
      <c r="M596" s="12" t="n">
        <f aca="false">Z596-W596</f>
        <v>0.059882</v>
      </c>
      <c r="N596" s="12" t="n">
        <f aca="false">IFERROR((Z596-J596)/L596,"")</f>
        <v>0.0350364</v>
      </c>
      <c r="O596" s="3" t="n">
        <v>14</v>
      </c>
      <c r="P596" s="13" t="b">
        <f aca="false">FALSE()</f>
        <v>0</v>
      </c>
      <c r="Q596" s="3" t="s">
        <v>166</v>
      </c>
      <c r="R596" s="12" t="n">
        <v>0.6864</v>
      </c>
      <c r="S596" s="12" t="n">
        <v>0.5751</v>
      </c>
      <c r="T596" s="3" t="n">
        <v>0.0613</v>
      </c>
      <c r="U596" s="12" t="n">
        <v>0.4615</v>
      </c>
      <c r="V596" s="12" t="n">
        <v>0.4755</v>
      </c>
      <c r="W596" s="12" t="n">
        <v>0.499</v>
      </c>
      <c r="X596" s="3" t="n">
        <v>0.7872</v>
      </c>
      <c r="Y596" s="3" t="n">
        <v>0.6239</v>
      </c>
      <c r="Z596" s="14" t="n">
        <f aca="false">Assumptions!$B$3*R596+Assumptions!$B$4*S596+IF(AA596=1,Assumptions!$B$11,Assumptions!$B$5)*X596+IF(AA596=1,Assumptions!$B$12,Assumptions!$B$6)*T596+Assumptions!$B$7*U596+Assumptions!$B$8*V596+Assumptions!$B$9*Y596</f>
        <v>0.558882</v>
      </c>
      <c r="AA596" s="3" t="n">
        <v>0</v>
      </c>
    </row>
    <row r="597" customFormat="false" ht="15" hidden="false" customHeight="false" outlineLevel="0" collapsed="false">
      <c r="A597" s="3" t="s">
        <v>782</v>
      </c>
      <c r="B597" s="3" t="n">
        <v>560</v>
      </c>
      <c r="C597" s="11" t="str">
        <f aca="false">IF(M597&gt;=Assumptions!$B$17,"S+",IF(M597&gt;=Assumptions!$B$18,"S",IF(M597&gt;=Assumptions!$B$19,"A",IF(M597&gt;=Assumptions!$B$20,"B",IF(M597&gt;=Assumptions!$B$21,"C",IF(M597&gt;=Assumptions!$B$22,"D","F"))))))</f>
        <v>C</v>
      </c>
      <c r="D597" s="3" t="s">
        <v>190</v>
      </c>
      <c r="E597" s="3" t="n">
        <v>7</v>
      </c>
      <c r="F597" s="12" t="n">
        <v>0.9251</v>
      </c>
      <c r="G597" s="12" t="n">
        <v>0.6</v>
      </c>
      <c r="H597" s="12" t="n">
        <v>0.75</v>
      </c>
      <c r="I597" s="12" t="n">
        <v>0.7535</v>
      </c>
      <c r="J597" s="12" t="n">
        <v>0.3768</v>
      </c>
      <c r="K597" s="12" t="n">
        <v>0.5343</v>
      </c>
      <c r="L597" s="3" t="n">
        <v>4</v>
      </c>
      <c r="M597" s="12" t="n">
        <f aca="false">Z597-W597</f>
        <v>0.059622</v>
      </c>
      <c r="N597" s="12" t="n">
        <f aca="false">IFERROR((Z597-J597)/L597,"")</f>
        <v>0.0393805</v>
      </c>
      <c r="O597" s="3" t="n">
        <v>13</v>
      </c>
      <c r="P597" s="13" t="b">
        <f aca="false">FALSE()</f>
        <v>0</v>
      </c>
      <c r="Q597" s="3" t="s">
        <v>166</v>
      </c>
      <c r="R597" s="12" t="n">
        <v>0.9134</v>
      </c>
      <c r="S597" s="12" t="n">
        <v>0.2964</v>
      </c>
      <c r="T597" s="3" t="n">
        <v>0.4481</v>
      </c>
      <c r="U597" s="12" t="n">
        <v>0.4556</v>
      </c>
      <c r="V597" s="12" t="n">
        <v>0.4708</v>
      </c>
      <c r="W597" s="12" t="n">
        <v>0.4747</v>
      </c>
      <c r="X597" s="3" t="n">
        <v>0.1663</v>
      </c>
      <c r="Y597" s="3" t="n">
        <v>0.7465</v>
      </c>
      <c r="Z597" s="14" t="n">
        <f aca="false">Assumptions!$B$3*R597+Assumptions!$B$4*S597+IF(AA597=1,Assumptions!$B$11,Assumptions!$B$5)*X597+IF(AA597=1,Assumptions!$B$12,Assumptions!$B$6)*T597+Assumptions!$B$7*U597+Assumptions!$B$8*V597+Assumptions!$B$9*Y597</f>
        <v>0.534322</v>
      </c>
      <c r="AA597" s="3" t="n">
        <v>0</v>
      </c>
    </row>
    <row r="598" customFormat="false" ht="15" hidden="false" customHeight="false" outlineLevel="0" collapsed="false">
      <c r="A598" s="3" t="s">
        <v>783</v>
      </c>
      <c r="B598" s="3" t="n">
        <v>480</v>
      </c>
      <c r="C598" s="11" t="str">
        <f aca="false">IF(M598&gt;=Assumptions!$B$17,"S+",IF(M598&gt;=Assumptions!$B$18,"S",IF(M598&gt;=Assumptions!$B$19,"A",IF(M598&gt;=Assumptions!$B$20,"B",IF(M598&gt;=Assumptions!$B$21,"C",IF(M598&gt;=Assumptions!$B$22,"D","F"))))))</f>
        <v>C</v>
      </c>
      <c r="D598" s="3" t="s">
        <v>197</v>
      </c>
      <c r="E598" s="3" t="n">
        <v>1</v>
      </c>
      <c r="F598" s="12" t="n">
        <v>0.827</v>
      </c>
      <c r="G598" s="12" t="n">
        <v>0.4</v>
      </c>
      <c r="H598" s="12" t="n">
        <v>0.75</v>
      </c>
      <c r="I598" s="12" t="n">
        <v>0.6323</v>
      </c>
      <c r="J598" s="12" t="n">
        <v>0.4038</v>
      </c>
      <c r="K598" s="12" t="n">
        <v>0.5495</v>
      </c>
      <c r="L598" s="3" t="n">
        <v>3.63</v>
      </c>
      <c r="M598" s="12" t="n">
        <f aca="false">Z598-W598</f>
        <v>0.059564</v>
      </c>
      <c r="N598" s="12" t="n">
        <f aca="false">IFERROR((Z598-J598)/L598,"")</f>
        <v>0.04012782369146</v>
      </c>
      <c r="O598" s="3" t="n">
        <v>19</v>
      </c>
      <c r="P598" s="13" t="b">
        <f aca="false">FALSE()</f>
        <v>0</v>
      </c>
      <c r="Q598" s="3" t="s">
        <v>166</v>
      </c>
      <c r="R598" s="12" t="n">
        <v>0.7453</v>
      </c>
      <c r="S598" s="12" t="n">
        <v>0.6031</v>
      </c>
      <c r="T598" s="3" t="n">
        <v>0.5297</v>
      </c>
      <c r="U598" s="12" t="n">
        <v>0.3886</v>
      </c>
      <c r="V598" s="12" t="n">
        <v>0.4905</v>
      </c>
      <c r="W598" s="12" t="n">
        <v>0.4899</v>
      </c>
      <c r="X598" s="3" t="n">
        <v>0.3277</v>
      </c>
      <c r="Y598" s="3" t="n">
        <v>0.5641</v>
      </c>
      <c r="Z598" s="14" t="n">
        <f aca="false">Assumptions!$B$3*R598+Assumptions!$B$4*S598+IF(AA598=1,Assumptions!$B$11,Assumptions!$B$5)*X598+IF(AA598=1,Assumptions!$B$12,Assumptions!$B$6)*T598+Assumptions!$B$7*U598+Assumptions!$B$8*V598+Assumptions!$B$9*Y598</f>
        <v>0.549464</v>
      </c>
      <c r="AA598" s="3" t="n">
        <v>0</v>
      </c>
    </row>
    <row r="599" customFormat="false" ht="15" hidden="false" customHeight="false" outlineLevel="0" collapsed="false">
      <c r="A599" s="3" t="s">
        <v>784</v>
      </c>
      <c r="B599" s="3" t="n">
        <v>508</v>
      </c>
      <c r="C599" s="11" t="str">
        <f aca="false">IF(M599&gt;=Assumptions!$B$17,"S+",IF(M599&gt;=Assumptions!$B$18,"S",IF(M599&gt;=Assumptions!$B$19,"A",IF(M599&gt;=Assumptions!$B$20,"B",IF(M599&gt;=Assumptions!$B$21,"C",IF(M599&gt;=Assumptions!$B$22,"D","F"))))))</f>
        <v>C</v>
      </c>
      <c r="D599" s="3" t="s">
        <v>253</v>
      </c>
      <c r="E599" s="3" t="n">
        <v>7</v>
      </c>
      <c r="F599" s="12" t="n">
        <v>0.9255</v>
      </c>
      <c r="G599" s="12" t="n">
        <v>0.4</v>
      </c>
      <c r="H599" s="12" t="n">
        <v>0.75</v>
      </c>
      <c r="I599" s="12" t="n">
        <v>0.6382</v>
      </c>
      <c r="J599" s="12" t="n">
        <v>0.405</v>
      </c>
      <c r="K599" s="12" t="n">
        <v>0.5814</v>
      </c>
      <c r="L599" s="3" t="n">
        <v>4</v>
      </c>
      <c r="M599" s="12" t="n">
        <f aca="false">Z599-W599</f>
        <v>0.0594549999999999</v>
      </c>
      <c r="N599" s="12" t="n">
        <f aca="false">IFERROR((Z599-J599)/L599,"")</f>
        <v>0.04411375</v>
      </c>
      <c r="O599" s="3" t="n">
        <v>13</v>
      </c>
      <c r="P599" s="13" t="b">
        <f aca="false">FALSE()</f>
        <v>0</v>
      </c>
      <c r="Q599" s="3" t="s">
        <v>166</v>
      </c>
      <c r="R599" s="12" t="n">
        <v>0.7463</v>
      </c>
      <c r="S599" s="12" t="n">
        <v>0.5797</v>
      </c>
      <c r="T599" s="3" t="n">
        <v>0.1578</v>
      </c>
      <c r="U599" s="12" t="n">
        <v>0.3077</v>
      </c>
      <c r="V599" s="12" t="n">
        <v>0.5126</v>
      </c>
      <c r="W599" s="12" t="n">
        <v>0.522</v>
      </c>
      <c r="X599" s="3" t="n">
        <v>0.8205</v>
      </c>
      <c r="Y599" s="3" t="n">
        <v>0.6309</v>
      </c>
      <c r="Z599" s="14" t="n">
        <f aca="false">Assumptions!$B$3*R599+Assumptions!$B$4*S599+IF(AA599=1,Assumptions!$B$11,Assumptions!$B$5)*X599+IF(AA599=1,Assumptions!$B$12,Assumptions!$B$6)*T599+Assumptions!$B$7*U599+Assumptions!$B$8*V599+Assumptions!$B$9*Y599</f>
        <v>0.581455</v>
      </c>
      <c r="AA599" s="3" t="n">
        <v>0</v>
      </c>
    </row>
    <row r="600" customFormat="false" ht="15" hidden="false" customHeight="false" outlineLevel="0" collapsed="false">
      <c r="A600" s="3" t="s">
        <v>785</v>
      </c>
      <c r="B600" s="3" t="n">
        <v>528</v>
      </c>
      <c r="C600" s="11" t="str">
        <f aca="false">IF(M600&gt;=Assumptions!$B$17,"S+",IF(M600&gt;=Assumptions!$B$18,"S",IF(M600&gt;=Assumptions!$B$19,"A",IF(M600&gt;=Assumptions!$B$20,"B",IF(M600&gt;=Assumptions!$B$21,"C",IF(M600&gt;=Assumptions!$B$22,"D","F"))))))</f>
        <v>C</v>
      </c>
      <c r="D600" s="3" t="s">
        <v>253</v>
      </c>
      <c r="E600" s="3" t="n">
        <v>7</v>
      </c>
      <c r="F600" s="12" t="n">
        <v>0.4867</v>
      </c>
      <c r="G600" s="12" t="n">
        <v>0.6</v>
      </c>
      <c r="H600" s="12" t="n">
        <v>0.75</v>
      </c>
      <c r="I600" s="12" t="n">
        <v>0.5937</v>
      </c>
      <c r="J600" s="12" t="n">
        <v>0.3566</v>
      </c>
      <c r="K600" s="12" t="n">
        <v>0.5862</v>
      </c>
      <c r="L600" s="3" t="n">
        <v>4</v>
      </c>
      <c r="M600" s="12" t="n">
        <f aca="false">Z600-W600</f>
        <v>0.0591879999999999</v>
      </c>
      <c r="N600" s="12" t="n">
        <f aca="false">IFERROR((Z600-J600)/L600,"")</f>
        <v>0.057397</v>
      </c>
      <c r="O600" s="3" t="n">
        <v>13</v>
      </c>
      <c r="P600" s="13" t="b">
        <f aca="false">FALSE()</f>
        <v>0</v>
      </c>
      <c r="Q600" s="3" t="s">
        <v>166</v>
      </c>
      <c r="R600" s="12" t="n">
        <v>0.6294</v>
      </c>
      <c r="S600" s="12" t="n">
        <v>0.5784</v>
      </c>
      <c r="T600" s="3" t="n">
        <v>0.3874</v>
      </c>
      <c r="U600" s="12" t="n">
        <v>0.4911</v>
      </c>
      <c r="V600" s="12" t="n">
        <v>0.45</v>
      </c>
      <c r="W600" s="12" t="n">
        <v>0.527</v>
      </c>
      <c r="X600" s="3" t="n">
        <v>0.8191</v>
      </c>
      <c r="Y600" s="3" t="n">
        <v>0.5963</v>
      </c>
      <c r="Z600" s="14" t="n">
        <f aca="false">Assumptions!$B$3*R600+Assumptions!$B$4*S600+IF(AA600=1,Assumptions!$B$11,Assumptions!$B$5)*X600+IF(AA600=1,Assumptions!$B$12,Assumptions!$B$6)*T600+Assumptions!$B$7*U600+Assumptions!$B$8*V600+Assumptions!$B$9*Y600</f>
        <v>0.586188</v>
      </c>
      <c r="AA600" s="3" t="n">
        <v>0</v>
      </c>
    </row>
    <row r="601" customFormat="false" ht="15" hidden="false" customHeight="false" outlineLevel="0" collapsed="false">
      <c r="A601" s="3" t="s">
        <v>786</v>
      </c>
      <c r="B601" s="3" t="n">
        <v>486</v>
      </c>
      <c r="C601" s="11" t="str">
        <f aca="false">IF(M601&gt;=Assumptions!$B$17,"S+",IF(M601&gt;=Assumptions!$B$18,"S",IF(M601&gt;=Assumptions!$B$19,"A",IF(M601&gt;=Assumptions!$B$20,"B",IF(M601&gt;=Assumptions!$B$21,"C",IF(M601&gt;=Assumptions!$B$22,"D","F"))))))</f>
        <v>C</v>
      </c>
      <c r="D601" s="3" t="s">
        <v>197</v>
      </c>
      <c r="E601" s="3" t="n">
        <v>6</v>
      </c>
      <c r="F601" s="12" t="n">
        <v>0.7772</v>
      </c>
      <c r="G601" s="12" t="n">
        <v>0.8</v>
      </c>
      <c r="H601" s="12" t="n">
        <v>0.75</v>
      </c>
      <c r="I601" s="12" t="n">
        <v>0.7813</v>
      </c>
      <c r="J601" s="12" t="n">
        <v>0.3955</v>
      </c>
      <c r="K601" s="12" t="n">
        <v>0.548</v>
      </c>
      <c r="L601" s="3" t="n">
        <v>5</v>
      </c>
      <c r="M601" s="12" t="n">
        <f aca="false">Z601-W601</f>
        <v>0.058962</v>
      </c>
      <c r="N601" s="12" t="n">
        <f aca="false">IFERROR((Z601-J601)/L601,"")</f>
        <v>0.0304924</v>
      </c>
      <c r="O601" s="3" t="n">
        <v>14</v>
      </c>
      <c r="P601" s="13" t="b">
        <f aca="false">FALSE()</f>
        <v>0</v>
      </c>
      <c r="Q601" s="3" t="s">
        <v>166</v>
      </c>
      <c r="R601" s="12" t="n">
        <v>0.8225</v>
      </c>
      <c r="S601" s="12" t="n">
        <v>0.5342</v>
      </c>
      <c r="T601" s="3" t="n">
        <v>0.1571</v>
      </c>
      <c r="U601" s="12" t="n">
        <v>0.456</v>
      </c>
      <c r="V601" s="12" t="n">
        <v>0.4932</v>
      </c>
      <c r="W601" s="12" t="n">
        <v>0.489</v>
      </c>
      <c r="X601" s="3" t="n">
        <v>0.3558</v>
      </c>
      <c r="Y601" s="3" t="n">
        <v>0.7835</v>
      </c>
      <c r="Z601" s="14" t="n">
        <f aca="false">Assumptions!$B$3*R601+Assumptions!$B$4*S601+IF(AA601=1,Assumptions!$B$11,Assumptions!$B$5)*X601+IF(AA601=1,Assumptions!$B$12,Assumptions!$B$6)*T601+Assumptions!$B$7*U601+Assumptions!$B$8*V601+Assumptions!$B$9*Y601</f>
        <v>0.547962</v>
      </c>
      <c r="AA601" s="3" t="n">
        <v>0</v>
      </c>
    </row>
    <row r="602" customFormat="false" ht="15" hidden="false" customHeight="false" outlineLevel="0" collapsed="false">
      <c r="A602" s="3" t="s">
        <v>787</v>
      </c>
      <c r="B602" s="3" t="n">
        <v>455</v>
      </c>
      <c r="C602" s="11" t="str">
        <f aca="false">IF(M602&gt;=Assumptions!$B$17,"S+",IF(M602&gt;=Assumptions!$B$18,"S",IF(M602&gt;=Assumptions!$B$19,"A",IF(M602&gt;=Assumptions!$B$20,"B",IF(M602&gt;=Assumptions!$B$21,"C",IF(M602&gt;=Assumptions!$B$22,"D","F"))))))</f>
        <v>C</v>
      </c>
      <c r="D602" s="3" t="s">
        <v>190</v>
      </c>
      <c r="E602" s="3" t="n">
        <v>3</v>
      </c>
      <c r="F602" s="12" t="n">
        <v>0.8592</v>
      </c>
      <c r="G602" s="12" t="n">
        <v>1</v>
      </c>
      <c r="H602" s="12" t="n">
        <v>0.75</v>
      </c>
      <c r="I602" s="12" t="n">
        <v>0.8965</v>
      </c>
      <c r="J602" s="12" t="n">
        <v>0.4025</v>
      </c>
      <c r="K602" s="12" t="n">
        <v>0.5529</v>
      </c>
      <c r="L602" s="3" t="n">
        <v>3.82</v>
      </c>
      <c r="M602" s="12" t="n">
        <f aca="false">Z602-W602</f>
        <v>0.0589230000000001</v>
      </c>
      <c r="N602" s="12" t="n">
        <f aca="false">IFERROR((Z602-J602)/L602,"")</f>
        <v>0.0393777486910995</v>
      </c>
      <c r="O602" s="3" t="n">
        <v>17</v>
      </c>
      <c r="P602" s="13" t="b">
        <f aca="false">FALSE()</f>
        <v>0</v>
      </c>
      <c r="Q602" s="3" t="s">
        <v>201</v>
      </c>
      <c r="R602" s="12" t="n">
        <v>0.8389</v>
      </c>
      <c r="S602" s="12" t="n">
        <v>0.4387</v>
      </c>
      <c r="T602" s="3" t="n">
        <v>0.4189</v>
      </c>
      <c r="U602" s="12" t="n">
        <v>0.3077</v>
      </c>
      <c r="V602" s="12" t="n">
        <v>0.4638</v>
      </c>
      <c r="W602" s="12" t="n">
        <v>0.494</v>
      </c>
      <c r="X602" s="3" t="n">
        <v>0.2963</v>
      </c>
      <c r="Y602" s="3" t="n">
        <v>0.8954</v>
      </c>
      <c r="Z602" s="14" t="n">
        <f aca="false">Assumptions!$B$3*R602+Assumptions!$B$4*S602+IF(AA602=1,Assumptions!$B$11,Assumptions!$B$5)*X602+IF(AA602=1,Assumptions!$B$12,Assumptions!$B$6)*T602+Assumptions!$B$7*U602+Assumptions!$B$8*V602+Assumptions!$B$9*Y602</f>
        <v>0.552923</v>
      </c>
      <c r="AA602" s="3" t="n">
        <v>0</v>
      </c>
    </row>
    <row r="603" customFormat="false" ht="15" hidden="false" customHeight="false" outlineLevel="0" collapsed="false">
      <c r="A603" s="3" t="s">
        <v>788</v>
      </c>
      <c r="B603" s="3" t="n">
        <v>494</v>
      </c>
      <c r="C603" s="11" t="str">
        <f aca="false">IF(M603&gt;=Assumptions!$B$17,"S+",IF(M603&gt;=Assumptions!$B$18,"S",IF(M603&gt;=Assumptions!$B$19,"A",IF(M603&gt;=Assumptions!$B$20,"B",IF(M603&gt;=Assumptions!$B$21,"C",IF(M603&gt;=Assumptions!$B$22,"D","F"))))))</f>
        <v>C</v>
      </c>
      <c r="D603" s="3" t="s">
        <v>190</v>
      </c>
      <c r="E603" s="3" t="n">
        <v>7</v>
      </c>
      <c r="F603" s="12" t="n">
        <v>0.4646</v>
      </c>
      <c r="G603" s="12" t="n">
        <v>1</v>
      </c>
      <c r="H603" s="12" t="n">
        <v>0.75</v>
      </c>
      <c r="I603" s="12" t="n">
        <v>0.7466</v>
      </c>
      <c r="J603" s="12" t="n">
        <v>0.3463</v>
      </c>
      <c r="K603" s="12" t="n">
        <v>0.528</v>
      </c>
      <c r="L603" s="3" t="n">
        <v>5</v>
      </c>
      <c r="M603" s="12" t="n">
        <f aca="false">Z603-W603</f>
        <v>0.058842</v>
      </c>
      <c r="N603" s="12" t="n">
        <f aca="false">IFERROR((Z603-J603)/L603,"")</f>
        <v>0.0363284</v>
      </c>
      <c r="O603" s="3" t="n">
        <v>13</v>
      </c>
      <c r="P603" s="13" t="b">
        <f aca="false">FALSE()</f>
        <v>0</v>
      </c>
      <c r="Q603" s="3" t="s">
        <v>166</v>
      </c>
      <c r="R603" s="12" t="n">
        <v>0.8442</v>
      </c>
      <c r="S603" s="12" t="n">
        <v>0.3568</v>
      </c>
      <c r="T603" s="3" t="n">
        <v>0.1447</v>
      </c>
      <c r="U603" s="12" t="n">
        <v>0.5326</v>
      </c>
      <c r="V603" s="12" t="n">
        <v>0.2978</v>
      </c>
      <c r="W603" s="12" t="n">
        <v>0.4691</v>
      </c>
      <c r="X603" s="3" t="n">
        <v>0.5123</v>
      </c>
      <c r="Y603" s="3" t="n">
        <v>0.6958</v>
      </c>
      <c r="Z603" s="14" t="n">
        <f aca="false">Assumptions!$B$3*R603+Assumptions!$B$4*S603+IF(AA603=1,Assumptions!$B$11,Assumptions!$B$5)*X603+IF(AA603=1,Assumptions!$B$12,Assumptions!$B$6)*T603+Assumptions!$B$7*U603+Assumptions!$B$8*V603+Assumptions!$B$9*Y603</f>
        <v>0.527942</v>
      </c>
      <c r="AA603" s="3" t="n">
        <v>0</v>
      </c>
    </row>
    <row r="604" customFormat="false" ht="15" hidden="false" customHeight="false" outlineLevel="0" collapsed="false">
      <c r="A604" s="3" t="s">
        <v>789</v>
      </c>
      <c r="B604" s="3" t="n">
        <v>480</v>
      </c>
      <c r="C604" s="11" t="str">
        <f aca="false">IF(M604&gt;=Assumptions!$B$17,"S+",IF(M604&gt;=Assumptions!$B$18,"S",IF(M604&gt;=Assumptions!$B$19,"A",IF(M604&gt;=Assumptions!$B$20,"B",IF(M604&gt;=Assumptions!$B$21,"C",IF(M604&gt;=Assumptions!$B$22,"D","F"))))))</f>
        <v>C</v>
      </c>
      <c r="D604" s="3" t="s">
        <v>190</v>
      </c>
      <c r="E604" s="3" t="n">
        <v>6</v>
      </c>
      <c r="F604" s="12" t="n">
        <v>0.9152</v>
      </c>
      <c r="G604" s="12" t="n">
        <v>0.4</v>
      </c>
      <c r="H604" s="12" t="n">
        <v>0.75</v>
      </c>
      <c r="I604" s="12" t="n">
        <v>0.6658</v>
      </c>
      <c r="J604" s="12" t="n">
        <v>0.3817</v>
      </c>
      <c r="K604" s="12" t="n">
        <v>0.5358</v>
      </c>
      <c r="L604" s="3" t="n">
        <v>5</v>
      </c>
      <c r="M604" s="12" t="n">
        <f aca="false">Z604-W604</f>
        <v>0.0585230000000001</v>
      </c>
      <c r="N604" s="12" t="n">
        <f aca="false">IFERROR((Z604-J604)/L604,"")</f>
        <v>0.0308246</v>
      </c>
      <c r="O604" s="3" t="n">
        <v>14</v>
      </c>
      <c r="P604" s="13" t="b">
        <f aca="false">FALSE()</f>
        <v>0</v>
      </c>
      <c r="Q604" s="3" t="s">
        <v>166</v>
      </c>
      <c r="R604" s="12" t="n">
        <v>0.9342</v>
      </c>
      <c r="S604" s="12" t="n">
        <v>0.3965</v>
      </c>
      <c r="T604" s="3" t="n">
        <v>0.309</v>
      </c>
      <c r="U604" s="12" t="n">
        <v>0.3352</v>
      </c>
      <c r="V604" s="12" t="n">
        <v>0.3844</v>
      </c>
      <c r="W604" s="12" t="n">
        <v>0.4773</v>
      </c>
      <c r="X604" s="3" t="n">
        <v>0.3362</v>
      </c>
      <c r="Y604" s="3" t="n">
        <v>0.6678</v>
      </c>
      <c r="Z604" s="14" t="n">
        <f aca="false">Assumptions!$B$3*R604+Assumptions!$B$4*S604+IF(AA604=1,Assumptions!$B$11,Assumptions!$B$5)*X604+IF(AA604=1,Assumptions!$B$12,Assumptions!$B$6)*T604+Assumptions!$B$7*U604+Assumptions!$B$8*V604+Assumptions!$B$9*Y604</f>
        <v>0.535823</v>
      </c>
      <c r="AA604" s="3" t="n">
        <v>0</v>
      </c>
    </row>
    <row r="605" customFormat="false" ht="15" hidden="false" customHeight="false" outlineLevel="0" collapsed="false">
      <c r="A605" s="3" t="s">
        <v>790</v>
      </c>
      <c r="B605" s="3" t="n">
        <v>455</v>
      </c>
      <c r="C605" s="11" t="str">
        <f aca="false">IF(M605&gt;=Assumptions!$B$17,"S+",IF(M605&gt;=Assumptions!$B$18,"S",IF(M605&gt;=Assumptions!$B$19,"A",IF(M605&gt;=Assumptions!$B$20,"B",IF(M605&gt;=Assumptions!$B$21,"C",IF(M605&gt;=Assumptions!$B$22,"D","F"))))))</f>
        <v>C</v>
      </c>
      <c r="D605" s="3" t="s">
        <v>190</v>
      </c>
      <c r="E605" s="3" t="n">
        <v>4</v>
      </c>
      <c r="F605" s="12" t="n">
        <v>0.8426</v>
      </c>
      <c r="G605" s="12" t="n">
        <v>0.6</v>
      </c>
      <c r="H605" s="12" t="n">
        <v>0.75</v>
      </c>
      <c r="I605" s="12" t="n">
        <v>0.7222</v>
      </c>
      <c r="J605" s="12" t="n">
        <v>0.4146</v>
      </c>
      <c r="K605" s="12" t="n">
        <v>0.549</v>
      </c>
      <c r="L605" s="3" t="n">
        <v>4</v>
      </c>
      <c r="M605" s="12" t="n">
        <f aca="false">Z605-W605</f>
        <v>0.058117</v>
      </c>
      <c r="N605" s="12" t="n">
        <f aca="false">IFERROR((Z605-J605)/L605,"")</f>
        <v>0.03360425</v>
      </c>
      <c r="O605" s="3" t="n">
        <v>16</v>
      </c>
      <c r="P605" s="13" t="b">
        <f aca="false">FALSE()</f>
        <v>0</v>
      </c>
      <c r="Q605" s="3" t="s">
        <v>166</v>
      </c>
      <c r="R605" s="12" t="n">
        <v>0.8566</v>
      </c>
      <c r="S605" s="12" t="n">
        <v>0.4171</v>
      </c>
      <c r="T605" s="3" t="n">
        <v>0.4299</v>
      </c>
      <c r="U605" s="12" t="n">
        <v>0.4279</v>
      </c>
      <c r="V605" s="12" t="n">
        <v>0.4616</v>
      </c>
      <c r="W605" s="12" t="n">
        <v>0.4909</v>
      </c>
      <c r="X605" s="3" t="n">
        <v>0.2907</v>
      </c>
      <c r="Y605" s="3" t="n">
        <v>0.7207</v>
      </c>
      <c r="Z605" s="14" t="n">
        <f aca="false">Assumptions!$B$3*R605+Assumptions!$B$4*S605+IF(AA605=1,Assumptions!$B$11,Assumptions!$B$5)*X605+IF(AA605=1,Assumptions!$B$12,Assumptions!$B$6)*T605+Assumptions!$B$7*U605+Assumptions!$B$8*V605+Assumptions!$B$9*Y605</f>
        <v>0.549017</v>
      </c>
      <c r="AA605" s="3" t="n">
        <v>0</v>
      </c>
    </row>
    <row r="606" customFormat="false" ht="15" hidden="false" customHeight="false" outlineLevel="0" collapsed="false">
      <c r="A606" s="3" t="s">
        <v>791</v>
      </c>
      <c r="B606" s="3" t="n">
        <v>490</v>
      </c>
      <c r="C606" s="11" t="str">
        <f aca="false">IF(M606&gt;=Assumptions!$B$17,"S+",IF(M606&gt;=Assumptions!$B$18,"S",IF(M606&gt;=Assumptions!$B$19,"A",IF(M606&gt;=Assumptions!$B$20,"B",IF(M606&gt;=Assumptions!$B$21,"C",IF(M606&gt;=Assumptions!$B$22,"D","F"))))))</f>
        <v>C</v>
      </c>
      <c r="D606" s="3" t="s">
        <v>190</v>
      </c>
      <c r="E606" s="3" t="n">
        <v>3</v>
      </c>
      <c r="F606" s="12" t="n">
        <v>0.9658</v>
      </c>
      <c r="G606" s="12" t="n">
        <v>0.8</v>
      </c>
      <c r="H606" s="12" t="n">
        <v>0.75</v>
      </c>
      <c r="I606" s="12" t="n">
        <v>0.853</v>
      </c>
      <c r="J606" s="12" t="n">
        <v>0.4156</v>
      </c>
      <c r="K606" s="12" t="n">
        <v>0.5521</v>
      </c>
      <c r="L606" s="3" t="n">
        <v>3.65</v>
      </c>
      <c r="M606" s="12" t="n">
        <f aca="false">Z606-W606</f>
        <v>0.058148</v>
      </c>
      <c r="N606" s="12" t="n">
        <f aca="false">IFERROR((Z606-J606)/L606,"")</f>
        <v>0.0374104109589041</v>
      </c>
      <c r="O606" s="3" t="n">
        <v>17</v>
      </c>
      <c r="P606" s="13" t="b">
        <f aca="false">FALSE()</f>
        <v>0</v>
      </c>
      <c r="Q606" s="3" t="s">
        <v>166</v>
      </c>
      <c r="R606" s="12" t="n">
        <v>0.8322</v>
      </c>
      <c r="S606" s="12" t="n">
        <v>0.3075</v>
      </c>
      <c r="T606" s="3" t="n">
        <v>0.8325</v>
      </c>
      <c r="U606" s="12" t="n">
        <v>0.3077</v>
      </c>
      <c r="V606" s="12" t="n">
        <v>0.4913</v>
      </c>
      <c r="W606" s="12" t="n">
        <v>0.494</v>
      </c>
      <c r="X606" s="3" t="n">
        <v>0.1213</v>
      </c>
      <c r="Y606" s="3" t="n">
        <v>0.8553</v>
      </c>
      <c r="Z606" s="14" t="n">
        <f aca="false">Assumptions!$B$3*R606+Assumptions!$B$4*S606+IF(AA606=1,Assumptions!$B$11,Assumptions!$B$5)*X606+IF(AA606=1,Assumptions!$B$12,Assumptions!$B$6)*T606+Assumptions!$B$7*U606+Assumptions!$B$8*V606+Assumptions!$B$9*Y606</f>
        <v>0.552148</v>
      </c>
      <c r="AA606" s="3" t="n">
        <v>0</v>
      </c>
    </row>
    <row r="607" customFormat="false" ht="15" hidden="false" customHeight="false" outlineLevel="0" collapsed="false">
      <c r="A607" s="3" t="s">
        <v>792</v>
      </c>
      <c r="B607" s="3" t="n">
        <v>570</v>
      </c>
      <c r="C607" s="11" t="str">
        <f aca="false">IF(M607&gt;=Assumptions!$B$17,"S+",IF(M607&gt;=Assumptions!$B$18,"S",IF(M607&gt;=Assumptions!$B$19,"A",IF(M607&gt;=Assumptions!$B$20,"B",IF(M607&gt;=Assumptions!$B$21,"C",IF(M607&gt;=Assumptions!$B$22,"D","F"))))))</f>
        <v>C</v>
      </c>
      <c r="D607" s="3" t="s">
        <v>190</v>
      </c>
      <c r="E607" s="3" t="n">
        <v>1</v>
      </c>
      <c r="F607" s="12" t="n">
        <v>0.774</v>
      </c>
      <c r="G607" s="12" t="n">
        <v>0.8</v>
      </c>
      <c r="H607" s="12" t="n">
        <v>0.75</v>
      </c>
      <c r="I607" s="12" t="n">
        <v>0.7801</v>
      </c>
      <c r="J607" s="12" t="n">
        <v>0.4242</v>
      </c>
      <c r="K607" s="12" t="n">
        <v>0.5536</v>
      </c>
      <c r="L607" s="3" t="n">
        <v>3.66</v>
      </c>
      <c r="M607" s="12" t="n">
        <f aca="false">Z607-W607</f>
        <v>0.057536</v>
      </c>
      <c r="N607" s="12" t="n">
        <f aca="false">IFERROR((Z607-J607)/L607,"")</f>
        <v>0.0353650273224044</v>
      </c>
      <c r="O607" s="3" t="n">
        <v>19</v>
      </c>
      <c r="P607" s="13" t="b">
        <f aca="false">FALSE()</f>
        <v>0</v>
      </c>
      <c r="Q607" s="3" t="s">
        <v>166</v>
      </c>
      <c r="R607" s="12" t="n">
        <v>0.9045</v>
      </c>
      <c r="S607" s="12" t="n">
        <v>0.548</v>
      </c>
      <c r="T607" s="3" t="n">
        <v>0.4613</v>
      </c>
      <c r="U607" s="12" t="n">
        <v>0.251</v>
      </c>
      <c r="V607" s="12" t="n">
        <v>0.421</v>
      </c>
      <c r="W607" s="12" t="n">
        <v>0.4961</v>
      </c>
      <c r="X607" s="3" t="n">
        <v>0.232</v>
      </c>
      <c r="Y607" s="3" t="n">
        <v>0.7238</v>
      </c>
      <c r="Z607" s="14" t="n">
        <f aca="false">Assumptions!$B$3*R607+Assumptions!$B$4*S607+IF(AA607=1,Assumptions!$B$11,Assumptions!$B$5)*X607+IF(AA607=1,Assumptions!$B$12,Assumptions!$B$6)*T607+Assumptions!$B$7*U607+Assumptions!$B$8*V607+Assumptions!$B$9*Y607</f>
        <v>0.553636</v>
      </c>
      <c r="AA607" s="3" t="n">
        <v>0</v>
      </c>
    </row>
    <row r="608" customFormat="false" ht="15" hidden="false" customHeight="false" outlineLevel="0" collapsed="false">
      <c r="A608" s="3" t="s">
        <v>793</v>
      </c>
      <c r="B608" s="3" t="n">
        <v>620</v>
      </c>
      <c r="C608" s="11" t="str">
        <f aca="false">IF(M608&gt;=Assumptions!$B$17,"S+",IF(M608&gt;=Assumptions!$B$18,"S",IF(M608&gt;=Assumptions!$B$19,"A",IF(M608&gt;=Assumptions!$B$20,"B",IF(M608&gt;=Assumptions!$B$21,"C",IF(M608&gt;=Assumptions!$B$22,"D","F"))))))</f>
        <v>C</v>
      </c>
      <c r="D608" s="3" t="s">
        <v>253</v>
      </c>
      <c r="E608" s="3" t="n">
        <v>7</v>
      </c>
      <c r="F608" s="12" t="n">
        <v>0.9439</v>
      </c>
      <c r="G608" s="12" t="n">
        <v>1</v>
      </c>
      <c r="H608" s="12" t="n">
        <v>0.75</v>
      </c>
      <c r="I608" s="12" t="n">
        <v>0.932</v>
      </c>
      <c r="J608" s="12" t="n">
        <v>0.4349</v>
      </c>
      <c r="K608" s="12" t="n">
        <v>0.5868</v>
      </c>
      <c r="L608" s="3" t="n">
        <v>5</v>
      </c>
      <c r="M608" s="12" t="n">
        <f aca="false">Z608-W608</f>
        <v>0.0573670000000001</v>
      </c>
      <c r="N608" s="12" t="n">
        <f aca="false">IFERROR((Z608-J608)/L608,"")</f>
        <v>0.0303934</v>
      </c>
      <c r="O608" s="3" t="n">
        <v>13</v>
      </c>
      <c r="P608" s="13" t="b">
        <f aca="false">FALSE()</f>
        <v>0</v>
      </c>
      <c r="Q608" s="3" t="s">
        <v>166</v>
      </c>
      <c r="R608" s="12" t="n">
        <v>0.863</v>
      </c>
      <c r="S608" s="12" t="n">
        <v>0.4675</v>
      </c>
      <c r="T608" s="3" t="n">
        <v>0.5083</v>
      </c>
      <c r="U608" s="12" t="n">
        <v>0.2604</v>
      </c>
      <c r="V608" s="12" t="n">
        <v>0.4634</v>
      </c>
      <c r="W608" s="12" t="n">
        <v>0.5295</v>
      </c>
      <c r="X608" s="3" t="n">
        <v>0.3817</v>
      </c>
      <c r="Y608" s="3" t="n">
        <v>0.9328</v>
      </c>
      <c r="Z608" s="14" t="n">
        <f aca="false">Assumptions!$B$3*R608+Assumptions!$B$4*S608+IF(AA608=1,Assumptions!$B$11,Assumptions!$B$5)*X608+IF(AA608=1,Assumptions!$B$12,Assumptions!$B$6)*T608+Assumptions!$B$7*U608+Assumptions!$B$8*V608+Assumptions!$B$9*Y608</f>
        <v>0.586867</v>
      </c>
      <c r="AA608" s="3" t="n">
        <v>0</v>
      </c>
    </row>
    <row r="609" customFormat="false" ht="15" hidden="false" customHeight="false" outlineLevel="0" collapsed="false">
      <c r="A609" s="3" t="s">
        <v>794</v>
      </c>
      <c r="B609" s="3" t="n">
        <v>534</v>
      </c>
      <c r="C609" s="11" t="str">
        <f aca="false">IF(M609&gt;=Assumptions!$B$17,"S+",IF(M609&gt;=Assumptions!$B$18,"S",IF(M609&gt;=Assumptions!$B$19,"A",IF(M609&gt;=Assumptions!$B$20,"B",IF(M609&gt;=Assumptions!$B$21,"C",IF(M609&gt;=Assumptions!$B$22,"D","F"))))))</f>
        <v>C</v>
      </c>
      <c r="D609" s="3" t="s">
        <v>197</v>
      </c>
      <c r="E609" s="3" t="n">
        <v>7</v>
      </c>
      <c r="F609" s="12" t="n">
        <v>0.8165</v>
      </c>
      <c r="G609" s="12" t="n">
        <v>0.6</v>
      </c>
      <c r="H609" s="12" t="n">
        <v>0.75</v>
      </c>
      <c r="I609" s="12" t="n">
        <v>0.7123</v>
      </c>
      <c r="J609" s="12" t="n">
        <v>0.3588</v>
      </c>
      <c r="K609" s="12" t="n">
        <v>0.5439</v>
      </c>
      <c r="L609" s="3" t="n">
        <v>4</v>
      </c>
      <c r="M609" s="12" t="n">
        <f aca="false">Z609-W609</f>
        <v>0.057459</v>
      </c>
      <c r="N609" s="12" t="n">
        <f aca="false">IFERROR((Z609-J609)/L609,"")</f>
        <v>0.04628975</v>
      </c>
      <c r="O609" s="3" t="n">
        <v>13</v>
      </c>
      <c r="P609" s="13" t="b">
        <f aca="false">FALSE()</f>
        <v>0</v>
      </c>
      <c r="Q609" s="3" t="s">
        <v>166</v>
      </c>
      <c r="R609" s="12" t="n">
        <v>0.835</v>
      </c>
      <c r="S609" s="12" t="n">
        <v>0.4502</v>
      </c>
      <c r="T609" s="3" t="n">
        <v>0.3686</v>
      </c>
      <c r="U609" s="12" t="n">
        <v>0.3373</v>
      </c>
      <c r="V609" s="12" t="n">
        <v>0.4733</v>
      </c>
      <c r="W609" s="12" t="n">
        <v>0.4865</v>
      </c>
      <c r="X609" s="3" t="n">
        <v>0.3619</v>
      </c>
      <c r="Y609" s="3" t="n">
        <v>0.714</v>
      </c>
      <c r="Z609" s="14" t="n">
        <f aca="false">Assumptions!$B$3*R609+Assumptions!$B$4*S609+IF(AA609=1,Assumptions!$B$11,Assumptions!$B$5)*X609+IF(AA609=1,Assumptions!$B$12,Assumptions!$B$6)*T609+Assumptions!$B$7*U609+Assumptions!$B$8*V609+Assumptions!$B$9*Y609</f>
        <v>0.543959</v>
      </c>
      <c r="AA609" s="3" t="n">
        <v>0</v>
      </c>
    </row>
    <row r="610" customFormat="false" ht="15" hidden="false" customHeight="false" outlineLevel="0" collapsed="false">
      <c r="A610" s="3" t="s">
        <v>795</v>
      </c>
      <c r="B610" s="3" t="n">
        <v>540</v>
      </c>
      <c r="C610" s="11" t="str">
        <f aca="false">IF(M610&gt;=Assumptions!$B$17,"S+",IF(M610&gt;=Assumptions!$B$18,"S",IF(M610&gt;=Assumptions!$B$19,"A",IF(M610&gt;=Assumptions!$B$20,"B",IF(M610&gt;=Assumptions!$B$21,"C",IF(M610&gt;=Assumptions!$B$22,"D","F"))))))</f>
        <v>C</v>
      </c>
      <c r="D610" s="3" t="s">
        <v>218</v>
      </c>
      <c r="E610" s="3" t="n">
        <v>7</v>
      </c>
      <c r="F610" s="12" t="n">
        <v>0.7938</v>
      </c>
      <c r="G610" s="12" t="n">
        <v>0.6</v>
      </c>
      <c r="H610" s="12" t="n">
        <v>0.75</v>
      </c>
      <c r="I610" s="12" t="n">
        <v>0.692</v>
      </c>
      <c r="J610" s="12" t="n">
        <v>0.4161</v>
      </c>
      <c r="K610" s="12" t="n">
        <v>0.5681</v>
      </c>
      <c r="L610" s="3" t="n">
        <v>4</v>
      </c>
      <c r="M610" s="12" t="n">
        <f aca="false">Z610-W610</f>
        <v>0.057379</v>
      </c>
      <c r="N610" s="12" t="n">
        <f aca="false">IFERROR((Z610-J610)/L610,"")</f>
        <v>0.03799475</v>
      </c>
      <c r="O610" s="3" t="n">
        <v>13</v>
      </c>
      <c r="P610" s="13" t="b">
        <f aca="false">FALSE()</f>
        <v>0</v>
      </c>
      <c r="Q610" s="3" t="s">
        <v>166</v>
      </c>
      <c r="R610" s="12" t="n">
        <v>0.9095</v>
      </c>
      <c r="S610" s="12" t="n">
        <v>0.4466</v>
      </c>
      <c r="T610" s="3" t="n">
        <v>0.2148</v>
      </c>
      <c r="U610" s="12" t="n">
        <v>0.6154</v>
      </c>
      <c r="V610" s="12" t="n">
        <v>0.3903</v>
      </c>
      <c r="W610" s="12" t="n">
        <v>0.5107</v>
      </c>
      <c r="X610" s="3" t="n">
        <v>0.406</v>
      </c>
      <c r="Y610" s="3" t="n">
        <v>0.6941</v>
      </c>
      <c r="Z610" s="14" t="n">
        <f aca="false">Assumptions!$B$3*R610+Assumptions!$B$4*S610+IF(AA610=1,Assumptions!$B$11,Assumptions!$B$5)*X610+IF(AA610=1,Assumptions!$B$12,Assumptions!$B$6)*T610+Assumptions!$B$7*U610+Assumptions!$B$8*V610+Assumptions!$B$9*Y610</f>
        <v>0.568079</v>
      </c>
      <c r="AA610" s="3" t="n">
        <v>0</v>
      </c>
    </row>
    <row r="611" customFormat="false" ht="15" hidden="false" customHeight="false" outlineLevel="0" collapsed="false">
      <c r="A611" s="3" t="s">
        <v>796</v>
      </c>
      <c r="B611" s="3" t="n">
        <v>530</v>
      </c>
      <c r="C611" s="11" t="str">
        <f aca="false">IF(M611&gt;=Assumptions!$B$17,"S+",IF(M611&gt;=Assumptions!$B$18,"S",IF(M611&gt;=Assumptions!$B$19,"A",IF(M611&gt;=Assumptions!$B$20,"B",IF(M611&gt;=Assumptions!$B$21,"C",IF(M611&gt;=Assumptions!$B$22,"D","F"))))))</f>
        <v>C</v>
      </c>
      <c r="D611" s="3" t="s">
        <v>218</v>
      </c>
      <c r="E611" s="3" t="n">
        <v>7</v>
      </c>
      <c r="F611" s="12" t="n">
        <v>0.8365</v>
      </c>
      <c r="G611" s="12" t="n">
        <v>0.6</v>
      </c>
      <c r="H611" s="12" t="n">
        <v>0.75</v>
      </c>
      <c r="I611" s="12" t="n">
        <v>0.7057</v>
      </c>
      <c r="J611" s="12" t="n">
        <v>0.3922</v>
      </c>
      <c r="K611" s="12" t="n">
        <v>0.5679</v>
      </c>
      <c r="L611" s="3" t="n">
        <v>4</v>
      </c>
      <c r="M611" s="12" t="n">
        <f aca="false">Z611-W611</f>
        <v>0.057204</v>
      </c>
      <c r="N611" s="12" t="n">
        <f aca="false">IFERROR((Z611-J611)/L611,"")</f>
        <v>0.043926</v>
      </c>
      <c r="O611" s="3" t="n">
        <v>13</v>
      </c>
      <c r="P611" s="13" t="b">
        <f aca="false">FALSE()</f>
        <v>0</v>
      </c>
      <c r="Q611" s="3" t="s">
        <v>166</v>
      </c>
      <c r="R611" s="12" t="n">
        <v>0.7804</v>
      </c>
      <c r="S611" s="12" t="n">
        <v>0.4783</v>
      </c>
      <c r="T611" s="3" t="n">
        <v>0.5489</v>
      </c>
      <c r="U611" s="12" t="n">
        <v>0.3905</v>
      </c>
      <c r="V611" s="12" t="n">
        <v>0.4733</v>
      </c>
      <c r="W611" s="12" t="n">
        <v>0.5107</v>
      </c>
      <c r="X611" s="3" t="n">
        <v>0.4094</v>
      </c>
      <c r="Y611" s="3" t="n">
        <v>0.7077</v>
      </c>
      <c r="Z611" s="14" t="n">
        <f aca="false">Assumptions!$B$3*R611+Assumptions!$B$4*S611+IF(AA611=1,Assumptions!$B$11,Assumptions!$B$5)*X611+IF(AA611=1,Assumptions!$B$12,Assumptions!$B$6)*T611+Assumptions!$B$7*U611+Assumptions!$B$8*V611+Assumptions!$B$9*Y611</f>
        <v>0.567904</v>
      </c>
      <c r="AA611" s="3" t="n">
        <v>0</v>
      </c>
    </row>
    <row r="612" customFormat="false" ht="15" hidden="false" customHeight="false" outlineLevel="0" collapsed="false">
      <c r="A612" s="3" t="s">
        <v>797</v>
      </c>
      <c r="B612" s="3" t="n">
        <v>485</v>
      </c>
      <c r="C612" s="11" t="str">
        <f aca="false">IF(M612&gt;=Assumptions!$B$17,"S+",IF(M612&gt;=Assumptions!$B$18,"S",IF(M612&gt;=Assumptions!$B$19,"A",IF(M612&gt;=Assumptions!$B$20,"B",IF(M612&gt;=Assumptions!$B$21,"C",IF(M612&gt;=Assumptions!$B$22,"D","F"))))))</f>
        <v>C</v>
      </c>
      <c r="D612" s="3" t="s">
        <v>190</v>
      </c>
      <c r="E612" s="3" t="n">
        <v>3</v>
      </c>
      <c r="F612" s="12" t="n">
        <v>0.7431</v>
      </c>
      <c r="G612" s="12" t="n">
        <v>1</v>
      </c>
      <c r="H612" s="12" t="n">
        <v>0.75</v>
      </c>
      <c r="I612" s="12" t="n">
        <v>0.8524</v>
      </c>
      <c r="J612" s="12" t="n">
        <v>0.4035</v>
      </c>
      <c r="K612" s="12" t="n">
        <v>0.5511</v>
      </c>
      <c r="L612" s="3" t="n">
        <v>4.79</v>
      </c>
      <c r="M612" s="12" t="n">
        <f aca="false">Z612-W612</f>
        <v>0.057119</v>
      </c>
      <c r="N612" s="12" t="n">
        <f aca="false">IFERROR((Z612-J612)/L612,"")</f>
        <v>0.0308181628392484</v>
      </c>
      <c r="O612" s="3" t="n">
        <v>17</v>
      </c>
      <c r="P612" s="13" t="b">
        <f aca="false">FALSE()</f>
        <v>0</v>
      </c>
      <c r="Q612" s="3" t="s">
        <v>166</v>
      </c>
      <c r="R612" s="12" t="n">
        <v>0.8326</v>
      </c>
      <c r="S612" s="12" t="n">
        <v>0.4606</v>
      </c>
      <c r="T612" s="3" t="n">
        <v>0.331</v>
      </c>
      <c r="U612" s="12" t="n">
        <v>0.4978</v>
      </c>
      <c r="V612" s="12" t="n">
        <v>0.3699</v>
      </c>
      <c r="W612" s="12" t="n">
        <v>0.494</v>
      </c>
      <c r="X612" s="3" t="n">
        <v>0.3109</v>
      </c>
      <c r="Y612" s="3" t="n">
        <v>0.8562</v>
      </c>
      <c r="Z612" s="14" t="n">
        <f aca="false">Assumptions!$B$3*R612+Assumptions!$B$4*S612+IF(AA612=1,Assumptions!$B$11,Assumptions!$B$5)*X612+IF(AA612=1,Assumptions!$B$12,Assumptions!$B$6)*T612+Assumptions!$B$7*U612+Assumptions!$B$8*V612+Assumptions!$B$9*Y612</f>
        <v>0.551119</v>
      </c>
      <c r="AA612" s="3" t="n">
        <v>0</v>
      </c>
    </row>
    <row r="613" customFormat="false" ht="15" hidden="false" customHeight="false" outlineLevel="0" collapsed="false">
      <c r="A613" s="3" t="s">
        <v>798</v>
      </c>
      <c r="B613" s="3" t="n">
        <v>300</v>
      </c>
      <c r="C613" s="11" t="str">
        <f aca="false">IF(M613&gt;=Assumptions!$B$17,"S+",IF(M613&gt;=Assumptions!$B$18,"S",IF(M613&gt;=Assumptions!$B$19,"A",IF(M613&gt;=Assumptions!$B$20,"B",IF(M613&gt;=Assumptions!$B$21,"C",IF(M613&gt;=Assumptions!$B$22,"D","F"))))))</f>
        <v>C</v>
      </c>
      <c r="D613" s="3" t="s">
        <v>173</v>
      </c>
      <c r="E613" s="3" t="n">
        <v>1</v>
      </c>
      <c r="F613" s="12" t="n">
        <v>0.6678</v>
      </c>
      <c r="G613" s="12" t="n">
        <v>0.6</v>
      </c>
      <c r="H613" s="12" t="n">
        <v>0.75</v>
      </c>
      <c r="I613" s="12" t="n">
        <v>0.6422</v>
      </c>
      <c r="J613" s="12" t="n">
        <v>0.2682</v>
      </c>
      <c r="K613" s="12" t="n">
        <v>0.4929</v>
      </c>
      <c r="L613" s="3" t="n">
        <v>3.68</v>
      </c>
      <c r="M613" s="12" t="n">
        <f aca="false">Z613-W613</f>
        <v>0.0571159999999999</v>
      </c>
      <c r="N613" s="12" t="n">
        <f aca="false">IFERROR((Z613-J613)/L613,"")</f>
        <v>0.0610641304347826</v>
      </c>
      <c r="O613" s="3" t="n">
        <v>19</v>
      </c>
      <c r="P613" s="13" t="b">
        <f aca="false">FALSE()</f>
        <v>0</v>
      </c>
      <c r="Q613" s="3" t="s">
        <v>166</v>
      </c>
      <c r="R613" s="12" t="n">
        <v>0.417</v>
      </c>
      <c r="S613" s="12" t="n">
        <v>0.6534</v>
      </c>
      <c r="T613" s="3" t="n">
        <v>0.0874</v>
      </c>
      <c r="U613" s="12" t="n">
        <v>0.3846</v>
      </c>
      <c r="V613" s="12" t="n">
        <v>0.5176</v>
      </c>
      <c r="W613" s="12" t="n">
        <v>0.4358</v>
      </c>
      <c r="X613" s="3" t="n">
        <v>0.5716</v>
      </c>
      <c r="Y613" s="3" t="n">
        <v>0.5041</v>
      </c>
      <c r="Z613" s="14" t="n">
        <f aca="false">Assumptions!$B$3*R613+Assumptions!$B$4*S613+IF(AA613=1,Assumptions!$B$11,Assumptions!$B$5)*X613+IF(AA613=1,Assumptions!$B$12,Assumptions!$B$6)*T613+Assumptions!$B$7*U613+Assumptions!$B$8*V613+Assumptions!$B$9*Y613</f>
        <v>0.492916</v>
      </c>
      <c r="AA613" s="3" t="n">
        <v>1</v>
      </c>
    </row>
    <row r="614" customFormat="false" ht="15" hidden="false" customHeight="false" outlineLevel="0" collapsed="false">
      <c r="A614" s="3" t="s">
        <v>799</v>
      </c>
      <c r="B614" s="3" t="n">
        <v>480</v>
      </c>
      <c r="C614" s="11" t="str">
        <f aca="false">IF(M614&gt;=Assumptions!$B$17,"S+",IF(M614&gt;=Assumptions!$B$18,"S",IF(M614&gt;=Assumptions!$B$19,"A",IF(M614&gt;=Assumptions!$B$20,"B",IF(M614&gt;=Assumptions!$B$21,"C",IF(M614&gt;=Assumptions!$B$22,"D","F"))))))</f>
        <v>C</v>
      </c>
      <c r="D614" s="3" t="s">
        <v>183</v>
      </c>
      <c r="E614" s="3" t="n">
        <v>2</v>
      </c>
      <c r="F614" s="12" t="n">
        <v>0.8969</v>
      </c>
      <c r="G614" s="12" t="n">
        <v>0.76</v>
      </c>
      <c r="H614" s="12" t="n">
        <v>0.4444</v>
      </c>
      <c r="I614" s="12" t="n">
        <v>0.7194</v>
      </c>
      <c r="J614" s="12" t="n">
        <v>0.3962</v>
      </c>
      <c r="K614" s="12" t="n">
        <v>0.5574</v>
      </c>
      <c r="L614" s="3" t="n">
        <v>3.75</v>
      </c>
      <c r="M614" s="12" t="n">
        <f aca="false">Z614-W614</f>
        <v>0.0570160000000001</v>
      </c>
      <c r="N614" s="12" t="n">
        <f aca="false">IFERROR((Z614-J614)/L614,"")</f>
        <v>0.0429909333333333</v>
      </c>
      <c r="O614" s="3" t="n">
        <v>18</v>
      </c>
      <c r="P614" s="13" t="b">
        <f aca="false">FALSE()</f>
        <v>0</v>
      </c>
      <c r="Q614" s="3" t="s">
        <v>166</v>
      </c>
      <c r="R614" s="12" t="n">
        <v>0.6678</v>
      </c>
      <c r="S614" s="12" t="n">
        <v>0.6402</v>
      </c>
      <c r="T614" s="3" t="n">
        <v>0.2621</v>
      </c>
      <c r="U614" s="12" t="n">
        <v>0.406</v>
      </c>
      <c r="V614" s="12" t="n">
        <v>0.3914</v>
      </c>
      <c r="W614" s="12" t="n">
        <v>0.5004</v>
      </c>
      <c r="X614" s="3" t="n">
        <v>0.5235</v>
      </c>
      <c r="Y614" s="3" t="n">
        <v>0.6798</v>
      </c>
      <c r="Z614" s="14" t="n">
        <f aca="false">Assumptions!$B$3*R614+Assumptions!$B$4*S614+IF(AA614=1,Assumptions!$B$11,Assumptions!$B$5)*X614+IF(AA614=1,Assumptions!$B$12,Assumptions!$B$6)*T614+Assumptions!$B$7*U614+Assumptions!$B$8*V614+Assumptions!$B$9*Y614</f>
        <v>0.557416</v>
      </c>
      <c r="AA614" s="3" t="n">
        <v>1</v>
      </c>
    </row>
    <row r="615" customFormat="false" ht="15" hidden="false" customHeight="false" outlineLevel="0" collapsed="false">
      <c r="A615" s="3" t="s">
        <v>800</v>
      </c>
      <c r="B615" s="3" t="n">
        <v>305</v>
      </c>
      <c r="C615" s="11" t="str">
        <f aca="false">IF(M615&gt;=Assumptions!$B$17,"S+",IF(M615&gt;=Assumptions!$B$18,"S",IF(M615&gt;=Assumptions!$B$19,"A",IF(M615&gt;=Assumptions!$B$20,"B",IF(M615&gt;=Assumptions!$B$21,"C",IF(M615&gt;=Assumptions!$B$22,"D","F"))))))</f>
        <v>C</v>
      </c>
      <c r="D615" s="3" t="s">
        <v>175</v>
      </c>
      <c r="E615" s="3" t="n">
        <v>1</v>
      </c>
      <c r="F615" s="12" t="n">
        <v>0.6574</v>
      </c>
      <c r="G615" s="12" t="n">
        <v>0.45</v>
      </c>
      <c r="H615" s="12" t="n">
        <v>0.75</v>
      </c>
      <c r="I615" s="12" t="n">
        <v>0.5411</v>
      </c>
      <c r="J615" s="12" t="n">
        <v>0.3221</v>
      </c>
      <c r="K615" s="12" t="n">
        <v>0.4791</v>
      </c>
      <c r="L615" s="3" t="n">
        <v>5.53</v>
      </c>
      <c r="M615" s="12" t="n">
        <f aca="false">Z615-W615</f>
        <v>0.05669</v>
      </c>
      <c r="N615" s="12" t="n">
        <f aca="false">IFERROR((Z615-J615)/L615,"")</f>
        <v>0.0283887884267631</v>
      </c>
      <c r="O615" s="3" t="n">
        <v>19</v>
      </c>
      <c r="P615" s="13" t="b">
        <f aca="false">FALSE()</f>
        <v>0</v>
      </c>
      <c r="Q615" s="3" t="s">
        <v>166</v>
      </c>
      <c r="R615" s="12" t="n">
        <v>0.6528</v>
      </c>
      <c r="S615" s="12" t="n">
        <v>0.5693</v>
      </c>
      <c r="T615" s="3" t="n">
        <v>0.0789</v>
      </c>
      <c r="U615" s="12" t="n">
        <v>0.3077</v>
      </c>
      <c r="V615" s="12" t="n">
        <v>0.4707</v>
      </c>
      <c r="W615" s="12" t="n">
        <v>0.4224</v>
      </c>
      <c r="X615" s="3" t="n">
        <v>0.3661</v>
      </c>
      <c r="Y615" s="3" t="n">
        <v>0.504</v>
      </c>
      <c r="Z615" s="14" t="n">
        <f aca="false">Assumptions!$B$3*R615+Assumptions!$B$4*S615+IF(AA615=1,Assumptions!$B$11,Assumptions!$B$5)*X615+IF(AA615=1,Assumptions!$B$12,Assumptions!$B$6)*T615+Assumptions!$B$7*U615+Assumptions!$B$8*V615+Assumptions!$B$9*Y615</f>
        <v>0.47909</v>
      </c>
      <c r="AA615" s="3" t="n">
        <v>1</v>
      </c>
    </row>
    <row r="616" customFormat="false" ht="15" hidden="false" customHeight="false" outlineLevel="0" collapsed="false">
      <c r="A616" s="3" t="s">
        <v>801</v>
      </c>
      <c r="B616" s="3" t="n">
        <v>423</v>
      </c>
      <c r="C616" s="11" t="str">
        <f aca="false">IF(M616&gt;=Assumptions!$B$17,"S+",IF(M616&gt;=Assumptions!$B$18,"S",IF(M616&gt;=Assumptions!$B$19,"A",IF(M616&gt;=Assumptions!$B$20,"B",IF(M616&gt;=Assumptions!$B$21,"C",IF(M616&gt;=Assumptions!$B$22,"D","F"))))))</f>
        <v>C</v>
      </c>
      <c r="D616" s="3" t="s">
        <v>218</v>
      </c>
      <c r="E616" s="3" t="n">
        <v>2</v>
      </c>
      <c r="F616" s="12" t="n">
        <v>0.2782</v>
      </c>
      <c r="G616" s="12" t="n">
        <v>1</v>
      </c>
      <c r="H616" s="12" t="n">
        <v>0.75</v>
      </c>
      <c r="I616" s="12" t="n">
        <v>0.719</v>
      </c>
      <c r="J616" s="12" t="n">
        <v>0.3466</v>
      </c>
      <c r="K616" s="12" t="n">
        <v>0.5666</v>
      </c>
      <c r="L616" s="3" t="n">
        <v>4.78</v>
      </c>
      <c r="M616" s="12" t="n">
        <f aca="false">Z616-W616</f>
        <v>0.056788</v>
      </c>
      <c r="N616" s="12" t="n">
        <f aca="false">IFERROR((Z616-J616)/L616,"")</f>
        <v>0.0460225941422594</v>
      </c>
      <c r="O616" s="3" t="n">
        <v>18</v>
      </c>
      <c r="P616" s="13" t="b">
        <f aca="false">FALSE()</f>
        <v>0</v>
      </c>
      <c r="Q616" s="3" t="s">
        <v>166</v>
      </c>
      <c r="R616" s="12" t="n">
        <v>0.9099</v>
      </c>
      <c r="S616" s="12" t="n">
        <v>0.5008</v>
      </c>
      <c r="T616" s="3" t="n">
        <v>0.3935</v>
      </c>
      <c r="U616" s="12" t="n">
        <v>0.4616</v>
      </c>
      <c r="V616" s="12" t="n">
        <v>0.432</v>
      </c>
      <c r="W616" s="12" t="n">
        <v>0.5098</v>
      </c>
      <c r="X616" s="3" t="n">
        <v>0.2724</v>
      </c>
      <c r="Y616" s="3" t="n">
        <v>0.7041</v>
      </c>
      <c r="Z616" s="14" t="n">
        <f aca="false">Assumptions!$B$3*R616+Assumptions!$B$4*S616+IF(AA616=1,Assumptions!$B$11,Assumptions!$B$5)*X616+IF(AA616=1,Assumptions!$B$12,Assumptions!$B$6)*T616+Assumptions!$B$7*U616+Assumptions!$B$8*V616+Assumptions!$B$9*Y616</f>
        <v>0.566588</v>
      </c>
      <c r="AA616" s="3" t="n">
        <v>0</v>
      </c>
    </row>
    <row r="617" customFormat="false" ht="15" hidden="false" customHeight="false" outlineLevel="0" collapsed="false">
      <c r="A617" s="3" t="s">
        <v>802</v>
      </c>
      <c r="B617" s="3" t="n">
        <v>540</v>
      </c>
      <c r="C617" s="11" t="str">
        <f aca="false">IF(M617&gt;=Assumptions!$B$17,"S+",IF(M617&gt;=Assumptions!$B$18,"S",IF(M617&gt;=Assumptions!$B$19,"A",IF(M617&gt;=Assumptions!$B$20,"B",IF(M617&gt;=Assumptions!$B$21,"C",IF(M617&gt;=Assumptions!$B$22,"D","F"))))))</f>
        <v>C</v>
      </c>
      <c r="D617" s="3" t="s">
        <v>197</v>
      </c>
      <c r="E617" s="3" t="n">
        <v>1</v>
      </c>
      <c r="F617" s="12" t="n">
        <v>0.6323</v>
      </c>
      <c r="G617" s="12" t="n">
        <v>0.8</v>
      </c>
      <c r="H617" s="12" t="n">
        <v>0.75</v>
      </c>
      <c r="I617" s="12" t="n">
        <v>0.7263</v>
      </c>
      <c r="J617" s="12" t="n">
        <v>0.4066</v>
      </c>
      <c r="K617" s="12" t="n">
        <v>0.5563</v>
      </c>
      <c r="L617" s="3" t="n">
        <v>3.34</v>
      </c>
      <c r="M617" s="12" t="n">
        <f aca="false">Z617-W617</f>
        <v>0.056317</v>
      </c>
      <c r="N617" s="12" t="n">
        <f aca="false">IFERROR((Z617-J617)/L617,"")</f>
        <v>0.0448254491017964</v>
      </c>
      <c r="O617" s="3" t="n">
        <v>19</v>
      </c>
      <c r="P617" s="13" t="b">
        <f aca="false">FALSE()</f>
        <v>0</v>
      </c>
      <c r="Q617" s="3" t="s">
        <v>201</v>
      </c>
      <c r="R617" s="12" t="n">
        <v>0.6784</v>
      </c>
      <c r="S617" s="12" t="n">
        <v>0.7487</v>
      </c>
      <c r="T617" s="3" t="n">
        <v>0.364</v>
      </c>
      <c r="U617" s="12" t="n">
        <v>0.3158</v>
      </c>
      <c r="V617" s="12" t="n">
        <v>0.52</v>
      </c>
      <c r="W617" s="12" t="n">
        <v>0.5</v>
      </c>
      <c r="X617" s="3" t="n">
        <v>0.4433</v>
      </c>
      <c r="Y617" s="3" t="n">
        <v>0.6424</v>
      </c>
      <c r="Z617" s="14" t="n">
        <f aca="false">Assumptions!$B$3*R617+Assumptions!$B$4*S617+IF(AA617=1,Assumptions!$B$11,Assumptions!$B$5)*X617+IF(AA617=1,Assumptions!$B$12,Assumptions!$B$6)*T617+Assumptions!$B$7*U617+Assumptions!$B$8*V617+Assumptions!$B$9*Y617</f>
        <v>0.556317</v>
      </c>
      <c r="AA617" s="3" t="n">
        <v>0</v>
      </c>
    </row>
    <row r="618" customFormat="false" ht="15" hidden="false" customHeight="false" outlineLevel="0" collapsed="false">
      <c r="A618" s="3" t="s">
        <v>803</v>
      </c>
      <c r="B618" s="3" t="n">
        <v>600</v>
      </c>
      <c r="C618" s="11" t="str">
        <f aca="false">IF(M618&gt;=Assumptions!$B$17,"S+",IF(M618&gt;=Assumptions!$B$18,"S",IF(M618&gt;=Assumptions!$B$19,"A",IF(M618&gt;=Assumptions!$B$20,"B",IF(M618&gt;=Assumptions!$B$21,"C",IF(M618&gt;=Assumptions!$B$22,"D","F"))))))</f>
        <v>C</v>
      </c>
      <c r="D618" s="3" t="s">
        <v>218</v>
      </c>
      <c r="E618" s="3" t="n">
        <v>9</v>
      </c>
      <c r="F618" s="12" t="n">
        <v>0.9435</v>
      </c>
      <c r="G618" s="12" t="n">
        <v>0.6</v>
      </c>
      <c r="H618" s="12" t="n">
        <v>0.75</v>
      </c>
      <c r="I618" s="12" t="n">
        <v>0.7399</v>
      </c>
      <c r="J618" s="12" t="n">
        <v>0.3895</v>
      </c>
      <c r="K618" s="12" t="n">
        <v>0.5668</v>
      </c>
      <c r="L618" s="3" t="n">
        <v>4</v>
      </c>
      <c r="M618" s="12" t="n">
        <f aca="false">Z618-W618</f>
        <v>0.0561729999999999</v>
      </c>
      <c r="N618" s="12" t="n">
        <f aca="false">IFERROR((Z618-J618)/L618,"")</f>
        <v>0.04431825</v>
      </c>
      <c r="O618" s="3" t="n">
        <v>11</v>
      </c>
      <c r="P618" s="13" t="b">
        <f aca="false">FALSE()</f>
        <v>0</v>
      </c>
      <c r="Q618" s="3" t="s">
        <v>166</v>
      </c>
      <c r="R618" s="12" t="n">
        <v>0.869</v>
      </c>
      <c r="S618" s="12" t="n">
        <v>0.5486</v>
      </c>
      <c r="T618" s="3" t="n">
        <v>0.2549</v>
      </c>
      <c r="U618" s="12" t="n">
        <v>0.3846</v>
      </c>
      <c r="V618" s="12" t="n">
        <v>0.3945</v>
      </c>
      <c r="W618" s="12" t="n">
        <v>0.5106</v>
      </c>
      <c r="X618" s="3" t="n">
        <v>0.461</v>
      </c>
      <c r="Y618" s="3" t="n">
        <v>0.7234</v>
      </c>
      <c r="Z618" s="14" t="n">
        <f aca="false">Assumptions!$B$3*R618+Assumptions!$B$4*S618+IF(AA618=1,Assumptions!$B$11,Assumptions!$B$5)*X618+IF(AA618=1,Assumptions!$B$12,Assumptions!$B$6)*T618+Assumptions!$B$7*U618+Assumptions!$B$8*V618+Assumptions!$B$9*Y618</f>
        <v>0.566773</v>
      </c>
      <c r="AA618" s="3" t="n">
        <v>0</v>
      </c>
    </row>
    <row r="619" customFormat="false" ht="15" hidden="false" customHeight="false" outlineLevel="0" collapsed="false">
      <c r="A619" s="3" t="s">
        <v>804</v>
      </c>
      <c r="B619" s="3" t="n">
        <v>475</v>
      </c>
      <c r="C619" s="11" t="str">
        <f aca="false">IF(M619&gt;=Assumptions!$B$17,"S+",IF(M619&gt;=Assumptions!$B$18,"S",IF(M619&gt;=Assumptions!$B$19,"A",IF(M619&gt;=Assumptions!$B$20,"B",IF(M619&gt;=Assumptions!$B$21,"C",IF(M619&gt;=Assumptions!$B$22,"D","F"))))))</f>
        <v>C</v>
      </c>
      <c r="D619" s="3" t="s">
        <v>197</v>
      </c>
      <c r="E619" s="3" t="n">
        <v>4</v>
      </c>
      <c r="F619" s="12" t="n">
        <v>0.9</v>
      </c>
      <c r="G619" s="12" t="n">
        <v>0.6</v>
      </c>
      <c r="H619" s="12" t="n">
        <v>0.75</v>
      </c>
      <c r="I619" s="12" t="n">
        <v>0.744</v>
      </c>
      <c r="J619" s="12" t="n">
        <v>0.3867</v>
      </c>
      <c r="K619" s="12" t="n">
        <v>0.5576</v>
      </c>
      <c r="L619" s="3" t="n">
        <v>3.94</v>
      </c>
      <c r="M619" s="12" t="n">
        <f aca="false">Z619-W619</f>
        <v>0.0560880000000001</v>
      </c>
      <c r="N619" s="12" t="n">
        <f aca="false">IFERROR((Z619-J619)/L619,"")</f>
        <v>0.0433725888324873</v>
      </c>
      <c r="O619" s="3" t="n">
        <v>16</v>
      </c>
      <c r="P619" s="13" t="b">
        <f aca="false">FALSE()</f>
        <v>0</v>
      </c>
      <c r="Q619" s="3" t="s">
        <v>166</v>
      </c>
      <c r="R619" s="12" t="n">
        <v>0.803</v>
      </c>
      <c r="S619" s="12" t="n">
        <v>0.3089</v>
      </c>
      <c r="T619" s="3" t="n">
        <v>0.4843</v>
      </c>
      <c r="U619" s="12" t="n">
        <v>0.5769</v>
      </c>
      <c r="V619" s="12" t="n">
        <v>0.3783</v>
      </c>
      <c r="W619" s="12" t="n">
        <v>0.5015</v>
      </c>
      <c r="X619" s="3" t="n">
        <v>0.4544</v>
      </c>
      <c r="Y619" s="3" t="n">
        <v>0.7235</v>
      </c>
      <c r="Z619" s="14" t="n">
        <f aca="false">Assumptions!$B$3*R619+Assumptions!$B$4*S619+IF(AA619=1,Assumptions!$B$11,Assumptions!$B$5)*X619+IF(AA619=1,Assumptions!$B$12,Assumptions!$B$6)*T619+Assumptions!$B$7*U619+Assumptions!$B$8*V619+Assumptions!$B$9*Y619</f>
        <v>0.557588</v>
      </c>
      <c r="AA619" s="3" t="n">
        <v>0</v>
      </c>
    </row>
    <row r="620" customFormat="false" ht="15" hidden="false" customHeight="false" outlineLevel="0" collapsed="false">
      <c r="A620" s="3" t="s">
        <v>805</v>
      </c>
      <c r="B620" s="3" t="n">
        <v>300</v>
      </c>
      <c r="C620" s="11" t="str">
        <f aca="false">IF(M620&gt;=Assumptions!$B$17,"S+",IF(M620&gt;=Assumptions!$B$18,"S",IF(M620&gt;=Assumptions!$B$19,"A",IF(M620&gt;=Assumptions!$B$20,"B",IF(M620&gt;=Assumptions!$B$21,"C",IF(M620&gt;=Assumptions!$B$22,"D","F"))))))</f>
        <v>C</v>
      </c>
      <c r="D620" s="3" t="s">
        <v>173</v>
      </c>
      <c r="E620" s="3" t="n">
        <v>2</v>
      </c>
      <c r="F620" s="12" t="n">
        <v>0.557</v>
      </c>
      <c r="G620" s="12" t="n">
        <v>0.45</v>
      </c>
      <c r="H620" s="12" t="n">
        <v>0.75</v>
      </c>
      <c r="I620" s="12" t="n">
        <v>0.5293</v>
      </c>
      <c r="J620" s="12" t="n">
        <v>0.266</v>
      </c>
      <c r="K620" s="12" t="n">
        <v>0.4692</v>
      </c>
      <c r="L620" s="3" t="n">
        <v>3.72</v>
      </c>
      <c r="M620" s="12" t="n">
        <f aca="false">Z620-W620</f>
        <v>0.0560799999999999</v>
      </c>
      <c r="N620" s="12" t="n">
        <f aca="false">IFERROR((Z620-J620)/L620,"")</f>
        <v>0.0546182795698924</v>
      </c>
      <c r="O620" s="3" t="n">
        <v>18</v>
      </c>
      <c r="P620" s="13" t="b">
        <f aca="false">FALSE()</f>
        <v>0</v>
      </c>
      <c r="Q620" s="3" t="s">
        <v>166</v>
      </c>
      <c r="R620" s="12" t="n">
        <v>0.6525</v>
      </c>
      <c r="S620" s="12" t="n">
        <v>0.305</v>
      </c>
      <c r="T620" s="3" t="n">
        <v>0.2051</v>
      </c>
      <c r="U620" s="12" t="n">
        <v>0.4188</v>
      </c>
      <c r="V620" s="12" t="n">
        <v>0.4436</v>
      </c>
      <c r="W620" s="12" t="n">
        <v>0.4131</v>
      </c>
      <c r="X620" s="3" t="n">
        <v>0.4505</v>
      </c>
      <c r="Y620" s="3" t="n">
        <v>0.4678</v>
      </c>
      <c r="Z620" s="14" t="n">
        <f aca="false">Assumptions!$B$3*R620+Assumptions!$B$4*S620+IF(AA620=1,Assumptions!$B$11,Assumptions!$B$5)*X620+IF(AA620=1,Assumptions!$B$12,Assumptions!$B$6)*T620+Assumptions!$B$7*U620+Assumptions!$B$8*V620+Assumptions!$B$9*Y620</f>
        <v>0.46918</v>
      </c>
      <c r="AA620" s="3" t="n">
        <v>1</v>
      </c>
    </row>
    <row r="621" customFormat="false" ht="15" hidden="false" customHeight="false" outlineLevel="0" collapsed="false">
      <c r="A621" s="3" t="s">
        <v>806</v>
      </c>
      <c r="B621" s="3" t="n">
        <v>508</v>
      </c>
      <c r="C621" s="11" t="str">
        <f aca="false">IF(M621&gt;=Assumptions!$B$17,"S+",IF(M621&gt;=Assumptions!$B$18,"S",IF(M621&gt;=Assumptions!$B$19,"A",IF(M621&gt;=Assumptions!$B$20,"B",IF(M621&gt;=Assumptions!$B$21,"C",IF(M621&gt;=Assumptions!$B$22,"D","F"))))))</f>
        <v>C</v>
      </c>
      <c r="D621" s="3" t="s">
        <v>218</v>
      </c>
      <c r="E621" s="3" t="n">
        <v>5</v>
      </c>
      <c r="F621" s="12" t="n">
        <v>0.9608</v>
      </c>
      <c r="G621" s="12" t="n">
        <v>0.8</v>
      </c>
      <c r="H621" s="12" t="n">
        <v>0.75</v>
      </c>
      <c r="I621" s="12" t="n">
        <v>0.8415</v>
      </c>
      <c r="J621" s="12" t="n">
        <v>0.4046</v>
      </c>
      <c r="K621" s="12" t="n">
        <v>0.5584</v>
      </c>
      <c r="L621" s="3" t="n">
        <v>3.93</v>
      </c>
      <c r="M621" s="12" t="n">
        <f aca="false">Z621-W621</f>
        <v>0.0558890000000001</v>
      </c>
      <c r="N621" s="12" t="n">
        <f aca="false">IFERROR((Z621-J621)/L621,"")</f>
        <v>0.0391320610687023</v>
      </c>
      <c r="O621" s="3" t="n">
        <v>15</v>
      </c>
      <c r="P621" s="13" t="b">
        <f aca="false">FALSE()</f>
        <v>0</v>
      </c>
      <c r="Q621" s="3" t="s">
        <v>166</v>
      </c>
      <c r="R621" s="12" t="n">
        <v>0.8588</v>
      </c>
      <c r="S621" s="12" t="n">
        <v>0.4315</v>
      </c>
      <c r="T621" s="3" t="n">
        <v>0.3663</v>
      </c>
      <c r="U621" s="12" t="n">
        <v>0.4</v>
      </c>
      <c r="V621" s="12" t="n">
        <v>0.5078</v>
      </c>
      <c r="W621" s="12" t="n">
        <v>0.5025</v>
      </c>
      <c r="X621" s="3" t="n">
        <v>0.2952</v>
      </c>
      <c r="Y621" s="3" t="n">
        <v>0.8333</v>
      </c>
      <c r="Z621" s="14" t="n">
        <f aca="false">Assumptions!$B$3*R621+Assumptions!$B$4*S621+IF(AA621=1,Assumptions!$B$11,Assumptions!$B$5)*X621+IF(AA621=1,Assumptions!$B$12,Assumptions!$B$6)*T621+Assumptions!$B$7*U621+Assumptions!$B$8*V621+Assumptions!$B$9*Y621</f>
        <v>0.558389</v>
      </c>
      <c r="AA621" s="3" t="n">
        <v>0</v>
      </c>
    </row>
    <row r="622" customFormat="false" ht="15" hidden="false" customHeight="false" outlineLevel="0" collapsed="false">
      <c r="A622" s="3" t="s">
        <v>807</v>
      </c>
      <c r="B622" s="3" t="n">
        <v>464</v>
      </c>
      <c r="C622" s="11" t="str">
        <f aca="false">IF(M622&gt;=Assumptions!$B$17,"S+",IF(M622&gt;=Assumptions!$B$18,"S",IF(M622&gt;=Assumptions!$B$19,"A",IF(M622&gt;=Assumptions!$B$20,"B",IF(M622&gt;=Assumptions!$B$21,"C",IF(M622&gt;=Assumptions!$B$22,"D","F"))))))</f>
        <v>C</v>
      </c>
      <c r="D622" s="3" t="s">
        <v>197</v>
      </c>
      <c r="E622" s="3" t="n">
        <v>3</v>
      </c>
      <c r="F622" s="12" t="n">
        <v>0.8906</v>
      </c>
      <c r="G622" s="12" t="n">
        <v>0.4</v>
      </c>
      <c r="H622" s="12" t="n">
        <v>0.75</v>
      </c>
      <c r="I622" s="12" t="n">
        <v>0.6564</v>
      </c>
      <c r="J622" s="12" t="n">
        <v>0.373</v>
      </c>
      <c r="K622" s="12" t="n">
        <v>0.5639</v>
      </c>
      <c r="L622" s="3" t="n">
        <v>3.88</v>
      </c>
      <c r="M622" s="12" t="n">
        <f aca="false">Z622-W622</f>
        <v>0.055799</v>
      </c>
      <c r="N622" s="12" t="n">
        <f aca="false">IFERROR((Z622-J622)/L622,"")</f>
        <v>0.0492007731958763</v>
      </c>
      <c r="O622" s="3" t="n">
        <v>17</v>
      </c>
      <c r="P622" s="13" t="b">
        <f aca="false">FALSE()</f>
        <v>0</v>
      </c>
      <c r="Q622" s="3" t="s">
        <v>201</v>
      </c>
      <c r="R622" s="12" t="n">
        <v>0.72</v>
      </c>
      <c r="S622" s="12" t="n">
        <v>0.3969</v>
      </c>
      <c r="T622" s="3" t="n">
        <v>0.6762</v>
      </c>
      <c r="U622" s="12" t="n">
        <v>0.5294</v>
      </c>
      <c r="V622" s="12" t="n">
        <v>0.4954</v>
      </c>
      <c r="W622" s="12" t="n">
        <v>0.5081</v>
      </c>
      <c r="X622" s="3" t="n">
        <v>0.4291</v>
      </c>
      <c r="Y622" s="3" t="n">
        <v>0.5993</v>
      </c>
      <c r="Z622" s="14" t="n">
        <f aca="false">Assumptions!$B$3*R622+Assumptions!$B$4*S622+IF(AA622=1,Assumptions!$B$11,Assumptions!$B$5)*X622+IF(AA622=1,Assumptions!$B$12,Assumptions!$B$6)*T622+Assumptions!$B$7*U622+Assumptions!$B$8*V622+Assumptions!$B$9*Y622</f>
        <v>0.563899</v>
      </c>
      <c r="AA622" s="3" t="n">
        <v>0</v>
      </c>
    </row>
    <row r="623" customFormat="false" ht="15" hidden="false" customHeight="false" outlineLevel="0" collapsed="false">
      <c r="A623" s="3" t="s">
        <v>808</v>
      </c>
      <c r="B623" s="3" t="n">
        <v>464</v>
      </c>
      <c r="C623" s="11" t="str">
        <f aca="false">IF(M623&gt;=Assumptions!$B$17,"S+",IF(M623&gt;=Assumptions!$B$18,"S",IF(M623&gt;=Assumptions!$B$19,"A",IF(M623&gt;=Assumptions!$B$20,"B",IF(M623&gt;=Assumptions!$B$21,"C",IF(M623&gt;=Assumptions!$B$22,"D","F"))))))</f>
        <v>C</v>
      </c>
      <c r="D623" s="3" t="s">
        <v>197</v>
      </c>
      <c r="E623" s="3" t="n">
        <v>3</v>
      </c>
      <c r="F623" s="12" t="n">
        <v>0.8906</v>
      </c>
      <c r="G623" s="12" t="n">
        <v>0.4</v>
      </c>
      <c r="H623" s="12" t="n">
        <v>0.75</v>
      </c>
      <c r="I623" s="12" t="n">
        <v>0.6564</v>
      </c>
      <c r="J623" s="12" t="n">
        <v>0.373</v>
      </c>
      <c r="K623" s="12" t="n">
        <v>0.5639</v>
      </c>
      <c r="L623" s="3" t="n">
        <v>3.88</v>
      </c>
      <c r="M623" s="12" t="n">
        <f aca="false">Z623-W623</f>
        <v>0.055799</v>
      </c>
      <c r="N623" s="12" t="n">
        <f aca="false">IFERROR((Z623-J623)/L623,"")</f>
        <v>0.0492007731958763</v>
      </c>
      <c r="O623" s="3" t="n">
        <v>17</v>
      </c>
      <c r="P623" s="13" t="b">
        <f aca="false">FALSE()</f>
        <v>0</v>
      </c>
      <c r="Q623" s="3" t="s">
        <v>166</v>
      </c>
      <c r="R623" s="12" t="n">
        <v>0.72</v>
      </c>
      <c r="S623" s="12" t="n">
        <v>0.3969</v>
      </c>
      <c r="T623" s="3" t="n">
        <v>0.6762</v>
      </c>
      <c r="U623" s="12" t="n">
        <v>0.5294</v>
      </c>
      <c r="V623" s="12" t="n">
        <v>0.4954</v>
      </c>
      <c r="W623" s="12" t="n">
        <v>0.5081</v>
      </c>
      <c r="X623" s="3" t="n">
        <v>0.4291</v>
      </c>
      <c r="Y623" s="3" t="n">
        <v>0.5993</v>
      </c>
      <c r="Z623" s="14" t="n">
        <f aca="false">Assumptions!$B$3*R623+Assumptions!$B$4*S623+IF(AA623=1,Assumptions!$B$11,Assumptions!$B$5)*X623+IF(AA623=1,Assumptions!$B$12,Assumptions!$B$6)*T623+Assumptions!$B$7*U623+Assumptions!$B$8*V623+Assumptions!$B$9*Y623</f>
        <v>0.563899</v>
      </c>
      <c r="AA623" s="3" t="n">
        <v>0</v>
      </c>
    </row>
    <row r="624" customFormat="false" ht="15" hidden="false" customHeight="false" outlineLevel="0" collapsed="false">
      <c r="A624" s="3" t="s">
        <v>809</v>
      </c>
      <c r="B624" s="3" t="n">
        <v>400</v>
      </c>
      <c r="C624" s="11" t="str">
        <f aca="false">IF(M624&gt;=Assumptions!$B$17,"S+",IF(M624&gt;=Assumptions!$B$18,"S",IF(M624&gt;=Assumptions!$B$19,"A",IF(M624&gt;=Assumptions!$B$20,"B",IF(M624&gt;=Assumptions!$B$21,"C",IF(M624&gt;=Assumptions!$B$22,"D","F"))))))</f>
        <v>C</v>
      </c>
      <c r="D624" s="3" t="s">
        <v>186</v>
      </c>
      <c r="E624" s="3" t="n">
        <v>3</v>
      </c>
      <c r="F624" s="12" t="n">
        <v>0.7425</v>
      </c>
      <c r="G624" s="12" t="n">
        <v>0.85</v>
      </c>
      <c r="H624" s="12" t="n">
        <v>0.75</v>
      </c>
      <c r="I624" s="12" t="n">
        <v>0.8106</v>
      </c>
      <c r="J624" s="12" t="n">
        <v>0.2977</v>
      </c>
      <c r="K624" s="12" t="n">
        <v>0.4959</v>
      </c>
      <c r="L624" s="3" t="n">
        <v>5.88</v>
      </c>
      <c r="M624" s="12" t="n">
        <f aca="false">Z624-W624</f>
        <v>0.055767</v>
      </c>
      <c r="N624" s="12" t="n">
        <f aca="false">IFERROR((Z624-J624)/L624,"")</f>
        <v>0.0337018707482993</v>
      </c>
      <c r="O624" s="3" t="n">
        <v>17</v>
      </c>
      <c r="P624" s="13" t="b">
        <f aca="false">FALSE()</f>
        <v>0</v>
      </c>
      <c r="Q624" s="3" t="s">
        <v>166</v>
      </c>
      <c r="R624" s="12" t="n">
        <v>0.8229</v>
      </c>
      <c r="S624" s="12" t="n">
        <v>0.3183</v>
      </c>
      <c r="T624" s="3" t="n">
        <v>0.3014</v>
      </c>
      <c r="U624" s="12" t="n">
        <v>0.4117</v>
      </c>
      <c r="V624" s="12" t="n">
        <v>0.292</v>
      </c>
      <c r="W624" s="12" t="n">
        <v>0.4401</v>
      </c>
      <c r="X624" s="3" t="n">
        <v>0.2953</v>
      </c>
      <c r="Y624" s="3" t="n">
        <v>0.7795</v>
      </c>
      <c r="Z624" s="14" t="n">
        <f aca="false">Assumptions!$B$3*R624+Assumptions!$B$4*S624+IF(AA624=1,Assumptions!$B$11,Assumptions!$B$5)*X624+IF(AA624=1,Assumptions!$B$12,Assumptions!$B$6)*T624+Assumptions!$B$7*U624+Assumptions!$B$8*V624+Assumptions!$B$9*Y624</f>
        <v>0.495867</v>
      </c>
      <c r="AA624" s="3" t="n">
        <v>1</v>
      </c>
    </row>
    <row r="625" customFormat="false" ht="15" hidden="false" customHeight="false" outlineLevel="0" collapsed="false">
      <c r="A625" s="3" t="s">
        <v>810</v>
      </c>
      <c r="B625" s="3" t="n">
        <v>487</v>
      </c>
      <c r="C625" s="11" t="str">
        <f aca="false">IF(M625&gt;=Assumptions!$B$17,"S+",IF(M625&gt;=Assumptions!$B$18,"S",IF(M625&gt;=Assumptions!$B$19,"A",IF(M625&gt;=Assumptions!$B$20,"B",IF(M625&gt;=Assumptions!$B$21,"C",IF(M625&gt;=Assumptions!$B$22,"D","F"))))))</f>
        <v>C</v>
      </c>
      <c r="D625" s="3" t="s">
        <v>190</v>
      </c>
      <c r="E625" s="3" t="n">
        <v>1</v>
      </c>
      <c r="F625" s="12" t="n">
        <v>0.9255</v>
      </c>
      <c r="G625" s="12" t="n">
        <v>0.6</v>
      </c>
      <c r="H625" s="12" t="n">
        <v>0.75</v>
      </c>
      <c r="I625" s="12" t="n">
        <v>0.7537</v>
      </c>
      <c r="J625" s="12" t="n">
        <v>0.4199</v>
      </c>
      <c r="K625" s="12" t="n">
        <v>0.5555</v>
      </c>
      <c r="L625" s="3" t="n">
        <v>3.61</v>
      </c>
      <c r="M625" s="12" t="n">
        <f aca="false">Z625-W625</f>
        <v>0.055569</v>
      </c>
      <c r="N625" s="12" t="n">
        <f aca="false">IFERROR((Z625-J625)/L625,"")</f>
        <v>0.0375537396121884</v>
      </c>
      <c r="O625" s="3" t="n">
        <v>19</v>
      </c>
      <c r="P625" s="13" t="b">
        <f aca="false">FALSE()</f>
        <v>0</v>
      </c>
      <c r="Q625" s="3" t="s">
        <v>201</v>
      </c>
      <c r="R625" s="12" t="n">
        <v>0.8548</v>
      </c>
      <c r="S625" s="12" t="n">
        <v>0.3757</v>
      </c>
      <c r="T625" s="3" t="n">
        <v>0.6174</v>
      </c>
      <c r="U625" s="12" t="n">
        <v>0.3765</v>
      </c>
      <c r="V625" s="12" t="n">
        <v>0.3872</v>
      </c>
      <c r="W625" s="12" t="n">
        <v>0.4999</v>
      </c>
      <c r="X625" s="3" t="n">
        <v>0.3046</v>
      </c>
      <c r="Y625" s="3" t="n">
        <v>0.738</v>
      </c>
      <c r="Z625" s="14" t="n">
        <f aca="false">Assumptions!$B$3*R625+Assumptions!$B$4*S625+IF(AA625=1,Assumptions!$B$11,Assumptions!$B$5)*X625+IF(AA625=1,Assumptions!$B$12,Assumptions!$B$6)*T625+Assumptions!$B$7*U625+Assumptions!$B$8*V625+Assumptions!$B$9*Y625</f>
        <v>0.555469</v>
      </c>
      <c r="AA625" s="3" t="n">
        <v>0</v>
      </c>
    </row>
    <row r="626" customFormat="false" ht="15" hidden="false" customHeight="false" outlineLevel="0" collapsed="false">
      <c r="A626" s="3" t="s">
        <v>811</v>
      </c>
      <c r="B626" s="3" t="n">
        <v>520</v>
      </c>
      <c r="C626" s="11" t="str">
        <f aca="false">IF(M626&gt;=Assumptions!$B$17,"S+",IF(M626&gt;=Assumptions!$B$18,"S",IF(M626&gt;=Assumptions!$B$19,"A",IF(M626&gt;=Assumptions!$B$20,"B",IF(M626&gt;=Assumptions!$B$21,"C",IF(M626&gt;=Assumptions!$B$22,"D","F"))))))</f>
        <v>D</v>
      </c>
      <c r="D626" s="3" t="s">
        <v>218</v>
      </c>
      <c r="E626" s="3" t="n">
        <v>4</v>
      </c>
      <c r="F626" s="12" t="n">
        <v>0.7024</v>
      </c>
      <c r="G626" s="12" t="n">
        <v>0.6</v>
      </c>
      <c r="H626" s="12" t="n">
        <v>0.75</v>
      </c>
      <c r="I626" s="12" t="n">
        <v>0.6628</v>
      </c>
      <c r="J626" s="12" t="n">
        <v>0.4185</v>
      </c>
      <c r="K626" s="12" t="n">
        <v>0.5684</v>
      </c>
      <c r="L626" s="3" t="n">
        <v>3.88</v>
      </c>
      <c r="M626" s="12" t="n">
        <f aca="false">Z626-W626</f>
        <v>0.055264</v>
      </c>
      <c r="N626" s="12" t="n">
        <f aca="false">IFERROR((Z626-J626)/L626,"")</f>
        <v>0.0386247422680412</v>
      </c>
      <c r="O626" s="3" t="n">
        <v>16</v>
      </c>
      <c r="P626" s="13" t="b">
        <f aca="false">FALSE()</f>
        <v>0</v>
      </c>
      <c r="Q626" s="3" t="s">
        <v>166</v>
      </c>
      <c r="R626" s="12" t="n">
        <v>0.8022</v>
      </c>
      <c r="S626" s="12" t="n">
        <v>0.4338</v>
      </c>
      <c r="T626" s="3" t="n">
        <v>0.7193</v>
      </c>
      <c r="U626" s="12" t="n">
        <v>0.3173</v>
      </c>
      <c r="V626" s="12" t="n">
        <v>0.514</v>
      </c>
      <c r="W626" s="12" t="n">
        <v>0.5131</v>
      </c>
      <c r="X626" s="3" t="n">
        <v>0.3336</v>
      </c>
      <c r="Y626" s="3" t="n">
        <v>0.6676</v>
      </c>
      <c r="Z626" s="14" t="n">
        <f aca="false">Assumptions!$B$3*R626+Assumptions!$B$4*S626+IF(AA626=1,Assumptions!$B$11,Assumptions!$B$5)*X626+IF(AA626=1,Assumptions!$B$12,Assumptions!$B$6)*T626+Assumptions!$B$7*U626+Assumptions!$B$8*V626+Assumptions!$B$9*Y626</f>
        <v>0.568364</v>
      </c>
      <c r="AA626" s="3" t="n">
        <v>0</v>
      </c>
    </row>
    <row r="627" customFormat="false" ht="15" hidden="false" customHeight="false" outlineLevel="0" collapsed="false">
      <c r="A627" s="3" t="s">
        <v>812</v>
      </c>
      <c r="B627" s="3" t="n">
        <v>520</v>
      </c>
      <c r="C627" s="11" t="str">
        <f aca="false">IF(M627&gt;=Assumptions!$B$17,"S+",IF(M627&gt;=Assumptions!$B$18,"S",IF(M627&gt;=Assumptions!$B$19,"A",IF(M627&gt;=Assumptions!$B$20,"B",IF(M627&gt;=Assumptions!$B$21,"C",IF(M627&gt;=Assumptions!$B$22,"D","F"))))))</f>
        <v>D</v>
      </c>
      <c r="D627" s="3" t="s">
        <v>218</v>
      </c>
      <c r="E627" s="3" t="n">
        <v>8</v>
      </c>
      <c r="F627" s="12" t="n">
        <v>0.7024</v>
      </c>
      <c r="G627" s="12" t="n">
        <v>0.4</v>
      </c>
      <c r="H627" s="12" t="n">
        <v>0.75</v>
      </c>
      <c r="I627" s="12" t="n">
        <v>0.5668</v>
      </c>
      <c r="J627" s="12" t="n">
        <v>0.4069</v>
      </c>
      <c r="K627" s="12" t="n">
        <v>0.5498</v>
      </c>
      <c r="L627" s="3" t="n">
        <v>4</v>
      </c>
      <c r="M627" s="12" t="n">
        <f aca="false">Z627-W627</f>
        <v>0.0549989999999999</v>
      </c>
      <c r="N627" s="12" t="n">
        <f aca="false">IFERROR((Z627-J627)/L627,"")</f>
        <v>0.03572475</v>
      </c>
      <c r="O627" s="3" t="n">
        <v>12</v>
      </c>
      <c r="P627" s="13" t="b">
        <f aca="false">FALSE()</f>
        <v>0</v>
      </c>
      <c r="Q627" s="3" t="s">
        <v>166</v>
      </c>
      <c r="R627" s="12" t="n">
        <v>0.7167</v>
      </c>
      <c r="S627" s="12" t="n">
        <v>0.6879</v>
      </c>
      <c r="T627" s="3" t="n">
        <v>0.0785</v>
      </c>
      <c r="U627" s="12" t="n">
        <v>0.3526</v>
      </c>
      <c r="V627" s="12" t="n">
        <v>0.4626</v>
      </c>
      <c r="W627" s="12" t="n">
        <v>0.4948</v>
      </c>
      <c r="X627" s="3" t="n">
        <v>0.6736</v>
      </c>
      <c r="Y627" s="3" t="n">
        <v>0.5693</v>
      </c>
      <c r="Z627" s="14" t="n">
        <f aca="false">Assumptions!$B$3*R627+Assumptions!$B$4*S627+IF(AA627=1,Assumptions!$B$11,Assumptions!$B$5)*X627+IF(AA627=1,Assumptions!$B$12,Assumptions!$B$6)*T627+Assumptions!$B$7*U627+Assumptions!$B$8*V627+Assumptions!$B$9*Y627</f>
        <v>0.549799</v>
      </c>
      <c r="AA627" s="3" t="n">
        <v>0</v>
      </c>
    </row>
    <row r="628" customFormat="false" ht="15" hidden="false" customHeight="false" outlineLevel="0" collapsed="false">
      <c r="A628" s="3" t="s">
        <v>813</v>
      </c>
      <c r="B628" s="3" t="n">
        <v>535</v>
      </c>
      <c r="C628" s="11" t="str">
        <f aca="false">IF(M628&gt;=Assumptions!$B$17,"S+",IF(M628&gt;=Assumptions!$B$18,"S",IF(M628&gt;=Assumptions!$B$19,"A",IF(M628&gt;=Assumptions!$B$20,"B",IF(M628&gt;=Assumptions!$B$21,"C",IF(M628&gt;=Assumptions!$B$22,"D","F"))))))</f>
        <v>D</v>
      </c>
      <c r="D628" s="3" t="s">
        <v>169</v>
      </c>
      <c r="E628" s="3" t="n">
        <v>1</v>
      </c>
      <c r="F628" s="12" t="n">
        <v>0.5204</v>
      </c>
      <c r="G628" s="12" t="n">
        <v>0.45</v>
      </c>
      <c r="H628" s="12" t="n">
        <v>0.5694</v>
      </c>
      <c r="I628" s="12" t="n">
        <v>0.488</v>
      </c>
      <c r="J628" s="12" t="n">
        <v>0.4399</v>
      </c>
      <c r="K628" s="12" t="n">
        <v>0.5672</v>
      </c>
      <c r="L628" s="3" t="n">
        <v>5.58</v>
      </c>
      <c r="M628" s="12" t="n">
        <f aca="false">Z628-W628</f>
        <v>0.0549120000000001</v>
      </c>
      <c r="N628" s="12" t="n">
        <f aca="false">IFERROR((Z628-J628)/L628,"")</f>
        <v>0.022815770609319</v>
      </c>
      <c r="O628" s="3" t="n">
        <v>19</v>
      </c>
      <c r="P628" s="13" t="b">
        <f aca="false">FALSE()</f>
        <v>0</v>
      </c>
      <c r="Q628" s="3" t="s">
        <v>166</v>
      </c>
      <c r="R628" s="12" t="n">
        <v>0.776</v>
      </c>
      <c r="S628" s="12" t="n">
        <v>0.568</v>
      </c>
      <c r="T628" s="3" t="n">
        <v>0.582</v>
      </c>
      <c r="U628" s="12" t="n">
        <v>0.3077</v>
      </c>
      <c r="V628" s="12" t="n">
        <v>0.4854</v>
      </c>
      <c r="W628" s="12" t="n">
        <v>0.5123</v>
      </c>
      <c r="X628" s="3" t="n">
        <v>0.4923</v>
      </c>
      <c r="Y628" s="3" t="n">
        <v>0.4748</v>
      </c>
      <c r="Z628" s="14" t="n">
        <f aca="false">Assumptions!$B$3*R628+Assumptions!$B$4*S628+IF(AA628=1,Assumptions!$B$11,Assumptions!$B$5)*X628+IF(AA628=1,Assumptions!$B$12,Assumptions!$B$6)*T628+Assumptions!$B$7*U628+Assumptions!$B$8*V628+Assumptions!$B$9*Y628</f>
        <v>0.567212</v>
      </c>
      <c r="AA628" s="3" t="n">
        <v>0</v>
      </c>
    </row>
    <row r="629" customFormat="false" ht="15" hidden="false" customHeight="false" outlineLevel="0" collapsed="false">
      <c r="A629" s="3" t="s">
        <v>814</v>
      </c>
      <c r="B629" s="3" t="n">
        <v>505</v>
      </c>
      <c r="C629" s="11" t="str">
        <f aca="false">IF(M629&gt;=Assumptions!$B$17,"S+",IF(M629&gt;=Assumptions!$B$18,"S",IF(M629&gt;=Assumptions!$B$19,"A",IF(M629&gt;=Assumptions!$B$20,"B",IF(M629&gt;=Assumptions!$B$21,"C",IF(M629&gt;=Assumptions!$B$22,"D","F"))))))</f>
        <v>D</v>
      </c>
      <c r="D629" s="3" t="s">
        <v>218</v>
      </c>
      <c r="E629" s="3" t="n">
        <v>3</v>
      </c>
      <c r="F629" s="12" t="n">
        <v>0.9759</v>
      </c>
      <c r="G629" s="12" t="n">
        <v>1</v>
      </c>
      <c r="H629" s="12" t="n">
        <v>0.75</v>
      </c>
      <c r="I629" s="12" t="n">
        <v>0.9423</v>
      </c>
      <c r="J629" s="12" t="n">
        <v>0.4097</v>
      </c>
      <c r="K629" s="12" t="n">
        <v>0.5738</v>
      </c>
      <c r="L629" s="3" t="n">
        <v>3.82</v>
      </c>
      <c r="M629" s="12" t="n">
        <f aca="false">Z629-W629</f>
        <v>0.0542450000000001</v>
      </c>
      <c r="N629" s="12" t="n">
        <f aca="false">IFERROR((Z629-J629)/L629,"")</f>
        <v>0.0429698952879581</v>
      </c>
      <c r="O629" s="3" t="n">
        <v>17</v>
      </c>
      <c r="P629" s="13" t="b">
        <f aca="false">FALSE()</f>
        <v>0</v>
      </c>
      <c r="Q629" s="3" t="s">
        <v>201</v>
      </c>
      <c r="R629" s="12" t="n">
        <v>0.8025</v>
      </c>
      <c r="S629" s="12" t="n">
        <v>0.6659</v>
      </c>
      <c r="T629" s="3" t="n">
        <v>0.1355</v>
      </c>
      <c r="U629" s="12" t="n">
        <v>0.4299</v>
      </c>
      <c r="V629" s="12" t="n">
        <v>0.4638</v>
      </c>
      <c r="W629" s="12" t="n">
        <v>0.5196</v>
      </c>
      <c r="X629" s="3" t="n">
        <v>0.4322</v>
      </c>
      <c r="Y629" s="3" t="n">
        <v>0.8589</v>
      </c>
      <c r="Z629" s="14" t="n">
        <f aca="false">Assumptions!$B$3*R629+Assumptions!$B$4*S629+IF(AA629=1,Assumptions!$B$11,Assumptions!$B$5)*X629+IF(AA629=1,Assumptions!$B$12,Assumptions!$B$6)*T629+Assumptions!$B$7*U629+Assumptions!$B$8*V629+Assumptions!$B$9*Y629</f>
        <v>0.573845</v>
      </c>
      <c r="AA629" s="3" t="n">
        <v>0</v>
      </c>
    </row>
    <row r="630" customFormat="false" ht="15" hidden="false" customHeight="false" outlineLevel="0" collapsed="false">
      <c r="A630" s="3" t="s">
        <v>815</v>
      </c>
      <c r="B630" s="3" t="n">
        <v>517</v>
      </c>
      <c r="C630" s="11" t="str">
        <f aca="false">IF(M630&gt;=Assumptions!$B$17,"S+",IF(M630&gt;=Assumptions!$B$18,"S",IF(M630&gt;=Assumptions!$B$19,"A",IF(M630&gt;=Assumptions!$B$20,"B",IF(M630&gt;=Assumptions!$B$21,"C",IF(M630&gt;=Assumptions!$B$22,"D","F"))))))</f>
        <v>D</v>
      </c>
      <c r="D630" s="3" t="s">
        <v>218</v>
      </c>
      <c r="E630" s="3" t="n">
        <v>7</v>
      </c>
      <c r="F630" s="12" t="n">
        <v>0.9449</v>
      </c>
      <c r="G630" s="12" t="n">
        <v>0.6</v>
      </c>
      <c r="H630" s="12" t="n">
        <v>0.75</v>
      </c>
      <c r="I630" s="12" t="n">
        <v>0.7404</v>
      </c>
      <c r="J630" s="12" t="n">
        <v>0.3901</v>
      </c>
      <c r="K630" s="12" t="n">
        <v>0.5644</v>
      </c>
      <c r="L630" s="3" t="n">
        <v>4</v>
      </c>
      <c r="M630" s="12" t="n">
        <f aca="false">Z630-W630</f>
        <v>0.0537129999999999</v>
      </c>
      <c r="N630" s="12" t="n">
        <f aca="false">IFERROR((Z630-J630)/L630,"")</f>
        <v>0.04357825</v>
      </c>
      <c r="O630" s="3" t="n">
        <v>13</v>
      </c>
      <c r="P630" s="13" t="b">
        <f aca="false">FALSE()</f>
        <v>0</v>
      </c>
      <c r="Q630" s="3" t="s">
        <v>166</v>
      </c>
      <c r="R630" s="12" t="n">
        <v>0.8227</v>
      </c>
      <c r="S630" s="12" t="n">
        <v>0.5181</v>
      </c>
      <c r="T630" s="3" t="n">
        <v>0.0532</v>
      </c>
      <c r="U630" s="12" t="n">
        <v>0.5799</v>
      </c>
      <c r="V630" s="12" t="n">
        <v>0.5126</v>
      </c>
      <c r="W630" s="12" t="n">
        <v>0.5107</v>
      </c>
      <c r="X630" s="3" t="n">
        <v>0.4866</v>
      </c>
      <c r="Y630" s="3" t="n">
        <v>0.7418</v>
      </c>
      <c r="Z630" s="14" t="n">
        <f aca="false">Assumptions!$B$3*R630+Assumptions!$B$4*S630+IF(AA630=1,Assumptions!$B$11,Assumptions!$B$5)*X630+IF(AA630=1,Assumptions!$B$12,Assumptions!$B$6)*T630+Assumptions!$B$7*U630+Assumptions!$B$8*V630+Assumptions!$B$9*Y630</f>
        <v>0.564413</v>
      </c>
      <c r="AA630" s="3" t="n">
        <v>0</v>
      </c>
    </row>
    <row r="631" customFormat="false" ht="15" hidden="false" customHeight="false" outlineLevel="0" collapsed="false">
      <c r="A631" s="3" t="s">
        <v>816</v>
      </c>
      <c r="B631" s="3" t="n">
        <v>435</v>
      </c>
      <c r="C631" s="11" t="str">
        <f aca="false">IF(M631&gt;=Assumptions!$B$17,"S+",IF(M631&gt;=Assumptions!$B$18,"S",IF(M631&gt;=Assumptions!$B$19,"A",IF(M631&gt;=Assumptions!$B$20,"B",IF(M631&gt;=Assumptions!$B$21,"C",IF(M631&gt;=Assumptions!$B$22,"D","F"))))))</f>
        <v>D</v>
      </c>
      <c r="D631" s="3" t="s">
        <v>175</v>
      </c>
      <c r="E631" s="3" t="n">
        <v>1</v>
      </c>
      <c r="F631" s="12" t="n">
        <v>0.8234</v>
      </c>
      <c r="G631" s="12" t="n">
        <v>0.45</v>
      </c>
      <c r="H631" s="12" t="n">
        <v>0.75</v>
      </c>
      <c r="I631" s="12" t="n">
        <v>0.566</v>
      </c>
      <c r="J631" s="12" t="n">
        <v>0.3952</v>
      </c>
      <c r="K631" s="12" t="n">
        <v>0.5251</v>
      </c>
      <c r="L631" s="3" t="n">
        <v>5.63</v>
      </c>
      <c r="M631" s="12" t="n">
        <f aca="false">Z631-W631</f>
        <v>0.0534469999999999</v>
      </c>
      <c r="N631" s="12" t="n">
        <f aca="false">IFERROR((Z631-J631)/L631,"")</f>
        <v>0.0230634103019538</v>
      </c>
      <c r="O631" s="3" t="n">
        <v>19</v>
      </c>
      <c r="P631" s="13" t="b">
        <f aca="false">FALSE()</f>
        <v>0</v>
      </c>
      <c r="Q631" s="3" t="s">
        <v>166</v>
      </c>
      <c r="R631" s="12" t="n">
        <v>0.6182</v>
      </c>
      <c r="S631" s="12" t="n">
        <v>0.701</v>
      </c>
      <c r="T631" s="3" t="n">
        <v>0.194</v>
      </c>
      <c r="U631" s="12" t="n">
        <v>0.2672</v>
      </c>
      <c r="V631" s="12" t="n">
        <v>0.4579</v>
      </c>
      <c r="W631" s="12" t="n">
        <v>0.4716</v>
      </c>
      <c r="X631" s="3" t="n">
        <v>0.5039</v>
      </c>
      <c r="Y631" s="3" t="n">
        <v>0.5338</v>
      </c>
      <c r="Z631" s="14" t="n">
        <f aca="false">Assumptions!$B$3*R631+Assumptions!$B$4*S631+IF(AA631=1,Assumptions!$B$11,Assumptions!$B$5)*X631+IF(AA631=1,Assumptions!$B$12,Assumptions!$B$6)*T631+Assumptions!$B$7*U631+Assumptions!$B$8*V631+Assumptions!$B$9*Y631</f>
        <v>0.525047</v>
      </c>
      <c r="AA631" s="3" t="n">
        <v>1</v>
      </c>
    </row>
    <row r="632" customFormat="false" ht="15" hidden="false" customHeight="false" outlineLevel="0" collapsed="false">
      <c r="A632" s="3" t="s">
        <v>817</v>
      </c>
      <c r="B632" s="3" t="n">
        <v>500</v>
      </c>
      <c r="C632" s="11" t="str">
        <f aca="false">IF(M632&gt;=Assumptions!$B$17,"S+",IF(M632&gt;=Assumptions!$B$18,"S",IF(M632&gt;=Assumptions!$B$19,"A",IF(M632&gt;=Assumptions!$B$20,"B",IF(M632&gt;=Assumptions!$B$21,"C",IF(M632&gt;=Assumptions!$B$22,"D","F"))))))</f>
        <v>D</v>
      </c>
      <c r="D632" s="3" t="s">
        <v>218</v>
      </c>
      <c r="E632" s="3" t="n">
        <v>2</v>
      </c>
      <c r="F632" s="12" t="n">
        <v>0.9223</v>
      </c>
      <c r="G632" s="12" t="n">
        <v>1</v>
      </c>
      <c r="H632" s="12" t="n">
        <v>0.75</v>
      </c>
      <c r="I632" s="12" t="n">
        <v>0.9252</v>
      </c>
      <c r="J632" s="12" t="n">
        <v>0.3729</v>
      </c>
      <c r="K632" s="12" t="n">
        <v>0.5632</v>
      </c>
      <c r="L632" s="3" t="n">
        <v>6.78</v>
      </c>
      <c r="M632" s="12" t="n">
        <f aca="false">Z632-W632</f>
        <v>0.0534220000000001</v>
      </c>
      <c r="N632" s="12" t="n">
        <f aca="false">IFERROR((Z632-J632)/L632,"")</f>
        <v>0.0280710914454277</v>
      </c>
      <c r="O632" s="3" t="n">
        <v>18</v>
      </c>
      <c r="P632" s="13" t="b">
        <f aca="false">FALSE()</f>
        <v>0</v>
      </c>
      <c r="Q632" s="3" t="s">
        <v>166</v>
      </c>
      <c r="R632" s="12" t="n">
        <v>0.8899</v>
      </c>
      <c r="S632" s="12" t="n">
        <v>0.4852</v>
      </c>
      <c r="T632" s="3" t="n">
        <v>0.4188</v>
      </c>
      <c r="U632" s="12" t="n">
        <v>0.3504</v>
      </c>
      <c r="V632" s="12" t="n">
        <v>0.4178</v>
      </c>
      <c r="W632" s="12" t="n">
        <v>0.5098</v>
      </c>
      <c r="X632" s="3" t="n">
        <v>0.2549</v>
      </c>
      <c r="Y632" s="3" t="n">
        <v>0.8703</v>
      </c>
      <c r="Z632" s="14" t="n">
        <f aca="false">Assumptions!$B$3*R632+Assumptions!$B$4*S632+IF(AA632=1,Assumptions!$B$11,Assumptions!$B$5)*X632+IF(AA632=1,Assumptions!$B$12,Assumptions!$B$6)*T632+Assumptions!$B$7*U632+Assumptions!$B$8*V632+Assumptions!$B$9*Y632</f>
        <v>0.563222</v>
      </c>
      <c r="AA632" s="3" t="n">
        <v>0</v>
      </c>
    </row>
    <row r="633" customFormat="false" ht="15" hidden="false" customHeight="false" outlineLevel="0" collapsed="false">
      <c r="A633" s="3" t="s">
        <v>818</v>
      </c>
      <c r="B633" s="3" t="n">
        <v>476</v>
      </c>
      <c r="C633" s="11" t="str">
        <f aca="false">IF(M633&gt;=Assumptions!$B$17,"S+",IF(M633&gt;=Assumptions!$B$18,"S",IF(M633&gt;=Assumptions!$B$19,"A",IF(M633&gt;=Assumptions!$B$20,"B",IF(M633&gt;=Assumptions!$B$21,"C",IF(M633&gt;=Assumptions!$B$22,"D","F"))))))</f>
        <v>D</v>
      </c>
      <c r="D633" s="3" t="s">
        <v>197</v>
      </c>
      <c r="E633" s="3" t="n">
        <v>1</v>
      </c>
      <c r="F633" s="12" t="n">
        <v>0.7881</v>
      </c>
      <c r="G633" s="12" t="n">
        <v>0.4</v>
      </c>
      <c r="H633" s="12" t="n">
        <v>0.75</v>
      </c>
      <c r="I633" s="12" t="n">
        <v>0.6175</v>
      </c>
      <c r="J633" s="12" t="n">
        <v>0.4184</v>
      </c>
      <c r="K633" s="12" t="n">
        <v>0.5579</v>
      </c>
      <c r="L633" s="3" t="n">
        <v>5.74</v>
      </c>
      <c r="M633" s="12" t="n">
        <f aca="false">Z633-W633</f>
        <v>0.05313</v>
      </c>
      <c r="N633" s="12" t="n">
        <f aca="false">IFERROR((Z633-J633)/L633,"")</f>
        <v>0.024308362369338</v>
      </c>
      <c r="O633" s="3" t="n">
        <v>19</v>
      </c>
      <c r="P633" s="13" t="b">
        <f aca="false">FALSE()</f>
        <v>0</v>
      </c>
      <c r="Q633" s="3" t="s">
        <v>166</v>
      </c>
      <c r="R633" s="12" t="n">
        <v>0.6739</v>
      </c>
      <c r="S633" s="12" t="n">
        <v>0.6698</v>
      </c>
      <c r="T633" s="3" t="n">
        <v>0.4821</v>
      </c>
      <c r="U633" s="12" t="n">
        <v>0.3765</v>
      </c>
      <c r="V633" s="12" t="n">
        <v>0.561</v>
      </c>
      <c r="W633" s="12" t="n">
        <v>0.5048</v>
      </c>
      <c r="X633" s="3" t="n">
        <v>0.4194</v>
      </c>
      <c r="Y633" s="3" t="n">
        <v>0.5793</v>
      </c>
      <c r="Z633" s="14" t="n">
        <f aca="false">Assumptions!$B$3*R633+Assumptions!$B$4*S633+IF(AA633=1,Assumptions!$B$11,Assumptions!$B$5)*X633+IF(AA633=1,Assumptions!$B$12,Assumptions!$B$6)*T633+Assumptions!$B$7*U633+Assumptions!$B$8*V633+Assumptions!$B$9*Y633</f>
        <v>0.55793</v>
      </c>
      <c r="AA633" s="3" t="n">
        <v>0</v>
      </c>
    </row>
    <row r="634" customFormat="false" ht="15" hidden="false" customHeight="false" outlineLevel="0" collapsed="false">
      <c r="A634" s="3" t="s">
        <v>819</v>
      </c>
      <c r="B634" s="3" t="n">
        <v>520</v>
      </c>
      <c r="C634" s="11" t="str">
        <f aca="false">IF(M634&gt;=Assumptions!$B$17,"S+",IF(M634&gt;=Assumptions!$B$18,"S",IF(M634&gt;=Assumptions!$B$19,"A",IF(M634&gt;=Assumptions!$B$20,"B",IF(M634&gt;=Assumptions!$B$21,"C",IF(M634&gt;=Assumptions!$B$22,"D","F"))))))</f>
        <v>D</v>
      </c>
      <c r="D634" s="3" t="s">
        <v>190</v>
      </c>
      <c r="E634" s="3" t="n">
        <v>2</v>
      </c>
      <c r="F634" s="12" t="n">
        <v>0.798</v>
      </c>
      <c r="G634" s="12" t="n">
        <v>0.4</v>
      </c>
      <c r="H634" s="12" t="n">
        <v>0.75</v>
      </c>
      <c r="I634" s="12" t="n">
        <v>0.6212</v>
      </c>
      <c r="J634" s="12" t="n">
        <v>0.4098</v>
      </c>
      <c r="K634" s="12" t="n">
        <v>0.5566</v>
      </c>
      <c r="L634" s="3" t="n">
        <v>5.75</v>
      </c>
      <c r="M634" s="12" t="n">
        <f aca="false">Z634-W634</f>
        <v>0.052983</v>
      </c>
      <c r="N634" s="12" t="n">
        <f aca="false">IFERROR((Z634-J634)/L634,"")</f>
        <v>0.0255274782608696</v>
      </c>
      <c r="O634" s="3" t="n">
        <v>18</v>
      </c>
      <c r="P634" s="13" t="b">
        <f aca="false">FALSE()</f>
        <v>0</v>
      </c>
      <c r="Q634" s="3" t="s">
        <v>166</v>
      </c>
      <c r="R634" s="12" t="n">
        <v>0.8873</v>
      </c>
      <c r="S634" s="12" t="n">
        <v>0.5399</v>
      </c>
      <c r="T634" s="3" t="n">
        <v>0.4493</v>
      </c>
      <c r="U634" s="12" t="n">
        <v>0.2906</v>
      </c>
      <c r="V634" s="12" t="n">
        <v>0.4704</v>
      </c>
      <c r="W634" s="12" t="n">
        <v>0.5036</v>
      </c>
      <c r="X634" s="3" t="n">
        <v>0.3315</v>
      </c>
      <c r="Y634" s="3" t="n">
        <v>0.5714</v>
      </c>
      <c r="Z634" s="14" t="n">
        <f aca="false">Assumptions!$B$3*R634+Assumptions!$B$4*S634+IF(AA634=1,Assumptions!$B$11,Assumptions!$B$5)*X634+IF(AA634=1,Assumptions!$B$12,Assumptions!$B$6)*T634+Assumptions!$B$7*U634+Assumptions!$B$8*V634+Assumptions!$B$9*Y634</f>
        <v>0.556583</v>
      </c>
      <c r="AA634" s="3" t="n">
        <v>0</v>
      </c>
    </row>
    <row r="635" customFormat="false" ht="15" hidden="false" customHeight="false" outlineLevel="0" collapsed="false">
      <c r="A635" s="3" t="s">
        <v>820</v>
      </c>
      <c r="B635" s="3" t="n">
        <v>700</v>
      </c>
      <c r="C635" s="11" t="str">
        <f aca="false">IF(M635&gt;=Assumptions!$B$17,"S+",IF(M635&gt;=Assumptions!$B$18,"S",IF(M635&gt;=Assumptions!$B$19,"A",IF(M635&gt;=Assumptions!$B$20,"B",IF(M635&gt;=Assumptions!$B$21,"C",IF(M635&gt;=Assumptions!$B$22,"D","F"))))))</f>
        <v>D</v>
      </c>
      <c r="D635" s="3" t="s">
        <v>218</v>
      </c>
      <c r="E635" s="3" t="n">
        <v>18</v>
      </c>
      <c r="F635" s="12" t="n">
        <v>0.9402</v>
      </c>
      <c r="G635" s="12" t="n">
        <v>0.6</v>
      </c>
      <c r="H635" s="12" t="n">
        <v>0.75</v>
      </c>
      <c r="I635" s="12" t="n">
        <v>0.7389</v>
      </c>
      <c r="J635" s="12" t="n">
        <v>0.3906</v>
      </c>
      <c r="K635" s="12" t="n">
        <v>0.5414</v>
      </c>
      <c r="L635" s="3" t="n">
        <v>4</v>
      </c>
      <c r="M635" s="12" t="n">
        <f aca="false">Z635-W635</f>
        <v>0.052915</v>
      </c>
      <c r="N635" s="12" t="n">
        <f aca="false">IFERROR((Z635-J635)/L635,"")</f>
        <v>0.03770375</v>
      </c>
      <c r="O635" s="3" t="n">
        <v>2</v>
      </c>
      <c r="P635" s="13" t="b">
        <f aca="false">FALSE()</f>
        <v>0</v>
      </c>
      <c r="Q635" s="3" t="s">
        <v>166</v>
      </c>
      <c r="R635" s="12" t="n">
        <v>0.8864</v>
      </c>
      <c r="S635" s="12" t="n">
        <v>0.4736</v>
      </c>
      <c r="T635" s="3" t="n">
        <v>0.125</v>
      </c>
      <c r="U635" s="12" t="n">
        <v>0.4615</v>
      </c>
      <c r="V635" s="12" t="n">
        <v>0.3475</v>
      </c>
      <c r="W635" s="12" t="n">
        <v>0.4885</v>
      </c>
      <c r="X635" s="3" t="n">
        <v>0.4166</v>
      </c>
      <c r="Y635" s="3" t="n">
        <v>0.7388</v>
      </c>
      <c r="Z635" s="14" t="n">
        <f aca="false">Assumptions!$B$3*R635+Assumptions!$B$4*S635+IF(AA635=1,Assumptions!$B$11,Assumptions!$B$5)*X635+IF(AA635=1,Assumptions!$B$12,Assumptions!$B$6)*T635+Assumptions!$B$7*U635+Assumptions!$B$8*V635+Assumptions!$B$9*Y635</f>
        <v>0.541415</v>
      </c>
      <c r="AA635" s="3" t="n">
        <v>0</v>
      </c>
    </row>
    <row r="636" customFormat="false" ht="15" hidden="false" customHeight="false" outlineLevel="0" collapsed="false">
      <c r="A636" s="3" t="s">
        <v>821</v>
      </c>
      <c r="B636" s="3" t="n">
        <v>425</v>
      </c>
      <c r="C636" s="11" t="str">
        <f aca="false">IF(M636&gt;=Assumptions!$B$17,"S+",IF(M636&gt;=Assumptions!$B$18,"S",IF(M636&gt;=Assumptions!$B$19,"A",IF(M636&gt;=Assumptions!$B$20,"B",IF(M636&gt;=Assumptions!$B$21,"C",IF(M636&gt;=Assumptions!$B$22,"D","F"))))))</f>
        <v>D</v>
      </c>
      <c r="D636" s="3" t="s">
        <v>175</v>
      </c>
      <c r="E636" s="3" t="n">
        <v>4</v>
      </c>
      <c r="F636" s="12" t="n">
        <v>0.7197</v>
      </c>
      <c r="G636" s="12" t="n">
        <v>0.45</v>
      </c>
      <c r="H636" s="12" t="n">
        <v>0.75</v>
      </c>
      <c r="I636" s="12" t="n">
        <v>0.5505</v>
      </c>
      <c r="J636" s="12" t="n">
        <v>0.3186</v>
      </c>
      <c r="K636" s="12" t="n">
        <v>0.474</v>
      </c>
      <c r="L636" s="3" t="n">
        <v>3.88</v>
      </c>
      <c r="M636" s="12" t="n">
        <f aca="false">Z636-W636</f>
        <v>0.0525450000000001</v>
      </c>
      <c r="N636" s="12" t="n">
        <f aca="false">IFERROR((Z636-J636)/L636,"")</f>
        <v>0.0400631443298969</v>
      </c>
      <c r="O636" s="3" t="n">
        <v>16</v>
      </c>
      <c r="P636" s="13" t="b">
        <f aca="false">FALSE()</f>
        <v>0</v>
      </c>
      <c r="Q636" s="3" t="s">
        <v>166</v>
      </c>
      <c r="R636" s="12" t="n">
        <v>0.8105</v>
      </c>
      <c r="S636" s="12" t="n">
        <v>0.4268</v>
      </c>
      <c r="T636" s="3" t="n">
        <v>0.1485</v>
      </c>
      <c r="U636" s="12" t="n">
        <v>0.3125</v>
      </c>
      <c r="V636" s="12" t="n">
        <v>0.5171</v>
      </c>
      <c r="W636" s="12" t="n">
        <v>0.4215</v>
      </c>
      <c r="X636" s="3" t="n">
        <v>0.2544</v>
      </c>
      <c r="Y636" s="3" t="n">
        <v>0.5264</v>
      </c>
      <c r="Z636" s="14" t="n">
        <f aca="false">Assumptions!$B$3*R636+Assumptions!$B$4*S636+IF(AA636=1,Assumptions!$B$11,Assumptions!$B$5)*X636+IF(AA636=1,Assumptions!$B$12,Assumptions!$B$6)*T636+Assumptions!$B$7*U636+Assumptions!$B$8*V636+Assumptions!$B$9*Y636</f>
        <v>0.474045</v>
      </c>
      <c r="AA636" s="3" t="n">
        <v>0</v>
      </c>
    </row>
    <row r="637" customFormat="false" ht="15" hidden="false" customHeight="false" outlineLevel="0" collapsed="false">
      <c r="A637" s="3" t="s">
        <v>822</v>
      </c>
      <c r="B637" s="3" t="n">
        <v>485</v>
      </c>
      <c r="C637" s="11" t="str">
        <f aca="false">IF(M637&gt;=Assumptions!$B$17,"S+",IF(M637&gt;=Assumptions!$B$18,"S",IF(M637&gt;=Assumptions!$B$19,"A",IF(M637&gt;=Assumptions!$B$20,"B",IF(M637&gt;=Assumptions!$B$21,"C",IF(M637&gt;=Assumptions!$B$22,"D","F"))))))</f>
        <v>D</v>
      </c>
      <c r="D637" s="3" t="s">
        <v>173</v>
      </c>
      <c r="E637" s="3" t="n">
        <v>4</v>
      </c>
      <c r="F637" s="12" t="n">
        <v>0.4819</v>
      </c>
      <c r="G637" s="12" t="n">
        <v>0.85</v>
      </c>
      <c r="H637" s="12" t="n">
        <v>0.75</v>
      </c>
      <c r="I637" s="12" t="n">
        <v>0.7637</v>
      </c>
      <c r="J637" s="12" t="n">
        <v>0.3367</v>
      </c>
      <c r="K637" s="12" t="n">
        <v>0.4931</v>
      </c>
      <c r="L637" s="3" t="n">
        <v>3.94</v>
      </c>
      <c r="M637" s="12" t="n">
        <f aca="false">Z637-W637</f>
        <v>0.052405</v>
      </c>
      <c r="N637" s="12" t="n">
        <f aca="false">IFERROR((Z637-J637)/L637,"")</f>
        <v>0.0396967005076142</v>
      </c>
      <c r="O637" s="3" t="n">
        <v>16</v>
      </c>
      <c r="P637" s="13" t="b">
        <f aca="false">FALSE()</f>
        <v>0</v>
      </c>
      <c r="Q637" s="3" t="s">
        <v>166</v>
      </c>
      <c r="R637" s="12" t="n">
        <v>0.6969</v>
      </c>
      <c r="S637" s="12" t="n">
        <v>0.4924</v>
      </c>
      <c r="T637" s="3" t="n">
        <v>0.4634</v>
      </c>
      <c r="U637" s="12" t="n">
        <v>0.2452</v>
      </c>
      <c r="V637" s="12" t="n">
        <v>0.4967</v>
      </c>
      <c r="W637" s="12" t="n">
        <v>0.4407</v>
      </c>
      <c r="X637" s="3" t="n">
        <v>0.2747</v>
      </c>
      <c r="Y637" s="3" t="n">
        <v>0.7443</v>
      </c>
      <c r="Z637" s="14" t="n">
        <f aca="false">Assumptions!$B$3*R637+Assumptions!$B$4*S637+IF(AA637=1,Assumptions!$B$11,Assumptions!$B$5)*X637+IF(AA637=1,Assumptions!$B$12,Assumptions!$B$6)*T637+Assumptions!$B$7*U637+Assumptions!$B$8*V637+Assumptions!$B$9*Y637</f>
        <v>0.493105</v>
      </c>
      <c r="AA637" s="3" t="n">
        <v>1</v>
      </c>
    </row>
    <row r="638" customFormat="false" ht="15" hidden="false" customHeight="false" outlineLevel="0" collapsed="false">
      <c r="A638" s="3" t="s">
        <v>823</v>
      </c>
      <c r="B638" s="3" t="n">
        <v>489</v>
      </c>
      <c r="C638" s="11" t="str">
        <f aca="false">IF(M638&gt;=Assumptions!$B$17,"S+",IF(M638&gt;=Assumptions!$B$18,"S",IF(M638&gt;=Assumptions!$B$19,"A",IF(M638&gt;=Assumptions!$B$20,"B",IF(M638&gt;=Assumptions!$B$21,"C",IF(M638&gt;=Assumptions!$B$22,"D","F"))))))</f>
        <v>D</v>
      </c>
      <c r="D638" s="3" t="s">
        <v>183</v>
      </c>
      <c r="E638" s="3" t="n">
        <v>1</v>
      </c>
      <c r="F638" s="12" t="n">
        <v>0.8799</v>
      </c>
      <c r="G638" s="12" t="n">
        <v>0.64</v>
      </c>
      <c r="H638" s="12" t="n">
        <v>0.4762</v>
      </c>
      <c r="I638" s="12" t="n">
        <v>0.6662</v>
      </c>
      <c r="J638" s="12" t="n">
        <v>0.3617</v>
      </c>
      <c r="K638" s="12" t="n">
        <v>0.5491</v>
      </c>
      <c r="L638" s="3" t="n">
        <v>4.53</v>
      </c>
      <c r="M638" s="12" t="n">
        <f aca="false">Z638-W638</f>
        <v>0.0520010000000001</v>
      </c>
      <c r="N638" s="12" t="n">
        <f aca="false">IFERROR((Z638-J638)/L638,"")</f>
        <v>0.0413688741721854</v>
      </c>
      <c r="O638" s="3" t="n">
        <v>19</v>
      </c>
      <c r="P638" s="13" t="b">
        <f aca="false">FALSE()</f>
        <v>0</v>
      </c>
      <c r="Q638" s="3" t="s">
        <v>201</v>
      </c>
      <c r="R638" s="12" t="n">
        <v>0.6482</v>
      </c>
      <c r="S638" s="12" t="n">
        <v>0.7452</v>
      </c>
      <c r="T638" s="3" t="n">
        <v>0.3156</v>
      </c>
      <c r="U638" s="12" t="n">
        <v>0.2267</v>
      </c>
      <c r="V638" s="12" t="n">
        <v>0.4579</v>
      </c>
      <c r="W638" s="12" t="n">
        <v>0.4971</v>
      </c>
      <c r="X638" s="3" t="n">
        <v>0.5129</v>
      </c>
      <c r="Y638" s="3" t="n">
        <v>0.6003</v>
      </c>
      <c r="Z638" s="14" t="n">
        <f aca="false">Assumptions!$B$3*R638+Assumptions!$B$4*S638+IF(AA638=1,Assumptions!$B$11,Assumptions!$B$5)*X638+IF(AA638=1,Assumptions!$B$12,Assumptions!$B$6)*T638+Assumptions!$B$7*U638+Assumptions!$B$8*V638+Assumptions!$B$9*Y638</f>
        <v>0.549101</v>
      </c>
      <c r="AA638" s="3" t="n">
        <v>1</v>
      </c>
    </row>
    <row r="639" customFormat="false" ht="15" hidden="false" customHeight="false" outlineLevel="0" collapsed="false">
      <c r="A639" s="3" t="s">
        <v>824</v>
      </c>
      <c r="B639" s="3" t="n">
        <v>621</v>
      </c>
      <c r="C639" s="11" t="str">
        <f aca="false">IF(M639&gt;=Assumptions!$B$17,"S+",IF(M639&gt;=Assumptions!$B$18,"S",IF(M639&gt;=Assumptions!$B$19,"A",IF(M639&gt;=Assumptions!$B$20,"B",IF(M639&gt;=Assumptions!$B$21,"C",IF(M639&gt;=Assumptions!$B$22,"D","F"))))))</f>
        <v>D</v>
      </c>
      <c r="D639" s="3" t="s">
        <v>253</v>
      </c>
      <c r="E639" s="3" t="n">
        <v>5</v>
      </c>
      <c r="F639" s="12" t="n">
        <v>0.9742</v>
      </c>
      <c r="G639" s="12" t="n">
        <v>0.4</v>
      </c>
      <c r="H639" s="12" t="n">
        <v>0.75</v>
      </c>
      <c r="I639" s="12" t="n">
        <v>0.6537</v>
      </c>
      <c r="J639" s="12" t="n">
        <v>0.4297</v>
      </c>
      <c r="K639" s="12" t="n">
        <v>0.5795</v>
      </c>
      <c r="L639" s="3" t="n">
        <v>4</v>
      </c>
      <c r="M639" s="12" t="n">
        <f aca="false">Z639-W639</f>
        <v>0.051542</v>
      </c>
      <c r="N639" s="12" t="n">
        <f aca="false">IFERROR((Z639-J639)/L639,"")</f>
        <v>0.0374355</v>
      </c>
      <c r="O639" s="3" t="n">
        <v>15</v>
      </c>
      <c r="P639" s="13" t="b">
        <f aca="false">FALSE()</f>
        <v>0</v>
      </c>
      <c r="Q639" s="3" t="s">
        <v>166</v>
      </c>
      <c r="R639" s="12" t="n">
        <v>0.8925</v>
      </c>
      <c r="S639" s="12" t="n">
        <v>0.536</v>
      </c>
      <c r="T639" s="3" t="n">
        <v>0.4994</v>
      </c>
      <c r="U639" s="12" t="n">
        <v>0.2821</v>
      </c>
      <c r="V639" s="12" t="n">
        <v>0.479</v>
      </c>
      <c r="W639" s="12" t="n">
        <v>0.5279</v>
      </c>
      <c r="X639" s="3" t="n">
        <v>0.3839</v>
      </c>
      <c r="Y639" s="3" t="n">
        <v>0.6474</v>
      </c>
      <c r="Z639" s="14" t="n">
        <f aca="false">Assumptions!$B$3*R639+Assumptions!$B$4*S639+IF(AA639=1,Assumptions!$B$11,Assumptions!$B$5)*X639+IF(AA639=1,Assumptions!$B$12,Assumptions!$B$6)*T639+Assumptions!$B$7*U639+Assumptions!$B$8*V639+Assumptions!$B$9*Y639</f>
        <v>0.579442</v>
      </c>
      <c r="AA639" s="3" t="n">
        <v>0</v>
      </c>
    </row>
    <row r="640" customFormat="false" ht="15" hidden="false" customHeight="false" outlineLevel="0" collapsed="false">
      <c r="A640" s="3" t="s">
        <v>825</v>
      </c>
      <c r="B640" s="3" t="n">
        <v>443</v>
      </c>
      <c r="C640" s="11" t="str">
        <f aca="false">IF(M640&gt;=Assumptions!$B$17,"S+",IF(M640&gt;=Assumptions!$B$18,"S",IF(M640&gt;=Assumptions!$B$19,"A",IF(M640&gt;=Assumptions!$B$20,"B",IF(M640&gt;=Assumptions!$B$21,"C",IF(M640&gt;=Assumptions!$B$22,"D","F"))))))</f>
        <v>D</v>
      </c>
      <c r="D640" s="3" t="s">
        <v>197</v>
      </c>
      <c r="E640" s="3" t="n">
        <v>2</v>
      </c>
      <c r="F640" s="12" t="n">
        <v>0.8125</v>
      </c>
      <c r="G640" s="12" t="n">
        <v>0.4</v>
      </c>
      <c r="H640" s="12" t="n">
        <v>0.75</v>
      </c>
      <c r="I640" s="12" t="n">
        <v>0.6267</v>
      </c>
      <c r="J640" s="12" t="n">
        <v>0.311</v>
      </c>
      <c r="K640" s="12" t="n">
        <v>0.5199</v>
      </c>
      <c r="L640" s="3" t="n">
        <v>3.69</v>
      </c>
      <c r="M640" s="12" t="n">
        <f aca="false">Z640-W640</f>
        <v>0.0505130000000001</v>
      </c>
      <c r="N640" s="12" t="n">
        <f aca="false">IFERROR((Z640-J640)/L640,"")</f>
        <v>0.0566159891598916</v>
      </c>
      <c r="O640" s="3" t="n">
        <v>18</v>
      </c>
      <c r="P640" s="13" t="b">
        <f aca="false">FALSE()</f>
        <v>0</v>
      </c>
      <c r="Q640" s="3" t="s">
        <v>166</v>
      </c>
      <c r="R640" s="12" t="n">
        <v>0.6526</v>
      </c>
      <c r="S640" s="12" t="n">
        <v>0.4408</v>
      </c>
      <c r="T640" s="3" t="n">
        <v>0.5122</v>
      </c>
      <c r="U640" s="12" t="n">
        <v>0.4316</v>
      </c>
      <c r="V640" s="12" t="n">
        <v>0.4651</v>
      </c>
      <c r="W640" s="12" t="n">
        <v>0.4694</v>
      </c>
      <c r="X640" s="3" t="n">
        <v>0.4712</v>
      </c>
      <c r="Y640" s="3" t="n">
        <v>0.5622</v>
      </c>
      <c r="Z640" s="14" t="n">
        <f aca="false">Assumptions!$B$3*R640+Assumptions!$B$4*S640+IF(AA640=1,Assumptions!$B$11,Assumptions!$B$5)*X640+IF(AA640=1,Assumptions!$B$12,Assumptions!$B$6)*T640+Assumptions!$B$7*U640+Assumptions!$B$8*V640+Assumptions!$B$9*Y640</f>
        <v>0.519913</v>
      </c>
      <c r="AA640" s="3" t="n">
        <v>1</v>
      </c>
    </row>
    <row r="641" customFormat="false" ht="15" hidden="false" customHeight="false" outlineLevel="0" collapsed="false">
      <c r="A641" s="3" t="s">
        <v>826</v>
      </c>
      <c r="B641" s="3" t="n">
        <v>305</v>
      </c>
      <c r="C641" s="11" t="str">
        <f aca="false">IF(M641&gt;=Assumptions!$B$17,"S+",IF(M641&gt;=Assumptions!$B$18,"S",IF(M641&gt;=Assumptions!$B$19,"A",IF(M641&gt;=Assumptions!$B$20,"B",IF(M641&gt;=Assumptions!$B$21,"C",IF(M641&gt;=Assumptions!$B$22,"D","F"))))))</f>
        <v>D</v>
      </c>
      <c r="D641" s="3" t="s">
        <v>186</v>
      </c>
      <c r="E641" s="3" t="n">
        <v>1</v>
      </c>
      <c r="F641" s="12" t="n">
        <v>0.5691</v>
      </c>
      <c r="G641" s="12" t="n">
        <v>0.6</v>
      </c>
      <c r="H641" s="12" t="n">
        <v>0.75</v>
      </c>
      <c r="I641" s="12" t="n">
        <v>0.6244</v>
      </c>
      <c r="J641" s="12" t="n">
        <v>0.2569</v>
      </c>
      <c r="K641" s="12" t="n">
        <v>0.5095</v>
      </c>
      <c r="L641" s="3" t="n">
        <v>5.45</v>
      </c>
      <c r="M641" s="12" t="n">
        <f aca="false">Z641-W641</f>
        <v>0.050308</v>
      </c>
      <c r="N641" s="12" t="n">
        <f aca="false">IFERROR((Z641-J641)/L641,"")</f>
        <v>0.0463500917431193</v>
      </c>
      <c r="O641" s="3" t="n">
        <v>19</v>
      </c>
      <c r="P641" s="13" t="b">
        <f aca="false">FALSE()</f>
        <v>0</v>
      </c>
      <c r="Q641" s="3" t="s">
        <v>166</v>
      </c>
      <c r="R641" s="12" t="n">
        <v>0.6686</v>
      </c>
      <c r="S641" s="12" t="n">
        <v>0.4253</v>
      </c>
      <c r="T641" s="3" t="n">
        <v>0.1075</v>
      </c>
      <c r="U641" s="12" t="n">
        <v>0.4939</v>
      </c>
      <c r="V641" s="12" t="n">
        <v>0.4905</v>
      </c>
      <c r="W641" s="12" t="n">
        <v>0.4592</v>
      </c>
      <c r="X641" s="3" t="n">
        <v>0.4483</v>
      </c>
      <c r="Y641" s="3" t="n">
        <v>0.5664</v>
      </c>
      <c r="Z641" s="14" t="n">
        <f aca="false">Assumptions!$B$3*R641+Assumptions!$B$4*S641+IF(AA641=1,Assumptions!$B$11,Assumptions!$B$5)*X641+IF(AA641=1,Assumptions!$B$12,Assumptions!$B$6)*T641+Assumptions!$B$7*U641+Assumptions!$B$8*V641+Assumptions!$B$9*Y641</f>
        <v>0.509508</v>
      </c>
      <c r="AA641" s="3" t="n">
        <v>1</v>
      </c>
    </row>
    <row r="642" customFormat="false" ht="15" hidden="false" customHeight="false" outlineLevel="0" collapsed="false">
      <c r="A642" s="3" t="s">
        <v>827</v>
      </c>
      <c r="B642" s="3" t="n">
        <v>455</v>
      </c>
      <c r="C642" s="11" t="str">
        <f aca="false">IF(M642&gt;=Assumptions!$B$17,"S+",IF(M642&gt;=Assumptions!$B$18,"S",IF(M642&gt;=Assumptions!$B$19,"A",IF(M642&gt;=Assumptions!$B$20,"B",IF(M642&gt;=Assumptions!$B$21,"C",IF(M642&gt;=Assumptions!$B$22,"D","F"))))))</f>
        <v>D</v>
      </c>
      <c r="D642" s="3" t="s">
        <v>169</v>
      </c>
      <c r="E642" s="3" t="n">
        <v>3</v>
      </c>
      <c r="F642" s="12" t="n">
        <v>0.5101</v>
      </c>
      <c r="G642" s="12" t="n">
        <v>0.6</v>
      </c>
      <c r="H642" s="12" t="n">
        <v>0.5099</v>
      </c>
      <c r="I642" s="12" t="n">
        <v>0.564</v>
      </c>
      <c r="J642" s="12" t="n">
        <v>0.3092</v>
      </c>
      <c r="K642" s="12" t="n">
        <v>0.4936</v>
      </c>
      <c r="L642" s="3" t="n">
        <v>3.82</v>
      </c>
      <c r="M642" s="12" t="n">
        <f aca="false">Z642-W642</f>
        <v>0.0503710000000001</v>
      </c>
      <c r="N642" s="12" t="n">
        <f aca="false">IFERROR((Z642-J642)/L642,"")</f>
        <v>0.0482646596858639</v>
      </c>
      <c r="O642" s="3" t="n">
        <v>17</v>
      </c>
      <c r="P642" s="13" t="b">
        <f aca="false">FALSE()</f>
        <v>0</v>
      </c>
      <c r="Q642" s="3" t="s">
        <v>166</v>
      </c>
      <c r="R642" s="12" t="n">
        <v>0.6362</v>
      </c>
      <c r="S642" s="12" t="n">
        <v>0.5391</v>
      </c>
      <c r="T642" s="3" t="n">
        <v>0.4218</v>
      </c>
      <c r="U642" s="12" t="n">
        <v>0.4796</v>
      </c>
      <c r="V642" s="12" t="n">
        <v>0.516</v>
      </c>
      <c r="W642" s="12" t="n">
        <v>0.4432</v>
      </c>
      <c r="X642" s="3" t="n">
        <v>0.3033</v>
      </c>
      <c r="Y642" s="3" t="n">
        <v>0.5291</v>
      </c>
      <c r="Z642" s="14" t="n">
        <f aca="false">Assumptions!$B$3*R642+Assumptions!$B$4*S642+IF(AA642=1,Assumptions!$B$11,Assumptions!$B$5)*X642+IF(AA642=1,Assumptions!$B$12,Assumptions!$B$6)*T642+Assumptions!$B$7*U642+Assumptions!$B$8*V642+Assumptions!$B$9*Y642</f>
        <v>0.493571</v>
      </c>
      <c r="AA642" s="3" t="n">
        <v>1</v>
      </c>
    </row>
    <row r="643" customFormat="false" ht="15" hidden="false" customHeight="false" outlineLevel="0" collapsed="false">
      <c r="A643" s="3" t="s">
        <v>828</v>
      </c>
      <c r="B643" s="3" t="n">
        <v>525</v>
      </c>
      <c r="C643" s="11" t="str">
        <f aca="false">IF(M643&gt;=Assumptions!$B$17,"S+",IF(M643&gt;=Assumptions!$B$18,"S",IF(M643&gt;=Assumptions!$B$19,"A",IF(M643&gt;=Assumptions!$B$20,"B",IF(M643&gt;=Assumptions!$B$21,"C",IF(M643&gt;=Assumptions!$B$22,"D","F"))))))</f>
        <v>D</v>
      </c>
      <c r="D643" s="3" t="s">
        <v>218</v>
      </c>
      <c r="E643" s="3" t="n">
        <v>1</v>
      </c>
      <c r="F643" s="12" t="n">
        <v>0.6984</v>
      </c>
      <c r="G643" s="12" t="n">
        <v>0.6</v>
      </c>
      <c r="H643" s="12" t="n">
        <v>0.75</v>
      </c>
      <c r="I643" s="12" t="n">
        <v>0.6615</v>
      </c>
      <c r="J643" s="12" t="n">
        <v>0.4049</v>
      </c>
      <c r="K643" s="12" t="n">
        <v>0.566</v>
      </c>
      <c r="L643" s="3" t="n">
        <v>3.61</v>
      </c>
      <c r="M643" s="12" t="n">
        <f aca="false">Z643-W643</f>
        <v>0.050208</v>
      </c>
      <c r="N643" s="12" t="n">
        <f aca="false">IFERROR((Z643-J643)/L643,"")</f>
        <v>0.0446282548476455</v>
      </c>
      <c r="O643" s="3" t="n">
        <v>19</v>
      </c>
      <c r="P643" s="13" t="b">
        <f aca="false">FALSE()</f>
        <v>0</v>
      </c>
      <c r="Q643" s="3" t="s">
        <v>201</v>
      </c>
      <c r="R643" s="12" t="n">
        <v>0.7532</v>
      </c>
      <c r="S643" s="12" t="n">
        <v>0.7504</v>
      </c>
      <c r="T643" s="3" t="n">
        <v>0.2046</v>
      </c>
      <c r="U643" s="12" t="n">
        <v>0.4008</v>
      </c>
      <c r="V643" s="12" t="n">
        <v>0.5602</v>
      </c>
      <c r="W643" s="12" t="n">
        <v>0.5158</v>
      </c>
      <c r="X643" s="3" t="n">
        <v>0.4527</v>
      </c>
      <c r="Y643" s="3" t="n">
        <v>0.5893</v>
      </c>
      <c r="Z643" s="14" t="n">
        <f aca="false">Assumptions!$B$3*R643+Assumptions!$B$4*S643+IF(AA643=1,Assumptions!$B$11,Assumptions!$B$5)*X643+IF(AA643=1,Assumptions!$B$12,Assumptions!$B$6)*T643+Assumptions!$B$7*U643+Assumptions!$B$8*V643+Assumptions!$B$9*Y643</f>
        <v>0.566008</v>
      </c>
      <c r="AA643" s="3" t="n">
        <v>0</v>
      </c>
    </row>
    <row r="644" customFormat="false" ht="15" hidden="false" customHeight="false" outlineLevel="0" collapsed="false">
      <c r="A644" s="3" t="s">
        <v>829</v>
      </c>
      <c r="B644" s="3" t="n">
        <v>405</v>
      </c>
      <c r="C644" s="11" t="str">
        <f aca="false">IF(M644&gt;=Assumptions!$B$17,"S+",IF(M644&gt;=Assumptions!$B$18,"S",IF(M644&gt;=Assumptions!$B$19,"A",IF(M644&gt;=Assumptions!$B$20,"B",IF(M644&gt;=Assumptions!$B$21,"C",IF(M644&gt;=Assumptions!$B$22,"D","F"))))))</f>
        <v>D</v>
      </c>
      <c r="D644" s="3" t="s">
        <v>218</v>
      </c>
      <c r="E644" s="3" t="n">
        <v>4</v>
      </c>
      <c r="F644" s="12" t="n">
        <v>0.825</v>
      </c>
      <c r="G644" s="12" t="n">
        <v>1</v>
      </c>
      <c r="H644" s="12" t="n">
        <v>0.75</v>
      </c>
      <c r="I644" s="12" t="n">
        <v>0.894</v>
      </c>
      <c r="J644" s="12" t="n">
        <v>0.3361</v>
      </c>
      <c r="K644" s="12" t="n">
        <v>0.5688</v>
      </c>
      <c r="L644" s="3" t="n">
        <v>3.88</v>
      </c>
      <c r="M644" s="12" t="n">
        <f aca="false">Z644-W644</f>
        <v>0.049966</v>
      </c>
      <c r="N644" s="12" t="n">
        <f aca="false">IFERROR((Z644-J644)/L644,"")</f>
        <v>0.0599654639175258</v>
      </c>
      <c r="O644" s="3" t="n">
        <v>16</v>
      </c>
      <c r="P644" s="13" t="b">
        <f aca="false">FALSE()</f>
        <v>0</v>
      </c>
      <c r="Q644" s="3" t="s">
        <v>166</v>
      </c>
      <c r="R644" s="12" t="n">
        <v>0.7404</v>
      </c>
      <c r="S644" s="12" t="n">
        <v>0.4992</v>
      </c>
      <c r="T644" s="3" t="n">
        <v>0.119</v>
      </c>
      <c r="U644" s="12" t="n">
        <v>0.4519</v>
      </c>
      <c r="V644" s="12" t="n">
        <v>0.4616</v>
      </c>
      <c r="W644" s="12" t="n">
        <v>0.5188</v>
      </c>
      <c r="X644" s="3" t="n">
        <v>0.6776</v>
      </c>
      <c r="Y644" s="3" t="n">
        <v>0.8272</v>
      </c>
      <c r="Z644" s="14" t="n">
        <f aca="false">Assumptions!$B$3*R644+Assumptions!$B$4*S644+IF(AA644=1,Assumptions!$B$11,Assumptions!$B$5)*X644+IF(AA644=1,Assumptions!$B$12,Assumptions!$B$6)*T644+Assumptions!$B$7*U644+Assumptions!$B$8*V644+Assumptions!$B$9*Y644</f>
        <v>0.568766</v>
      </c>
      <c r="AA644" s="3" t="n">
        <v>0</v>
      </c>
    </row>
    <row r="645" customFormat="false" ht="15" hidden="false" customHeight="false" outlineLevel="0" collapsed="false">
      <c r="A645" s="3" t="s">
        <v>830</v>
      </c>
      <c r="B645" s="3" t="n">
        <v>462</v>
      </c>
      <c r="C645" s="11" t="str">
        <f aca="false">IF(M645&gt;=Assumptions!$B$17,"S+",IF(M645&gt;=Assumptions!$B$18,"S",IF(M645&gt;=Assumptions!$B$19,"A",IF(M645&gt;=Assumptions!$B$20,"B",IF(M645&gt;=Assumptions!$B$21,"C",IF(M645&gt;=Assumptions!$B$22,"D","F"))))))</f>
        <v>D</v>
      </c>
      <c r="D645" s="3" t="s">
        <v>253</v>
      </c>
      <c r="E645" s="3" t="n">
        <v>2</v>
      </c>
      <c r="F645" s="12" t="n">
        <v>0.6396</v>
      </c>
      <c r="G645" s="12" t="n">
        <v>0.8</v>
      </c>
      <c r="H645" s="12" t="n">
        <v>0.75</v>
      </c>
      <c r="I645" s="12" t="n">
        <v>0.7387</v>
      </c>
      <c r="J645" s="12" t="n">
        <v>0.4624</v>
      </c>
      <c r="K645" s="12" t="n">
        <v>0.5748</v>
      </c>
      <c r="L645" s="3" t="n">
        <v>3.67</v>
      </c>
      <c r="M645" s="12" t="n">
        <f aca="false">Z645-W645</f>
        <v>0.0497160000000001</v>
      </c>
      <c r="N645" s="12" t="n">
        <f aca="false">IFERROR((Z645-J645)/L645,"")</f>
        <v>0.0306310626702998</v>
      </c>
      <c r="O645" s="3" t="n">
        <v>18</v>
      </c>
      <c r="P645" s="13" t="b">
        <f aca="false">FALSE()</f>
        <v>0</v>
      </c>
      <c r="Q645" s="3" t="s">
        <v>166</v>
      </c>
      <c r="R645" s="12" t="n">
        <v>0.6639</v>
      </c>
      <c r="S645" s="12" t="n">
        <v>0.6598</v>
      </c>
      <c r="T645" s="3" t="n">
        <v>0.3007</v>
      </c>
      <c r="U645" s="12" t="n">
        <v>0.3932</v>
      </c>
      <c r="V645" s="12" t="n">
        <v>0.4848</v>
      </c>
      <c r="W645" s="12" t="n">
        <v>0.5251</v>
      </c>
      <c r="X645" s="3" t="n">
        <v>0.646</v>
      </c>
      <c r="Y645" s="3" t="n">
        <v>0.7114</v>
      </c>
      <c r="Z645" s="14" t="n">
        <f aca="false">Assumptions!$B$3*R645+Assumptions!$B$4*S645+IF(AA645=1,Assumptions!$B$11,Assumptions!$B$5)*X645+IF(AA645=1,Assumptions!$B$12,Assumptions!$B$6)*T645+Assumptions!$B$7*U645+Assumptions!$B$8*V645+Assumptions!$B$9*Y645</f>
        <v>0.574816</v>
      </c>
      <c r="AA645" s="3" t="n">
        <v>0</v>
      </c>
    </row>
    <row r="646" customFormat="false" ht="15" hidden="false" customHeight="false" outlineLevel="0" collapsed="false">
      <c r="A646" s="3" t="s">
        <v>831</v>
      </c>
      <c r="B646" s="3" t="n">
        <v>520</v>
      </c>
      <c r="C646" s="11" t="str">
        <f aca="false">IF(M646&gt;=Assumptions!$B$17,"S+",IF(M646&gt;=Assumptions!$B$18,"S",IF(M646&gt;=Assumptions!$B$19,"A",IF(M646&gt;=Assumptions!$B$20,"B",IF(M646&gt;=Assumptions!$B$21,"C",IF(M646&gt;=Assumptions!$B$22,"D","F"))))))</f>
        <v>D</v>
      </c>
      <c r="D646" s="3" t="s">
        <v>190</v>
      </c>
      <c r="E646" s="3" t="n">
        <v>3</v>
      </c>
      <c r="F646" s="12" t="n">
        <v>0.8372</v>
      </c>
      <c r="G646" s="12" t="n">
        <v>0.4</v>
      </c>
      <c r="H646" s="12" t="n">
        <v>0.75</v>
      </c>
      <c r="I646" s="12" t="n">
        <v>0.6361</v>
      </c>
      <c r="J646" s="12" t="n">
        <v>0.4033</v>
      </c>
      <c r="K646" s="12" t="n">
        <v>0.5353</v>
      </c>
      <c r="L646" s="3" t="n">
        <v>5.79</v>
      </c>
      <c r="M646" s="12" t="n">
        <f aca="false">Z646-W646</f>
        <v>0.0495060000000001</v>
      </c>
      <c r="N646" s="12" t="n">
        <f aca="false">IFERROR((Z646-J646)/L646,"")</f>
        <v>0.02279896373057</v>
      </c>
      <c r="O646" s="3" t="n">
        <v>17</v>
      </c>
      <c r="P646" s="13" t="b">
        <f aca="false">FALSE()</f>
        <v>0</v>
      </c>
      <c r="Q646" s="3" t="s">
        <v>166</v>
      </c>
      <c r="R646" s="12" t="n">
        <v>0.833</v>
      </c>
      <c r="S646" s="12" t="n">
        <v>0.5082</v>
      </c>
      <c r="T646" s="3" t="n">
        <v>0.4881</v>
      </c>
      <c r="U646" s="12" t="n">
        <v>0.2579</v>
      </c>
      <c r="V646" s="12" t="n">
        <v>0.4558</v>
      </c>
      <c r="W646" s="12" t="n">
        <v>0.4858</v>
      </c>
      <c r="X646" s="3" t="n">
        <v>0.2846</v>
      </c>
      <c r="Y646" s="3" t="n">
        <v>0.6246</v>
      </c>
      <c r="Z646" s="14" t="n">
        <f aca="false">Assumptions!$B$3*R646+Assumptions!$B$4*S646+IF(AA646=1,Assumptions!$B$11,Assumptions!$B$5)*X646+IF(AA646=1,Assumptions!$B$12,Assumptions!$B$6)*T646+Assumptions!$B$7*U646+Assumptions!$B$8*V646+Assumptions!$B$9*Y646</f>
        <v>0.535306</v>
      </c>
      <c r="AA646" s="3" t="n">
        <v>0</v>
      </c>
    </row>
    <row r="647" customFormat="false" ht="15" hidden="false" customHeight="false" outlineLevel="0" collapsed="false">
      <c r="A647" s="3" t="s">
        <v>832</v>
      </c>
      <c r="B647" s="3" t="n">
        <v>495</v>
      </c>
      <c r="C647" s="11" t="str">
        <f aca="false">IF(M647&gt;=Assumptions!$B$17,"S+",IF(M647&gt;=Assumptions!$B$18,"S",IF(M647&gt;=Assumptions!$B$19,"A",IF(M647&gt;=Assumptions!$B$20,"B",IF(M647&gt;=Assumptions!$B$21,"C",IF(M647&gt;=Assumptions!$B$22,"D","F"))))))</f>
        <v>D</v>
      </c>
      <c r="D647" s="3" t="s">
        <v>218</v>
      </c>
      <c r="E647" s="3" t="n">
        <v>4</v>
      </c>
      <c r="F647" s="12" t="n">
        <v>0.8927</v>
      </c>
      <c r="G647" s="12" t="n">
        <v>0.8</v>
      </c>
      <c r="H647" s="12" t="n">
        <v>0.75</v>
      </c>
      <c r="I647" s="12" t="n">
        <v>0.8197</v>
      </c>
      <c r="J647" s="12" t="n">
        <v>0.4086</v>
      </c>
      <c r="K647" s="12" t="n">
        <v>0.562</v>
      </c>
      <c r="L647" s="3" t="n">
        <v>4.94</v>
      </c>
      <c r="M647" s="12" t="n">
        <f aca="false">Z647-W647</f>
        <v>0.0493460000000001</v>
      </c>
      <c r="N647" s="12" t="n">
        <f aca="false">IFERROR((Z647-J647)/L647,"")</f>
        <v>0.0310417004048583</v>
      </c>
      <c r="O647" s="3" t="n">
        <v>16</v>
      </c>
      <c r="P647" s="13" t="b">
        <f aca="false">FALSE()</f>
        <v>0</v>
      </c>
      <c r="Q647" s="3" t="s">
        <v>166</v>
      </c>
      <c r="R647" s="12" t="n">
        <v>0.7921</v>
      </c>
      <c r="S647" s="12" t="n">
        <v>0.5982</v>
      </c>
      <c r="T647" s="3" t="n">
        <v>0.18</v>
      </c>
      <c r="U647" s="12" t="n">
        <v>0.3413</v>
      </c>
      <c r="V647" s="12" t="n">
        <v>0.491</v>
      </c>
      <c r="W647" s="12" t="n">
        <v>0.5126</v>
      </c>
      <c r="X647" s="3" t="n">
        <v>0.4865</v>
      </c>
      <c r="Y647" s="3" t="n">
        <v>0.7869</v>
      </c>
      <c r="Z647" s="14" t="n">
        <f aca="false">Assumptions!$B$3*R647+Assumptions!$B$4*S647+IF(AA647=1,Assumptions!$B$11,Assumptions!$B$5)*X647+IF(AA647=1,Assumptions!$B$12,Assumptions!$B$6)*T647+Assumptions!$B$7*U647+Assumptions!$B$8*V647+Assumptions!$B$9*Y647</f>
        <v>0.561946</v>
      </c>
      <c r="AA647" s="3" t="n">
        <v>0</v>
      </c>
    </row>
    <row r="648" customFormat="false" ht="15" hidden="false" customHeight="false" outlineLevel="0" collapsed="false">
      <c r="A648" s="3" t="s">
        <v>833</v>
      </c>
      <c r="B648" s="3" t="n">
        <v>487</v>
      </c>
      <c r="C648" s="11" t="str">
        <f aca="false">IF(M648&gt;=Assumptions!$B$17,"S+",IF(M648&gt;=Assumptions!$B$18,"S",IF(M648&gt;=Assumptions!$B$19,"A",IF(M648&gt;=Assumptions!$B$20,"B",IF(M648&gt;=Assumptions!$B$21,"C",IF(M648&gt;=Assumptions!$B$22,"D","F"))))))</f>
        <v>D</v>
      </c>
      <c r="D648" s="3" t="s">
        <v>190</v>
      </c>
      <c r="E648" s="3" t="n">
        <v>3</v>
      </c>
      <c r="F648" s="12" t="n">
        <v>0.927</v>
      </c>
      <c r="G648" s="12" t="n">
        <v>1</v>
      </c>
      <c r="H648" s="12" t="n">
        <v>0.75</v>
      </c>
      <c r="I648" s="12" t="n">
        <v>0.9222</v>
      </c>
      <c r="J648" s="12" t="n">
        <v>0.4198</v>
      </c>
      <c r="K648" s="12" t="n">
        <v>0.5415</v>
      </c>
      <c r="L648" s="3" t="n">
        <v>4.94</v>
      </c>
      <c r="M648" s="12" t="n">
        <f aca="false">Z648-W648</f>
        <v>0.049075</v>
      </c>
      <c r="N648" s="12" t="n">
        <f aca="false">IFERROR((Z648-J648)/L648,"")</f>
        <v>0.0246305668016194</v>
      </c>
      <c r="O648" s="3" t="n">
        <v>17</v>
      </c>
      <c r="P648" s="13" t="b">
        <f aca="false">FALSE()</f>
        <v>0</v>
      </c>
      <c r="Q648" s="3" t="s">
        <v>166</v>
      </c>
      <c r="R648" s="12" t="n">
        <v>0.8431</v>
      </c>
      <c r="S648" s="12" t="n">
        <v>0.3168</v>
      </c>
      <c r="T648" s="3" t="n">
        <v>0.6092</v>
      </c>
      <c r="U648" s="12" t="n">
        <v>0.4072</v>
      </c>
      <c r="V648" s="12" t="n">
        <v>0.3849</v>
      </c>
      <c r="W648" s="12" t="n">
        <v>0.4924</v>
      </c>
      <c r="X648" s="3" t="n">
        <v>0.1806</v>
      </c>
      <c r="Y648" s="3" t="n">
        <v>0.8969</v>
      </c>
      <c r="Z648" s="14" t="n">
        <f aca="false">Assumptions!$B$3*R648+Assumptions!$B$4*S648+IF(AA648=1,Assumptions!$B$11,Assumptions!$B$5)*X648+IF(AA648=1,Assumptions!$B$12,Assumptions!$B$6)*T648+Assumptions!$B$7*U648+Assumptions!$B$8*V648+Assumptions!$B$9*Y648</f>
        <v>0.541475</v>
      </c>
      <c r="AA648" s="3" t="n">
        <v>0</v>
      </c>
    </row>
    <row r="649" customFormat="false" ht="15" hidden="false" customHeight="false" outlineLevel="0" collapsed="false">
      <c r="A649" s="3" t="s">
        <v>834</v>
      </c>
      <c r="B649" s="3" t="n">
        <v>488</v>
      </c>
      <c r="C649" s="11" t="str">
        <f aca="false">IF(M649&gt;=Assumptions!$B$17,"S+",IF(M649&gt;=Assumptions!$B$18,"S",IF(M649&gt;=Assumptions!$B$19,"A",IF(M649&gt;=Assumptions!$B$20,"B",IF(M649&gt;=Assumptions!$B$21,"C",IF(M649&gt;=Assumptions!$B$22,"D","F"))))))</f>
        <v>D</v>
      </c>
      <c r="D649" s="3" t="s">
        <v>218</v>
      </c>
      <c r="E649" s="3" t="n">
        <v>4</v>
      </c>
      <c r="F649" s="12" t="n">
        <v>0.7526</v>
      </c>
      <c r="G649" s="12" t="n">
        <v>0.4</v>
      </c>
      <c r="H649" s="12" t="n">
        <v>0.75</v>
      </c>
      <c r="I649" s="12" t="n">
        <v>0.5828</v>
      </c>
      <c r="J649" s="12" t="n">
        <v>0.4367</v>
      </c>
      <c r="K649" s="12" t="n">
        <v>0.562</v>
      </c>
      <c r="L649" s="3" t="n">
        <v>3.88</v>
      </c>
      <c r="M649" s="12" t="n">
        <f aca="false">Z649-W649</f>
        <v>0.048888</v>
      </c>
      <c r="N649" s="12" t="n">
        <f aca="false">IFERROR((Z649-J649)/L649,"")</f>
        <v>0.0322907216494846</v>
      </c>
      <c r="O649" s="3" t="n">
        <v>16</v>
      </c>
      <c r="P649" s="13" t="b">
        <f aca="false">FALSE()</f>
        <v>0</v>
      </c>
      <c r="Q649" s="3" t="s">
        <v>166</v>
      </c>
      <c r="R649" s="12" t="n">
        <v>0.7488</v>
      </c>
      <c r="S649" s="12" t="n">
        <v>0.6416</v>
      </c>
      <c r="T649" s="3" t="n">
        <v>0.281</v>
      </c>
      <c r="U649" s="12" t="n">
        <v>0.3558</v>
      </c>
      <c r="V649" s="12" t="n">
        <v>0.5476</v>
      </c>
      <c r="W649" s="12" t="n">
        <v>0.5131</v>
      </c>
      <c r="X649" s="3" t="n">
        <v>0.5249</v>
      </c>
      <c r="Y649" s="3" t="n">
        <v>0.5754</v>
      </c>
      <c r="Z649" s="14" t="n">
        <f aca="false">Assumptions!$B$3*R649+Assumptions!$B$4*S649+IF(AA649=1,Assumptions!$B$11,Assumptions!$B$5)*X649+IF(AA649=1,Assumptions!$B$12,Assumptions!$B$6)*T649+Assumptions!$B$7*U649+Assumptions!$B$8*V649+Assumptions!$B$9*Y649</f>
        <v>0.561988</v>
      </c>
      <c r="AA649" s="3" t="n">
        <v>0</v>
      </c>
    </row>
    <row r="650" customFormat="false" ht="15" hidden="false" customHeight="false" outlineLevel="0" collapsed="false">
      <c r="A650" s="3" t="s">
        <v>835</v>
      </c>
      <c r="B650" s="3" t="n">
        <v>480</v>
      </c>
      <c r="C650" s="11" t="str">
        <f aca="false">IF(M650&gt;=Assumptions!$B$17,"S+",IF(M650&gt;=Assumptions!$B$18,"S",IF(M650&gt;=Assumptions!$B$19,"A",IF(M650&gt;=Assumptions!$B$20,"B",IF(M650&gt;=Assumptions!$B$21,"C",IF(M650&gt;=Assumptions!$B$22,"D","F"))))))</f>
        <v>D</v>
      </c>
      <c r="D650" s="3" t="s">
        <v>218</v>
      </c>
      <c r="E650" s="3" t="n">
        <v>7</v>
      </c>
      <c r="F650" s="12" t="n">
        <v>0.9785</v>
      </c>
      <c r="G650" s="12" t="n">
        <v>0.8</v>
      </c>
      <c r="H650" s="12" t="n">
        <v>0.75</v>
      </c>
      <c r="I650" s="12" t="n">
        <v>0.8471</v>
      </c>
      <c r="J650" s="12" t="n">
        <v>0.3926</v>
      </c>
      <c r="K650" s="12" t="n">
        <v>0.5589</v>
      </c>
      <c r="L650" s="3" t="n">
        <v>4</v>
      </c>
      <c r="M650" s="12" t="n">
        <f aca="false">Z650-W650</f>
        <v>0.048173</v>
      </c>
      <c r="N650" s="12" t="n">
        <f aca="false">IFERROR((Z650-J650)/L650,"")</f>
        <v>0.04156825</v>
      </c>
      <c r="O650" s="3" t="n">
        <v>13</v>
      </c>
      <c r="P650" s="13" t="b">
        <f aca="false">FALSE()</f>
        <v>0</v>
      </c>
      <c r="Q650" s="3" t="s">
        <v>166</v>
      </c>
      <c r="R650" s="12" t="n">
        <v>0.8838</v>
      </c>
      <c r="S650" s="12" t="n">
        <v>0.4132</v>
      </c>
      <c r="T650" s="3" t="n">
        <v>0.3558</v>
      </c>
      <c r="U650" s="12" t="n">
        <v>0.3373</v>
      </c>
      <c r="V650" s="12" t="n">
        <v>0.4733</v>
      </c>
      <c r="W650" s="12" t="n">
        <v>0.5107</v>
      </c>
      <c r="X650" s="3" t="n">
        <v>0.3361</v>
      </c>
      <c r="Y650" s="3" t="n">
        <v>0.8484</v>
      </c>
      <c r="Z650" s="14" t="n">
        <f aca="false">Assumptions!$B$3*R650+Assumptions!$B$4*S650+IF(AA650=1,Assumptions!$B$11,Assumptions!$B$5)*X650+IF(AA650=1,Assumptions!$B$12,Assumptions!$B$6)*T650+Assumptions!$B$7*U650+Assumptions!$B$8*V650+Assumptions!$B$9*Y650</f>
        <v>0.558873</v>
      </c>
      <c r="AA650" s="3" t="n">
        <v>0</v>
      </c>
    </row>
    <row r="651" customFormat="false" ht="15" hidden="false" customHeight="false" outlineLevel="0" collapsed="false">
      <c r="A651" s="3" t="s">
        <v>836</v>
      </c>
      <c r="B651" s="3" t="n">
        <v>482</v>
      </c>
      <c r="C651" s="11" t="str">
        <f aca="false">IF(M651&gt;=Assumptions!$B$17,"S+",IF(M651&gt;=Assumptions!$B$18,"S",IF(M651&gt;=Assumptions!$B$19,"A",IF(M651&gt;=Assumptions!$B$20,"B",IF(M651&gt;=Assumptions!$B$21,"C",IF(M651&gt;=Assumptions!$B$22,"D","F"))))))</f>
        <v>D</v>
      </c>
      <c r="D651" s="3" t="s">
        <v>218</v>
      </c>
      <c r="E651" s="3" t="n">
        <v>4</v>
      </c>
      <c r="F651" s="12" t="n">
        <v>0.6628</v>
      </c>
      <c r="G651" s="12" t="n">
        <v>0.4</v>
      </c>
      <c r="H651" s="12" t="n">
        <v>0.75</v>
      </c>
      <c r="I651" s="12" t="n">
        <v>0.5541</v>
      </c>
      <c r="J651" s="12" t="n">
        <v>0.3793</v>
      </c>
      <c r="K651" s="12" t="n">
        <v>0.548</v>
      </c>
      <c r="L651" s="3" t="n">
        <v>3.88</v>
      </c>
      <c r="M651" s="12" t="n">
        <f aca="false">Z651-W651</f>
        <v>0.047948</v>
      </c>
      <c r="N651" s="12" t="n">
        <f aca="false">IFERROR((Z651-J651)/L651,"")</f>
        <v>0.0434659793814433</v>
      </c>
      <c r="O651" s="3" t="n">
        <v>16</v>
      </c>
      <c r="P651" s="13" t="b">
        <f aca="false">FALSE()</f>
        <v>0</v>
      </c>
      <c r="Q651" s="3" t="s">
        <v>166</v>
      </c>
      <c r="R651" s="12" t="n">
        <v>0.6915</v>
      </c>
      <c r="S651" s="12" t="n">
        <v>0.5791</v>
      </c>
      <c r="T651" s="3" t="n">
        <v>0.2809</v>
      </c>
      <c r="U651" s="12" t="n">
        <v>0.2548</v>
      </c>
      <c r="V651" s="12" t="n">
        <v>0.4451</v>
      </c>
      <c r="W651" s="12" t="n">
        <v>0.5</v>
      </c>
      <c r="X651" s="3" t="n">
        <v>0.7464</v>
      </c>
      <c r="Y651" s="3" t="n">
        <v>0.5372</v>
      </c>
      <c r="Z651" s="14" t="n">
        <f aca="false">Assumptions!$B$3*R651+Assumptions!$B$4*S651+IF(AA651=1,Assumptions!$B$11,Assumptions!$B$5)*X651+IF(AA651=1,Assumptions!$B$12,Assumptions!$B$6)*T651+Assumptions!$B$7*U651+Assumptions!$B$8*V651+Assumptions!$B$9*Y651</f>
        <v>0.547948</v>
      </c>
      <c r="AA651" s="3" t="n">
        <v>0</v>
      </c>
    </row>
    <row r="652" customFormat="false" ht="15" hidden="false" customHeight="false" outlineLevel="0" collapsed="false">
      <c r="A652" s="3" t="s">
        <v>837</v>
      </c>
      <c r="B652" s="3" t="n">
        <v>325</v>
      </c>
      <c r="C652" s="11" t="str">
        <f aca="false">IF(M652&gt;=Assumptions!$B$17,"S+",IF(M652&gt;=Assumptions!$B$18,"S",IF(M652&gt;=Assumptions!$B$19,"A",IF(M652&gt;=Assumptions!$B$20,"B",IF(M652&gt;=Assumptions!$B$21,"C",IF(M652&gt;=Assumptions!$B$22,"D","F"))))))</f>
        <v>D</v>
      </c>
      <c r="D652" s="3" t="s">
        <v>175</v>
      </c>
      <c r="E652" s="3" t="n">
        <v>1</v>
      </c>
      <c r="F652" s="12" t="n">
        <v>0.5715</v>
      </c>
      <c r="G652" s="12" t="n">
        <v>0.45</v>
      </c>
      <c r="H652" s="12" t="n">
        <v>0.75</v>
      </c>
      <c r="I652" s="12" t="n">
        <v>0.5282</v>
      </c>
      <c r="J652" s="12" t="n">
        <v>0.2884</v>
      </c>
      <c r="K652" s="12" t="n">
        <v>0.4436</v>
      </c>
      <c r="L652" s="3" t="n">
        <v>5.39</v>
      </c>
      <c r="M652" s="12" t="n">
        <f aca="false">Z652-W652</f>
        <v>0.04802</v>
      </c>
      <c r="N652" s="12" t="n">
        <f aca="false">IFERROR((Z652-J652)/L652,"")</f>
        <v>0.0287977736549165</v>
      </c>
      <c r="O652" s="3" t="n">
        <v>19</v>
      </c>
      <c r="P652" s="13" t="b">
        <f aca="false">FALSE()</f>
        <v>0</v>
      </c>
      <c r="Q652" s="3" t="s">
        <v>166</v>
      </c>
      <c r="R652" s="12" t="n">
        <v>0.6091</v>
      </c>
      <c r="S652" s="12" t="n">
        <v>0.4965</v>
      </c>
      <c r="T652" s="3" t="n">
        <v>0.1504</v>
      </c>
      <c r="U652" s="12" t="n">
        <v>0.2915</v>
      </c>
      <c r="V652" s="12" t="n">
        <v>0.4905</v>
      </c>
      <c r="W652" s="12" t="n">
        <v>0.3956</v>
      </c>
      <c r="X652" s="3" t="n">
        <v>0.3541</v>
      </c>
      <c r="Y652" s="3" t="n">
        <v>0.5297</v>
      </c>
      <c r="Z652" s="14" t="n">
        <f aca="false">Assumptions!$B$3*R652+Assumptions!$B$4*S652+IF(AA652=1,Assumptions!$B$11,Assumptions!$B$5)*X652+IF(AA652=1,Assumptions!$B$12,Assumptions!$B$6)*T652+Assumptions!$B$7*U652+Assumptions!$B$8*V652+Assumptions!$B$9*Y652</f>
        <v>0.44362</v>
      </c>
      <c r="AA652" s="3" t="n">
        <v>0</v>
      </c>
    </row>
    <row r="653" customFormat="false" ht="15" hidden="false" customHeight="false" outlineLevel="0" collapsed="false">
      <c r="A653" s="3" t="s">
        <v>838</v>
      </c>
      <c r="B653" s="3" t="n">
        <v>325</v>
      </c>
      <c r="C653" s="11" t="str">
        <f aca="false">IF(M653&gt;=Assumptions!$B$17,"S+",IF(M653&gt;=Assumptions!$B$18,"S",IF(M653&gt;=Assumptions!$B$19,"A",IF(M653&gt;=Assumptions!$B$20,"B",IF(M653&gt;=Assumptions!$B$21,"C",IF(M653&gt;=Assumptions!$B$22,"D","F"))))))</f>
        <v>D</v>
      </c>
      <c r="D653" s="3" t="s">
        <v>175</v>
      </c>
      <c r="E653" s="3" t="n">
        <v>1</v>
      </c>
      <c r="F653" s="12" t="n">
        <v>0.5715</v>
      </c>
      <c r="G653" s="12" t="n">
        <v>0.45</v>
      </c>
      <c r="H653" s="12" t="n">
        <v>0.75</v>
      </c>
      <c r="I653" s="12" t="n">
        <v>0.5282</v>
      </c>
      <c r="J653" s="12" t="n">
        <v>0.2884</v>
      </c>
      <c r="K653" s="12" t="n">
        <v>0.4436</v>
      </c>
      <c r="L653" s="3" t="n">
        <v>5.39</v>
      </c>
      <c r="M653" s="12" t="n">
        <f aca="false">Z653-W653</f>
        <v>0.04802</v>
      </c>
      <c r="N653" s="12" t="n">
        <f aca="false">IFERROR((Z653-J653)/L653,"")</f>
        <v>0.0287977736549165</v>
      </c>
      <c r="O653" s="3" t="n">
        <v>19</v>
      </c>
      <c r="P653" s="13" t="b">
        <f aca="false">FALSE()</f>
        <v>0</v>
      </c>
      <c r="Q653" s="3" t="s">
        <v>166</v>
      </c>
      <c r="R653" s="12" t="n">
        <v>0.6091</v>
      </c>
      <c r="S653" s="12" t="n">
        <v>0.4965</v>
      </c>
      <c r="T653" s="3" t="n">
        <v>0.1504</v>
      </c>
      <c r="U653" s="12" t="n">
        <v>0.2915</v>
      </c>
      <c r="V653" s="12" t="n">
        <v>0.4905</v>
      </c>
      <c r="W653" s="12" t="n">
        <v>0.3956</v>
      </c>
      <c r="X653" s="3" t="n">
        <v>0.3541</v>
      </c>
      <c r="Y653" s="3" t="n">
        <v>0.5297</v>
      </c>
      <c r="Z653" s="14" t="n">
        <f aca="false">Assumptions!$B$3*R653+Assumptions!$B$4*S653+IF(AA653=1,Assumptions!$B$11,Assumptions!$B$5)*X653+IF(AA653=1,Assumptions!$B$12,Assumptions!$B$6)*T653+Assumptions!$B$7*U653+Assumptions!$B$8*V653+Assumptions!$B$9*Y653</f>
        <v>0.44362</v>
      </c>
      <c r="AA653" s="3" t="n">
        <v>0</v>
      </c>
    </row>
    <row r="654" customFormat="false" ht="15" hidden="false" customHeight="false" outlineLevel="0" collapsed="false">
      <c r="A654" s="3" t="s">
        <v>839</v>
      </c>
      <c r="B654" s="3" t="n">
        <v>457</v>
      </c>
      <c r="C654" s="11" t="str">
        <f aca="false">IF(M654&gt;=Assumptions!$B$17,"S+",IF(M654&gt;=Assumptions!$B$18,"S",IF(M654&gt;=Assumptions!$B$19,"A",IF(M654&gt;=Assumptions!$B$20,"B",IF(M654&gt;=Assumptions!$B$21,"C",IF(M654&gt;=Assumptions!$B$22,"D","F"))))))</f>
        <v>D</v>
      </c>
      <c r="D654" s="3" t="s">
        <v>190</v>
      </c>
      <c r="E654" s="3" t="n">
        <v>2</v>
      </c>
      <c r="F654" s="12" t="n">
        <v>0.6661</v>
      </c>
      <c r="G654" s="12" t="n">
        <v>0.6</v>
      </c>
      <c r="H654" s="12" t="n">
        <v>0.75</v>
      </c>
      <c r="I654" s="12" t="n">
        <v>0.6551</v>
      </c>
      <c r="J654" s="12" t="n">
        <v>0.3833</v>
      </c>
      <c r="K654" s="12" t="n">
        <v>0.5433</v>
      </c>
      <c r="L654" s="3" t="n">
        <v>3.61</v>
      </c>
      <c r="M654" s="12" t="n">
        <f aca="false">Z654-W654</f>
        <v>0.047778</v>
      </c>
      <c r="N654" s="12" t="n">
        <f aca="false">IFERROR((Z654-J654)/L654,"")</f>
        <v>0.0443152354570637</v>
      </c>
      <c r="O654" s="3" t="n">
        <v>18</v>
      </c>
      <c r="P654" s="13" t="b">
        <f aca="false">FALSE()</f>
        <v>0</v>
      </c>
      <c r="Q654" s="3" t="s">
        <v>166</v>
      </c>
      <c r="R654" s="12" t="n">
        <v>0.7257</v>
      </c>
      <c r="S654" s="12" t="n">
        <v>0.5859</v>
      </c>
      <c r="T654" s="3" t="n">
        <v>0.4943</v>
      </c>
      <c r="U654" s="12" t="n">
        <v>0.4316</v>
      </c>
      <c r="V654" s="12" t="n">
        <v>0.4923</v>
      </c>
      <c r="W654" s="12" t="n">
        <v>0.4955</v>
      </c>
      <c r="X654" s="3" t="n">
        <v>0.3002</v>
      </c>
      <c r="Y654" s="3" t="n">
        <v>0.6205</v>
      </c>
      <c r="Z654" s="14" t="n">
        <f aca="false">Assumptions!$B$3*R654+Assumptions!$B$4*S654+IF(AA654=1,Assumptions!$B$11,Assumptions!$B$5)*X654+IF(AA654=1,Assumptions!$B$12,Assumptions!$B$6)*T654+Assumptions!$B$7*U654+Assumptions!$B$8*V654+Assumptions!$B$9*Y654</f>
        <v>0.543278</v>
      </c>
      <c r="AA654" s="3" t="n">
        <v>0</v>
      </c>
    </row>
    <row r="655" customFormat="false" ht="15" hidden="false" customHeight="false" outlineLevel="0" collapsed="false">
      <c r="A655" s="3" t="s">
        <v>840</v>
      </c>
      <c r="B655" s="3" t="n">
        <v>210</v>
      </c>
      <c r="C655" s="11" t="str">
        <f aca="false">IF(M655&gt;=Assumptions!$B$17,"S+",IF(M655&gt;=Assumptions!$B$18,"S",IF(M655&gt;=Assumptions!$B$19,"A",IF(M655&gt;=Assumptions!$B$20,"B",IF(M655&gt;=Assumptions!$B$21,"C",IF(M655&gt;=Assumptions!$B$22,"D","F"))))))</f>
        <v>D</v>
      </c>
      <c r="D655" s="3" t="s">
        <v>206</v>
      </c>
      <c r="E655" s="3" t="n">
        <v>1</v>
      </c>
      <c r="F655" s="12" t="n">
        <v>0.5013</v>
      </c>
      <c r="G655" s="12" t="n">
        <v>0.76</v>
      </c>
      <c r="H655" s="12" t="n">
        <v>0.4435</v>
      </c>
      <c r="I655" s="12" t="n">
        <v>0.6084</v>
      </c>
      <c r="J655" s="12" t="n">
        <v>0.2615</v>
      </c>
      <c r="K655" s="12" t="n">
        <v>0.4433</v>
      </c>
      <c r="L655" s="3" t="n">
        <v>6.74</v>
      </c>
      <c r="M655" s="12" t="n">
        <f aca="false">Z655-W655</f>
        <v>0.0478560000000001</v>
      </c>
      <c r="N655" s="12" t="n">
        <f aca="false">IFERROR((Z655-J655)/L655,"")</f>
        <v>0.026966765578635</v>
      </c>
      <c r="O655" s="3" t="n">
        <v>19</v>
      </c>
      <c r="P655" s="13" t="b">
        <f aca="false">FALSE()</f>
        <v>0</v>
      </c>
      <c r="Q655" s="3" t="s">
        <v>166</v>
      </c>
      <c r="R655" s="12" t="n">
        <v>0.6623</v>
      </c>
      <c r="S655" s="12" t="n">
        <v>0.2976</v>
      </c>
      <c r="T655" s="3" t="n">
        <v>0.0216</v>
      </c>
      <c r="U655" s="12" t="n">
        <v>0.3441</v>
      </c>
      <c r="V655" s="12" t="n">
        <v>0.4912</v>
      </c>
      <c r="W655" s="12" t="n">
        <v>0.3954</v>
      </c>
      <c r="X655" s="3" t="n">
        <v>0.3203</v>
      </c>
      <c r="Y655" s="3" t="n">
        <v>0.6024</v>
      </c>
      <c r="Z655" s="14" t="n">
        <f aca="false">Assumptions!$B$3*R655+Assumptions!$B$4*S655+IF(AA655=1,Assumptions!$B$11,Assumptions!$B$5)*X655+IF(AA655=1,Assumptions!$B$12,Assumptions!$B$6)*T655+Assumptions!$B$7*U655+Assumptions!$B$8*V655+Assumptions!$B$9*Y655</f>
        <v>0.443256</v>
      </c>
      <c r="AA655" s="3" t="n">
        <v>1</v>
      </c>
    </row>
    <row r="656" customFormat="false" ht="15" hidden="false" customHeight="false" outlineLevel="0" collapsed="false">
      <c r="A656" s="3" t="s">
        <v>841</v>
      </c>
      <c r="B656" s="3" t="n">
        <v>500</v>
      </c>
      <c r="C656" s="11" t="str">
        <f aca="false">IF(M656&gt;=Assumptions!$B$17,"S+",IF(M656&gt;=Assumptions!$B$18,"S",IF(M656&gt;=Assumptions!$B$19,"A",IF(M656&gt;=Assumptions!$B$20,"B",IF(M656&gt;=Assumptions!$B$21,"C",IF(M656&gt;=Assumptions!$B$22,"D","F"))))))</f>
        <v>D</v>
      </c>
      <c r="D656" s="3" t="s">
        <v>190</v>
      </c>
      <c r="E656" s="3" t="n">
        <v>3</v>
      </c>
      <c r="F656" s="12" t="n">
        <v>0.7762</v>
      </c>
      <c r="G656" s="12" t="n">
        <v>1</v>
      </c>
      <c r="H656" s="12" t="n">
        <v>0.75</v>
      </c>
      <c r="I656" s="12" t="n">
        <v>0.865</v>
      </c>
      <c r="J656" s="12" t="n">
        <v>0.3353</v>
      </c>
      <c r="K656" s="12" t="n">
        <v>0.5425</v>
      </c>
      <c r="L656" s="3" t="n">
        <v>4.94</v>
      </c>
      <c r="M656" s="12" t="n">
        <f aca="false">Z656-W656</f>
        <v>0.0469190000000001</v>
      </c>
      <c r="N656" s="12" t="n">
        <f aca="false">IFERROR((Z656-J656)/L656,"")</f>
        <v>0.0419471659919029</v>
      </c>
      <c r="O656" s="3" t="n">
        <v>17</v>
      </c>
      <c r="P656" s="13" t="b">
        <f aca="false">FALSE()</f>
        <v>0</v>
      </c>
      <c r="Q656" s="3" t="s">
        <v>166</v>
      </c>
      <c r="R656" s="12" t="n">
        <v>0.7334</v>
      </c>
      <c r="S656" s="12" t="n">
        <v>0.4196</v>
      </c>
      <c r="T656" s="3" t="n">
        <v>0.4427</v>
      </c>
      <c r="U656" s="12" t="n">
        <v>0.4208</v>
      </c>
      <c r="V656" s="12" t="n">
        <v>0.3497</v>
      </c>
      <c r="W656" s="12" t="n">
        <v>0.4956</v>
      </c>
      <c r="X656" s="3" t="n">
        <v>0.4739</v>
      </c>
      <c r="Y656" s="3" t="n">
        <v>0.794</v>
      </c>
      <c r="Z656" s="14" t="n">
        <f aca="false">Assumptions!$B$3*R656+Assumptions!$B$4*S656+IF(AA656=1,Assumptions!$B$11,Assumptions!$B$5)*X656+IF(AA656=1,Assumptions!$B$12,Assumptions!$B$6)*T656+Assumptions!$B$7*U656+Assumptions!$B$8*V656+Assumptions!$B$9*Y656</f>
        <v>0.542519</v>
      </c>
      <c r="AA656" s="3" t="n">
        <v>0</v>
      </c>
    </row>
    <row r="657" customFormat="false" ht="15" hidden="false" customHeight="false" outlineLevel="0" collapsed="false">
      <c r="A657" s="3" t="s">
        <v>842</v>
      </c>
      <c r="B657" s="3" t="n">
        <v>520</v>
      </c>
      <c r="C657" s="11" t="str">
        <f aca="false">IF(M657&gt;=Assumptions!$B$17,"S+",IF(M657&gt;=Assumptions!$B$18,"S",IF(M657&gt;=Assumptions!$B$19,"A",IF(M657&gt;=Assumptions!$B$20,"B",IF(M657&gt;=Assumptions!$B$21,"C",IF(M657&gt;=Assumptions!$B$22,"D","F"))))))</f>
        <v>D</v>
      </c>
      <c r="D657" s="3" t="s">
        <v>218</v>
      </c>
      <c r="E657" s="3" t="n">
        <v>1</v>
      </c>
      <c r="F657" s="12" t="n">
        <v>0.7024</v>
      </c>
      <c r="G657" s="12" t="n">
        <v>0.4</v>
      </c>
      <c r="H657" s="12" t="n">
        <v>0.75</v>
      </c>
      <c r="I657" s="12" t="n">
        <v>0.5668</v>
      </c>
      <c r="J657" s="12" t="n">
        <v>0.4313</v>
      </c>
      <c r="K657" s="12" t="n">
        <v>0.5545</v>
      </c>
      <c r="L657" s="3" t="n">
        <v>3.63</v>
      </c>
      <c r="M657" s="12" t="n">
        <f aca="false">Z657-W657</f>
        <v>0.0468719999999999</v>
      </c>
      <c r="N657" s="12" t="n">
        <f aca="false">IFERROR((Z657-J657)/L657,"")</f>
        <v>0.0339316804407713</v>
      </c>
      <c r="O657" s="3" t="n">
        <v>19</v>
      </c>
      <c r="P657" s="13" t="b">
        <f aca="false">FALSE()</f>
        <v>0</v>
      </c>
      <c r="Q657" s="3" t="s">
        <v>201</v>
      </c>
      <c r="R657" s="12" t="n">
        <v>0.7115</v>
      </c>
      <c r="S657" s="12" t="n">
        <v>0.7545</v>
      </c>
      <c r="T657" s="3" t="n">
        <v>0.2408</v>
      </c>
      <c r="U657" s="12" t="n">
        <v>0.2874</v>
      </c>
      <c r="V657" s="12" t="n">
        <v>0.4579</v>
      </c>
      <c r="W657" s="12" t="n">
        <v>0.5076</v>
      </c>
      <c r="X657" s="3" t="n">
        <v>0.5862</v>
      </c>
      <c r="Y657" s="3" t="n">
        <v>0.5451</v>
      </c>
      <c r="Z657" s="14" t="n">
        <f aca="false">Assumptions!$B$3*R657+Assumptions!$B$4*S657+IF(AA657=1,Assumptions!$B$11,Assumptions!$B$5)*X657+IF(AA657=1,Assumptions!$B$12,Assumptions!$B$6)*T657+Assumptions!$B$7*U657+Assumptions!$B$8*V657+Assumptions!$B$9*Y657</f>
        <v>0.554472</v>
      </c>
      <c r="AA657" s="3" t="n">
        <v>0</v>
      </c>
    </row>
    <row r="658" customFormat="false" ht="15" hidden="false" customHeight="false" outlineLevel="0" collapsed="false">
      <c r="A658" s="3" t="s">
        <v>843</v>
      </c>
      <c r="B658" s="3" t="n">
        <v>405</v>
      </c>
      <c r="C658" s="11" t="str">
        <f aca="false">IF(M658&gt;=Assumptions!$B$17,"S+",IF(M658&gt;=Assumptions!$B$18,"S",IF(M658&gt;=Assumptions!$B$19,"A",IF(M658&gt;=Assumptions!$B$20,"B",IF(M658&gt;=Assumptions!$B$21,"C",IF(M658&gt;=Assumptions!$B$22,"D","F"))))))</f>
        <v>D</v>
      </c>
      <c r="D658" s="3" t="s">
        <v>203</v>
      </c>
      <c r="E658" s="3" t="n">
        <v>1</v>
      </c>
      <c r="F658" s="12" t="n">
        <v>0.797</v>
      </c>
      <c r="G658" s="12" t="n">
        <v>1</v>
      </c>
      <c r="H658" s="12" t="n">
        <v>0.75</v>
      </c>
      <c r="I658" s="12" t="n">
        <v>0.8891</v>
      </c>
      <c r="J658" s="12" t="n">
        <v>0.3486</v>
      </c>
      <c r="K658" s="12" t="n">
        <v>0.5213</v>
      </c>
      <c r="L658" s="3" t="n">
        <v>6.47</v>
      </c>
      <c r="M658" s="12" t="n">
        <f aca="false">Z658-W658</f>
        <v>0.0467300000000001</v>
      </c>
      <c r="N658" s="12" t="n">
        <f aca="false">IFERROR((Z658-J658)/L658,"")</f>
        <v>0.0266970633693972</v>
      </c>
      <c r="O658" s="3" t="n">
        <v>19</v>
      </c>
      <c r="P658" s="13" t="b">
        <f aca="false">FALSE()</f>
        <v>0</v>
      </c>
      <c r="Q658" s="3" t="s">
        <v>166</v>
      </c>
      <c r="R658" s="12" t="n">
        <v>0.7929</v>
      </c>
      <c r="S658" s="12" t="n">
        <v>0.2833</v>
      </c>
      <c r="T658" s="3" t="n">
        <v>0.5107</v>
      </c>
      <c r="U658" s="12" t="n">
        <v>0.4575</v>
      </c>
      <c r="V658" s="12" t="n">
        <v>0.4953</v>
      </c>
      <c r="W658" s="12" t="n">
        <v>0.4746</v>
      </c>
      <c r="X658" s="3" t="n">
        <v>0.1814</v>
      </c>
      <c r="Y658" s="3" t="n">
        <v>0.8214</v>
      </c>
      <c r="Z658" s="14" t="n">
        <f aca="false">Assumptions!$B$3*R658+Assumptions!$B$4*S658+IF(AA658=1,Assumptions!$B$11,Assumptions!$B$5)*X658+IF(AA658=1,Assumptions!$B$12,Assumptions!$B$6)*T658+Assumptions!$B$7*U658+Assumptions!$B$8*V658+Assumptions!$B$9*Y658</f>
        <v>0.52133</v>
      </c>
      <c r="AA658" s="3" t="n">
        <v>0</v>
      </c>
    </row>
    <row r="659" customFormat="false" ht="15" hidden="false" customHeight="false" outlineLevel="0" collapsed="false">
      <c r="A659" s="3" t="s">
        <v>844</v>
      </c>
      <c r="B659" s="3" t="n">
        <v>550</v>
      </c>
      <c r="C659" s="11" t="str">
        <f aca="false">IF(M659&gt;=Assumptions!$B$17,"S+",IF(M659&gt;=Assumptions!$B$18,"S",IF(M659&gt;=Assumptions!$B$19,"A",IF(M659&gt;=Assumptions!$B$20,"B",IF(M659&gt;=Assumptions!$B$21,"C",IF(M659&gt;=Assumptions!$B$22,"D","F"))))))</f>
        <v>D</v>
      </c>
      <c r="D659" s="3" t="s">
        <v>218</v>
      </c>
      <c r="E659" s="3" t="n">
        <v>7</v>
      </c>
      <c r="F659" s="12" t="n">
        <v>0.9105</v>
      </c>
      <c r="G659" s="12" t="n">
        <v>0.6</v>
      </c>
      <c r="H659" s="12" t="n">
        <v>0.75</v>
      </c>
      <c r="I659" s="12" t="n">
        <v>0.7293</v>
      </c>
      <c r="J659" s="12" t="n">
        <v>0.4053</v>
      </c>
      <c r="K659" s="12" t="n">
        <v>0.5572</v>
      </c>
      <c r="L659" s="3" t="n">
        <v>5</v>
      </c>
      <c r="M659" s="12" t="n">
        <f aca="false">Z659-W659</f>
        <v>0.046478</v>
      </c>
      <c r="N659" s="12" t="n">
        <f aca="false">IFERROR((Z659-J659)/L659,"")</f>
        <v>0.0303756</v>
      </c>
      <c r="O659" s="3" t="n">
        <v>13</v>
      </c>
      <c r="P659" s="13" t="b">
        <f aca="false">FALSE()</f>
        <v>0</v>
      </c>
      <c r="Q659" s="3" t="s">
        <v>166</v>
      </c>
      <c r="R659" s="12" t="n">
        <v>0.8918</v>
      </c>
      <c r="S659" s="12" t="n">
        <v>0.4429</v>
      </c>
      <c r="T659" s="3" t="n">
        <v>0.3494</v>
      </c>
      <c r="U659" s="12" t="n">
        <v>0.3846</v>
      </c>
      <c r="V659" s="12" t="n">
        <v>0.4367</v>
      </c>
      <c r="W659" s="12" t="n">
        <v>0.5107</v>
      </c>
      <c r="X659" s="3" t="n">
        <v>0.3585</v>
      </c>
      <c r="Y659" s="3" t="n">
        <v>0.7309</v>
      </c>
      <c r="Z659" s="14" t="n">
        <f aca="false">Assumptions!$B$3*R659+Assumptions!$B$4*S659+IF(AA659=1,Assumptions!$B$11,Assumptions!$B$5)*X659+IF(AA659=1,Assumptions!$B$12,Assumptions!$B$6)*T659+Assumptions!$B$7*U659+Assumptions!$B$8*V659+Assumptions!$B$9*Y659</f>
        <v>0.557178</v>
      </c>
      <c r="AA659" s="3" t="n">
        <v>0</v>
      </c>
    </row>
    <row r="660" customFormat="false" ht="15" hidden="false" customHeight="false" outlineLevel="0" collapsed="false">
      <c r="A660" s="3" t="s">
        <v>845</v>
      </c>
      <c r="B660" s="3" t="n">
        <v>330</v>
      </c>
      <c r="C660" s="11" t="str">
        <f aca="false">IF(M660&gt;=Assumptions!$B$17,"S+",IF(M660&gt;=Assumptions!$B$18,"S",IF(M660&gt;=Assumptions!$B$19,"A",IF(M660&gt;=Assumptions!$B$20,"B",IF(M660&gt;=Assumptions!$B$21,"C",IF(M660&gt;=Assumptions!$B$22,"D","F"))))))</f>
        <v>D</v>
      </c>
      <c r="D660" s="3" t="s">
        <v>173</v>
      </c>
      <c r="E660" s="3" t="n">
        <v>3</v>
      </c>
      <c r="F660" s="12" t="n">
        <v>0.6014</v>
      </c>
      <c r="G660" s="12" t="n">
        <v>0.45</v>
      </c>
      <c r="H660" s="12" t="n">
        <v>0.75</v>
      </c>
      <c r="I660" s="12" t="n">
        <v>0.5373</v>
      </c>
      <c r="J660" s="12" t="n">
        <v>0.2947</v>
      </c>
      <c r="K660" s="12" t="n">
        <v>0.4968</v>
      </c>
      <c r="L660" s="3" t="n">
        <v>5.71</v>
      </c>
      <c r="M660" s="12" t="n">
        <f aca="false">Z660-W660</f>
        <v>0.0462610000000001</v>
      </c>
      <c r="N660" s="12" t="n">
        <f aca="false">IFERROR((Z660-J660)/L660,"")</f>
        <v>0.0353872154115587</v>
      </c>
      <c r="O660" s="3" t="n">
        <v>17</v>
      </c>
      <c r="P660" s="13" t="b">
        <f aca="false">FALSE()</f>
        <v>0</v>
      </c>
      <c r="Q660" s="3" t="s">
        <v>166</v>
      </c>
      <c r="R660" s="12" t="n">
        <v>0.537</v>
      </c>
      <c r="S660" s="12" t="n">
        <v>0.458</v>
      </c>
      <c r="T660" s="3" t="n">
        <v>0.3721</v>
      </c>
      <c r="U660" s="12" t="n">
        <v>0.3348</v>
      </c>
      <c r="V660" s="12" t="n">
        <v>0.5071</v>
      </c>
      <c r="W660" s="12" t="n">
        <v>0.4505</v>
      </c>
      <c r="X660" s="3" t="n">
        <v>0.5499</v>
      </c>
      <c r="Y660" s="3" t="n">
        <v>0.5232</v>
      </c>
      <c r="Z660" s="14" t="n">
        <f aca="false">Assumptions!$B$3*R660+Assumptions!$B$4*S660+IF(AA660=1,Assumptions!$B$11,Assumptions!$B$5)*X660+IF(AA660=1,Assumptions!$B$12,Assumptions!$B$6)*T660+Assumptions!$B$7*U660+Assumptions!$B$8*V660+Assumptions!$B$9*Y660</f>
        <v>0.496761</v>
      </c>
      <c r="AA660" s="3" t="n">
        <v>1</v>
      </c>
    </row>
    <row r="661" customFormat="false" ht="15" hidden="false" customHeight="false" outlineLevel="0" collapsed="false">
      <c r="A661" s="3" t="s">
        <v>846</v>
      </c>
      <c r="B661" s="3" t="n">
        <v>435</v>
      </c>
      <c r="C661" s="11" t="str">
        <f aca="false">IF(M661&gt;=Assumptions!$B$17,"S+",IF(M661&gt;=Assumptions!$B$18,"S",IF(M661&gt;=Assumptions!$B$19,"A",IF(M661&gt;=Assumptions!$B$20,"B",IF(M661&gt;=Assumptions!$B$21,"C",IF(M661&gt;=Assumptions!$B$22,"D","F"))))))</f>
        <v>D</v>
      </c>
      <c r="D661" s="3" t="s">
        <v>228</v>
      </c>
      <c r="E661" s="3" t="n">
        <v>1</v>
      </c>
      <c r="F661" s="12" t="n">
        <v>0.7447</v>
      </c>
      <c r="G661" s="12" t="n">
        <v>0.6</v>
      </c>
      <c r="H661" s="12" t="n">
        <v>0.75</v>
      </c>
      <c r="I661" s="12" t="n">
        <v>0.6763</v>
      </c>
      <c r="J661" s="12" t="n">
        <v>0.3829</v>
      </c>
      <c r="K661" s="12" t="n">
        <v>0.5358</v>
      </c>
      <c r="L661" s="3" t="n">
        <v>5.29</v>
      </c>
      <c r="M661" s="12" t="n">
        <f aca="false">Z661-W661</f>
        <v>0.045993</v>
      </c>
      <c r="N661" s="12" t="n">
        <f aca="false">IFERROR((Z661-J661)/L661,"")</f>
        <v>0.0289022684310019</v>
      </c>
      <c r="O661" s="3" t="n">
        <v>19</v>
      </c>
      <c r="P661" s="13" t="b">
        <f aca="false">FALSE()</f>
        <v>0</v>
      </c>
      <c r="Q661" s="3" t="s">
        <v>166</v>
      </c>
      <c r="R661" s="12" t="n">
        <v>0.6671</v>
      </c>
      <c r="S661" s="12" t="n">
        <v>0.705</v>
      </c>
      <c r="T661" s="3" t="n">
        <v>0.0687</v>
      </c>
      <c r="U661" s="12" t="n">
        <v>0.4251</v>
      </c>
      <c r="V661" s="12" t="n">
        <v>0.5053</v>
      </c>
      <c r="W661" s="12" t="n">
        <v>0.4898</v>
      </c>
      <c r="X661" s="3" t="n">
        <v>0.5475</v>
      </c>
      <c r="Y661" s="3" t="n">
        <v>0.6266</v>
      </c>
      <c r="Z661" s="14" t="n">
        <f aca="false">Assumptions!$B$3*R661+Assumptions!$B$4*S661+IF(AA661=1,Assumptions!$B$11,Assumptions!$B$5)*X661+IF(AA661=1,Assumptions!$B$12,Assumptions!$B$6)*T661+Assumptions!$B$7*U661+Assumptions!$B$8*V661+Assumptions!$B$9*Y661</f>
        <v>0.535793</v>
      </c>
      <c r="AA661" s="3" t="n">
        <v>0</v>
      </c>
    </row>
    <row r="662" customFormat="false" ht="15" hidden="false" customHeight="false" outlineLevel="0" collapsed="false">
      <c r="A662" s="3" t="s">
        <v>847</v>
      </c>
      <c r="B662" s="3" t="n">
        <v>505</v>
      </c>
      <c r="C662" s="11" t="str">
        <f aca="false">IF(M662&gt;=Assumptions!$B$17,"S+",IF(M662&gt;=Assumptions!$B$18,"S",IF(M662&gt;=Assumptions!$B$19,"A",IF(M662&gt;=Assumptions!$B$20,"B",IF(M662&gt;=Assumptions!$B$21,"C",IF(M662&gt;=Assumptions!$B$22,"D","F"))))))</f>
        <v>D</v>
      </c>
      <c r="D662" s="3" t="s">
        <v>197</v>
      </c>
      <c r="E662" s="3" t="n">
        <v>6</v>
      </c>
      <c r="F662" s="12" t="n">
        <v>0.7553</v>
      </c>
      <c r="G662" s="12" t="n">
        <v>0.6</v>
      </c>
      <c r="H662" s="12" t="n">
        <v>0.75</v>
      </c>
      <c r="I662" s="12" t="n">
        <v>0.689</v>
      </c>
      <c r="J662" s="12" t="n">
        <v>0.3511</v>
      </c>
      <c r="K662" s="12" t="n">
        <v>0.5348</v>
      </c>
      <c r="L662" s="3" t="n">
        <v>5</v>
      </c>
      <c r="M662" s="12" t="n">
        <f aca="false">Z662-W662</f>
        <v>0.0458170000000001</v>
      </c>
      <c r="N662" s="12" t="n">
        <f aca="false">IFERROR((Z662-J662)/L662,"")</f>
        <v>0.0367434</v>
      </c>
      <c r="O662" s="3" t="n">
        <v>14</v>
      </c>
      <c r="P662" s="13" t="b">
        <f aca="false">FALSE()</f>
        <v>0</v>
      </c>
      <c r="Q662" s="3" t="s">
        <v>166</v>
      </c>
      <c r="R662" s="12" t="n">
        <v>0.6881</v>
      </c>
      <c r="S662" s="12" t="n">
        <v>0.5047</v>
      </c>
      <c r="T662" s="3" t="n">
        <v>0.4188</v>
      </c>
      <c r="U662" s="12" t="n">
        <v>0.3956</v>
      </c>
      <c r="V662" s="12" t="n">
        <v>0.4264</v>
      </c>
      <c r="W662" s="12" t="n">
        <v>0.489</v>
      </c>
      <c r="X662" s="3" t="n">
        <v>0.4646</v>
      </c>
      <c r="Y662" s="3" t="n">
        <v>0.6915</v>
      </c>
      <c r="Z662" s="14" t="n">
        <f aca="false">Assumptions!$B$3*R662+Assumptions!$B$4*S662+IF(AA662=1,Assumptions!$B$11,Assumptions!$B$5)*X662+IF(AA662=1,Assumptions!$B$12,Assumptions!$B$6)*T662+Assumptions!$B$7*U662+Assumptions!$B$8*V662+Assumptions!$B$9*Y662</f>
        <v>0.534817</v>
      </c>
      <c r="AA662" s="3" t="n">
        <v>0</v>
      </c>
    </row>
    <row r="663" customFormat="false" ht="15" hidden="false" customHeight="false" outlineLevel="0" collapsed="false">
      <c r="A663" s="3" t="s">
        <v>848</v>
      </c>
      <c r="B663" s="3" t="n">
        <v>495</v>
      </c>
      <c r="C663" s="11" t="str">
        <f aca="false">IF(M663&gt;=Assumptions!$B$17,"S+",IF(M663&gt;=Assumptions!$B$18,"S",IF(M663&gt;=Assumptions!$B$19,"A",IF(M663&gt;=Assumptions!$B$20,"B",IF(M663&gt;=Assumptions!$B$21,"C",IF(M663&gt;=Assumptions!$B$22,"D","F"))))))</f>
        <v>D</v>
      </c>
      <c r="D663" s="3" t="s">
        <v>218</v>
      </c>
      <c r="E663" s="3" t="n">
        <v>1</v>
      </c>
      <c r="F663" s="12" t="n">
        <v>0.9194</v>
      </c>
      <c r="G663" s="12" t="n">
        <v>1</v>
      </c>
      <c r="H663" s="12" t="n">
        <v>0.75</v>
      </c>
      <c r="I663" s="12" t="n">
        <v>0.9242</v>
      </c>
      <c r="J663" s="12" t="n">
        <v>0.3791</v>
      </c>
      <c r="K663" s="12" t="n">
        <v>0.5645</v>
      </c>
      <c r="L663" s="3" t="n">
        <v>4.63</v>
      </c>
      <c r="M663" s="12" t="n">
        <f aca="false">Z663-W663</f>
        <v>0.045829</v>
      </c>
      <c r="N663" s="12" t="n">
        <f aca="false">IFERROR((Z663-J663)/L663,"")</f>
        <v>0.0400494600431966</v>
      </c>
      <c r="O663" s="3" t="n">
        <v>19</v>
      </c>
      <c r="P663" s="13" t="b">
        <f aca="false">FALSE()</f>
        <v>0</v>
      </c>
      <c r="Q663" s="3" t="s">
        <v>166</v>
      </c>
      <c r="R663" s="12" t="n">
        <v>0.8851</v>
      </c>
      <c r="S663" s="12" t="n">
        <v>0.5138</v>
      </c>
      <c r="T663" s="3" t="n">
        <v>0.306</v>
      </c>
      <c r="U663" s="12" t="n">
        <v>0.3887</v>
      </c>
      <c r="V663" s="12" t="n">
        <v>0.4259</v>
      </c>
      <c r="W663" s="12" t="n">
        <v>0.5187</v>
      </c>
      <c r="X663" s="3" t="n">
        <v>0.3039</v>
      </c>
      <c r="Y663" s="3" t="n">
        <v>0.8627</v>
      </c>
      <c r="Z663" s="14" t="n">
        <f aca="false">Assumptions!$B$3*R663+Assumptions!$B$4*S663+IF(AA663=1,Assumptions!$B$11,Assumptions!$B$5)*X663+IF(AA663=1,Assumptions!$B$12,Assumptions!$B$6)*T663+Assumptions!$B$7*U663+Assumptions!$B$8*V663+Assumptions!$B$9*Y663</f>
        <v>0.564529</v>
      </c>
      <c r="AA663" s="3" t="n">
        <v>0</v>
      </c>
    </row>
    <row r="664" customFormat="false" ht="15" hidden="false" customHeight="false" outlineLevel="0" collapsed="false">
      <c r="A664" s="3" t="s">
        <v>849</v>
      </c>
      <c r="B664" s="3" t="n">
        <v>448</v>
      </c>
      <c r="C664" s="11" t="str">
        <f aca="false">IF(M664&gt;=Assumptions!$B$17,"S+",IF(M664&gt;=Assumptions!$B$18,"S",IF(M664&gt;=Assumptions!$B$19,"A",IF(M664&gt;=Assumptions!$B$20,"B",IF(M664&gt;=Assumptions!$B$21,"C",IF(M664&gt;=Assumptions!$B$22,"D","F"))))))</f>
        <v>D</v>
      </c>
      <c r="D664" s="3" t="s">
        <v>218</v>
      </c>
      <c r="E664" s="3" t="n">
        <v>7</v>
      </c>
      <c r="F664" s="12" t="n">
        <v>0.866</v>
      </c>
      <c r="G664" s="12" t="n">
        <v>0.6</v>
      </c>
      <c r="H664" s="12" t="n">
        <v>0.75</v>
      </c>
      <c r="I664" s="12" t="n">
        <v>0.7151</v>
      </c>
      <c r="J664" s="12" t="n">
        <v>0.3726</v>
      </c>
      <c r="K664" s="12" t="n">
        <v>0.5563</v>
      </c>
      <c r="L664" s="3" t="n">
        <v>4</v>
      </c>
      <c r="M664" s="12" t="n">
        <f aca="false">Z664-W664</f>
        <v>0.045605</v>
      </c>
      <c r="N664" s="12" t="n">
        <f aca="false">IFERROR((Z664-J664)/L664,"")</f>
        <v>0.04592625</v>
      </c>
      <c r="O664" s="3" t="n">
        <v>13</v>
      </c>
      <c r="P664" s="13" t="b">
        <f aca="false">FALSE()</f>
        <v>0</v>
      </c>
      <c r="Q664" s="3" t="s">
        <v>166</v>
      </c>
      <c r="R664" s="12" t="n">
        <v>0.8278</v>
      </c>
      <c r="S664" s="12" t="n">
        <v>0.4613</v>
      </c>
      <c r="T664" s="3" t="n">
        <v>0.0725</v>
      </c>
      <c r="U664" s="12" t="n">
        <v>0.3491</v>
      </c>
      <c r="V664" s="12" t="n">
        <v>0.5826</v>
      </c>
      <c r="W664" s="12" t="n">
        <v>0.5107</v>
      </c>
      <c r="X664" s="3" t="n">
        <v>0.5781</v>
      </c>
      <c r="Y664" s="3" t="n">
        <v>0.7169</v>
      </c>
      <c r="Z664" s="14" t="n">
        <f aca="false">Assumptions!$B$3*R664+Assumptions!$B$4*S664+IF(AA664=1,Assumptions!$B$11,Assumptions!$B$5)*X664+IF(AA664=1,Assumptions!$B$12,Assumptions!$B$6)*T664+Assumptions!$B$7*U664+Assumptions!$B$8*V664+Assumptions!$B$9*Y664</f>
        <v>0.556305</v>
      </c>
      <c r="AA664" s="3" t="n">
        <v>0</v>
      </c>
    </row>
    <row r="665" customFormat="false" ht="15" hidden="false" customHeight="false" outlineLevel="0" collapsed="false">
      <c r="A665" s="3" t="s">
        <v>850</v>
      </c>
      <c r="B665" s="3" t="n">
        <v>415</v>
      </c>
      <c r="C665" s="11" t="str">
        <f aca="false">IF(M665&gt;=Assumptions!$B$17,"S+",IF(M665&gt;=Assumptions!$B$18,"S",IF(M665&gt;=Assumptions!$B$19,"A",IF(M665&gt;=Assumptions!$B$20,"B",IF(M665&gt;=Assumptions!$B$21,"C",IF(M665&gt;=Assumptions!$B$22,"D","F"))))))</f>
        <v>D</v>
      </c>
      <c r="D665" s="3" t="s">
        <v>190</v>
      </c>
      <c r="E665" s="3" t="n">
        <v>3</v>
      </c>
      <c r="F665" s="12" t="n">
        <v>0.7629</v>
      </c>
      <c r="G665" s="12" t="n">
        <v>0.6</v>
      </c>
      <c r="H665" s="12" t="n">
        <v>0.75</v>
      </c>
      <c r="I665" s="12" t="n">
        <v>0.6919</v>
      </c>
      <c r="J665" s="12" t="n">
        <v>0.3521</v>
      </c>
      <c r="K665" s="12" t="n">
        <v>0.548</v>
      </c>
      <c r="L665" s="3" t="n">
        <v>3.82</v>
      </c>
      <c r="M665" s="12" t="n">
        <f aca="false">Z665-W665</f>
        <v>0.0453389999999999</v>
      </c>
      <c r="N665" s="12" t="n">
        <f aca="false">IFERROR((Z665-J665)/L665,"")</f>
        <v>0.0512929319371728</v>
      </c>
      <c r="O665" s="3" t="n">
        <v>17</v>
      </c>
      <c r="P665" s="13" t="b">
        <f aca="false">FALSE()</f>
        <v>0</v>
      </c>
      <c r="Q665" s="3" t="s">
        <v>166</v>
      </c>
      <c r="R665" s="12" t="n">
        <v>0.7781</v>
      </c>
      <c r="S665" s="12" t="n">
        <v>0.3384</v>
      </c>
      <c r="T665" s="3" t="n">
        <v>0.3968</v>
      </c>
      <c r="U665" s="12" t="n">
        <v>0.534</v>
      </c>
      <c r="V665" s="12" t="n">
        <v>0.4225</v>
      </c>
      <c r="W665" s="12" t="n">
        <v>0.5027</v>
      </c>
      <c r="X665" s="3" t="n">
        <v>0.5162</v>
      </c>
      <c r="Y665" s="3" t="n">
        <v>0.6489</v>
      </c>
      <c r="Z665" s="14" t="n">
        <f aca="false">Assumptions!$B$3*R665+Assumptions!$B$4*S665+IF(AA665=1,Assumptions!$B$11,Assumptions!$B$5)*X665+IF(AA665=1,Assumptions!$B$12,Assumptions!$B$6)*T665+Assumptions!$B$7*U665+Assumptions!$B$8*V665+Assumptions!$B$9*Y665</f>
        <v>0.548039</v>
      </c>
      <c r="AA665" s="3" t="n">
        <v>0</v>
      </c>
    </row>
    <row r="666" customFormat="false" ht="15" hidden="false" customHeight="false" outlineLevel="0" collapsed="false">
      <c r="A666" s="3" t="s">
        <v>851</v>
      </c>
      <c r="B666" s="3" t="n">
        <v>329</v>
      </c>
      <c r="C666" s="11" t="str">
        <f aca="false">IF(M666&gt;=Assumptions!$B$17,"S+",IF(M666&gt;=Assumptions!$B$18,"S",IF(M666&gt;=Assumptions!$B$19,"A",IF(M666&gt;=Assumptions!$B$20,"B",IF(M666&gt;=Assumptions!$B$21,"C",IF(M666&gt;=Assumptions!$B$22,"D","F"))))))</f>
        <v>D</v>
      </c>
      <c r="D666" s="3" t="s">
        <v>173</v>
      </c>
      <c r="E666" s="3" t="n">
        <v>3</v>
      </c>
      <c r="F666" s="12" t="n">
        <v>0.597</v>
      </c>
      <c r="G666" s="12" t="n">
        <v>0.45</v>
      </c>
      <c r="H666" s="12" t="n">
        <v>0.75</v>
      </c>
      <c r="I666" s="12" t="n">
        <v>0.5365</v>
      </c>
      <c r="J666" s="12" t="n">
        <v>0.3559</v>
      </c>
      <c r="K666" s="12" t="n">
        <v>0.4818</v>
      </c>
      <c r="L666" s="3" t="n">
        <v>5.68</v>
      </c>
      <c r="M666" s="12" t="n">
        <f aca="false">Z666-W666</f>
        <v>0.045154</v>
      </c>
      <c r="N666" s="12" t="n">
        <f aca="false">IFERROR((Z666-J666)/L666,"")</f>
        <v>0.0221573943661972</v>
      </c>
      <c r="O666" s="3" t="n">
        <v>17</v>
      </c>
      <c r="P666" s="13" t="b">
        <f aca="false">FALSE()</f>
        <v>0</v>
      </c>
      <c r="Q666" s="3" t="s">
        <v>166</v>
      </c>
      <c r="R666" s="12" t="n">
        <v>0.699</v>
      </c>
      <c r="S666" s="12" t="n">
        <v>0.4205</v>
      </c>
      <c r="T666" s="3" t="n">
        <v>0.1998</v>
      </c>
      <c r="U666" s="12" t="n">
        <v>0.3122</v>
      </c>
      <c r="V666" s="12" t="n">
        <v>0.5085</v>
      </c>
      <c r="W666" s="12" t="n">
        <v>0.4366</v>
      </c>
      <c r="X666" s="3" t="n">
        <v>0.3753</v>
      </c>
      <c r="Y666" s="3" t="n">
        <v>0.5172</v>
      </c>
      <c r="Z666" s="14" t="n">
        <f aca="false">Assumptions!$B$3*R666+Assumptions!$B$4*S666+IF(AA666=1,Assumptions!$B$11,Assumptions!$B$5)*X666+IF(AA666=1,Assumptions!$B$12,Assumptions!$B$6)*T666+Assumptions!$B$7*U666+Assumptions!$B$8*V666+Assumptions!$B$9*Y666</f>
        <v>0.481754</v>
      </c>
      <c r="AA666" s="3" t="n">
        <v>1</v>
      </c>
    </row>
    <row r="667" customFormat="false" ht="15" hidden="false" customHeight="false" outlineLevel="0" collapsed="false">
      <c r="A667" s="3" t="s">
        <v>852</v>
      </c>
      <c r="B667" s="3" t="n">
        <v>482</v>
      </c>
      <c r="C667" s="11" t="str">
        <f aca="false">IF(M667&gt;=Assumptions!$B$17,"S+",IF(M667&gt;=Assumptions!$B$18,"S",IF(M667&gt;=Assumptions!$B$19,"A",IF(M667&gt;=Assumptions!$B$20,"B",IF(M667&gt;=Assumptions!$B$21,"C",IF(M667&gt;=Assumptions!$B$22,"D","F"))))))</f>
        <v>D</v>
      </c>
      <c r="D667" s="3" t="s">
        <v>218</v>
      </c>
      <c r="E667" s="3" t="n">
        <v>2</v>
      </c>
      <c r="F667" s="12" t="n">
        <v>0.7408</v>
      </c>
      <c r="G667" s="12" t="n">
        <v>1</v>
      </c>
      <c r="H667" s="12" t="n">
        <v>0.75</v>
      </c>
      <c r="I667" s="12" t="n">
        <v>0.8671</v>
      </c>
      <c r="J667" s="12" t="n">
        <v>0.3988</v>
      </c>
      <c r="K667" s="12" t="n">
        <v>0.5656</v>
      </c>
      <c r="L667" s="3" t="n">
        <v>3.81</v>
      </c>
      <c r="M667" s="12" t="n">
        <f aca="false">Z667-W667</f>
        <v>0.045073</v>
      </c>
      <c r="N667" s="12" t="n">
        <f aca="false">IFERROR((Z667-J667)/L667,"")</f>
        <v>0.0437724409448819</v>
      </c>
      <c r="O667" s="3" t="n">
        <v>18</v>
      </c>
      <c r="P667" s="13" t="b">
        <f aca="false">FALSE()</f>
        <v>0</v>
      </c>
      <c r="Q667" s="3" t="s">
        <v>166</v>
      </c>
      <c r="R667" s="12" t="n">
        <v>0.8475</v>
      </c>
      <c r="S667" s="12" t="n">
        <v>0.47</v>
      </c>
      <c r="T667" s="3" t="n">
        <v>0.6541</v>
      </c>
      <c r="U667" s="12" t="n">
        <v>0.3034</v>
      </c>
      <c r="V667" s="12" t="n">
        <v>0.4579</v>
      </c>
      <c r="W667" s="12" t="n">
        <v>0.5205</v>
      </c>
      <c r="X667" s="3" t="n">
        <v>0.2227</v>
      </c>
      <c r="Y667" s="3" t="n">
        <v>0.7989</v>
      </c>
      <c r="Z667" s="14" t="n">
        <f aca="false">Assumptions!$B$3*R667+Assumptions!$B$4*S667+IF(AA667=1,Assumptions!$B$11,Assumptions!$B$5)*X667+IF(AA667=1,Assumptions!$B$12,Assumptions!$B$6)*T667+Assumptions!$B$7*U667+Assumptions!$B$8*V667+Assumptions!$B$9*Y667</f>
        <v>0.565573</v>
      </c>
      <c r="AA667" s="3" t="n">
        <v>0</v>
      </c>
    </row>
    <row r="668" customFormat="false" ht="15" hidden="false" customHeight="false" outlineLevel="0" collapsed="false">
      <c r="A668" s="3" t="s">
        <v>853</v>
      </c>
      <c r="B668" s="3" t="n">
        <v>514</v>
      </c>
      <c r="C668" s="11" t="str">
        <f aca="false">IF(M668&gt;=Assumptions!$B$17,"S+",IF(M668&gt;=Assumptions!$B$18,"S",IF(M668&gt;=Assumptions!$B$19,"A",IF(M668&gt;=Assumptions!$B$20,"B",IF(M668&gt;=Assumptions!$B$21,"C",IF(M668&gt;=Assumptions!$B$22,"D","F"))))))</f>
        <v>D</v>
      </c>
      <c r="D668" s="3" t="s">
        <v>218</v>
      </c>
      <c r="E668" s="3" t="n">
        <v>7</v>
      </c>
      <c r="F668" s="12" t="n">
        <v>0.8574</v>
      </c>
      <c r="G668" s="12" t="n">
        <v>0.6</v>
      </c>
      <c r="H668" s="12" t="n">
        <v>0.75</v>
      </c>
      <c r="I668" s="12" t="n">
        <v>0.7124</v>
      </c>
      <c r="J668" s="12" t="n">
        <v>0.4278</v>
      </c>
      <c r="K668" s="12" t="n">
        <v>0.5556</v>
      </c>
      <c r="L668" s="3" t="n">
        <v>4</v>
      </c>
      <c r="M668" s="12" t="n">
        <f aca="false">Z668-W668</f>
        <v>0.044856</v>
      </c>
      <c r="N668" s="12" t="n">
        <f aca="false">IFERROR((Z668-J668)/L668,"")</f>
        <v>0.031939</v>
      </c>
      <c r="O668" s="3" t="n">
        <v>13</v>
      </c>
      <c r="P668" s="13" t="b">
        <f aca="false">FALSE()</f>
        <v>0</v>
      </c>
      <c r="Q668" s="3" t="s">
        <v>166</v>
      </c>
      <c r="R668" s="12" t="n">
        <v>0.8252</v>
      </c>
      <c r="S668" s="12" t="n">
        <v>0.5775</v>
      </c>
      <c r="T668" s="3" t="n">
        <v>0.0435</v>
      </c>
      <c r="U668" s="12" t="n">
        <v>0.4556</v>
      </c>
      <c r="V668" s="12" t="n">
        <v>0.3755</v>
      </c>
      <c r="W668" s="12" t="n">
        <v>0.5107</v>
      </c>
      <c r="X668" s="3" t="n">
        <v>0.5679</v>
      </c>
      <c r="Y668" s="3" t="n">
        <v>0.7143</v>
      </c>
      <c r="Z668" s="14" t="n">
        <f aca="false">Assumptions!$B$3*R668+Assumptions!$B$4*S668+IF(AA668=1,Assumptions!$B$11,Assumptions!$B$5)*X668+IF(AA668=1,Assumptions!$B$12,Assumptions!$B$6)*T668+Assumptions!$B$7*U668+Assumptions!$B$8*V668+Assumptions!$B$9*Y668</f>
        <v>0.555556</v>
      </c>
      <c r="AA668" s="3" t="n">
        <v>0</v>
      </c>
    </row>
    <row r="669" customFormat="false" ht="15" hidden="false" customHeight="false" outlineLevel="0" collapsed="false">
      <c r="A669" s="3" t="s">
        <v>854</v>
      </c>
      <c r="B669" s="3" t="n">
        <v>390</v>
      </c>
      <c r="C669" s="11" t="str">
        <f aca="false">IF(M669&gt;=Assumptions!$B$17,"S+",IF(M669&gt;=Assumptions!$B$18,"S",IF(M669&gt;=Assumptions!$B$19,"A",IF(M669&gt;=Assumptions!$B$20,"B",IF(M669&gt;=Assumptions!$B$21,"C",IF(M669&gt;=Assumptions!$B$22,"D","F"))))))</f>
        <v>D</v>
      </c>
      <c r="D669" s="3" t="s">
        <v>186</v>
      </c>
      <c r="E669" s="3" t="n">
        <v>3</v>
      </c>
      <c r="F669" s="12" t="n">
        <v>0.514</v>
      </c>
      <c r="G669" s="12" t="n">
        <v>0.85</v>
      </c>
      <c r="H669" s="12" t="n">
        <v>0.75</v>
      </c>
      <c r="I669" s="12" t="n">
        <v>0.7695</v>
      </c>
      <c r="J669" s="12" t="n">
        <v>0.3431</v>
      </c>
      <c r="K669" s="12" t="n">
        <v>0.4933</v>
      </c>
      <c r="L669" s="3" t="n">
        <v>3.94</v>
      </c>
      <c r="M669" s="12" t="n">
        <f aca="false">Z669-W669</f>
        <v>0.0448</v>
      </c>
      <c r="N669" s="12" t="n">
        <f aca="false">IFERROR((Z669-J669)/L669,"")</f>
        <v>0.0381218274111675</v>
      </c>
      <c r="O669" s="3" t="n">
        <v>17</v>
      </c>
      <c r="P669" s="13" t="b">
        <f aca="false">FALSE()</f>
        <v>0</v>
      </c>
      <c r="Q669" s="3" t="s">
        <v>166</v>
      </c>
      <c r="R669" s="12" t="n">
        <v>0.82</v>
      </c>
      <c r="S669" s="12" t="n">
        <v>0.4003</v>
      </c>
      <c r="T669" s="3" t="n">
        <v>0.0176</v>
      </c>
      <c r="U669" s="12" t="n">
        <v>0.3213</v>
      </c>
      <c r="V669" s="12" t="n">
        <v>0.3849</v>
      </c>
      <c r="W669" s="12" t="n">
        <v>0.4485</v>
      </c>
      <c r="X669" s="3" t="n">
        <v>0.2963</v>
      </c>
      <c r="Y669" s="3" t="n">
        <v>0.7377</v>
      </c>
      <c r="Z669" s="14" t="n">
        <f aca="false">Assumptions!$B$3*R669+Assumptions!$B$4*S669+IF(AA669=1,Assumptions!$B$11,Assumptions!$B$5)*X669+IF(AA669=1,Assumptions!$B$12,Assumptions!$B$6)*T669+Assumptions!$B$7*U669+Assumptions!$B$8*V669+Assumptions!$B$9*Y669</f>
        <v>0.4933</v>
      </c>
      <c r="AA669" s="3" t="n">
        <v>1</v>
      </c>
    </row>
    <row r="670" customFormat="false" ht="15" hidden="false" customHeight="false" outlineLevel="0" collapsed="false">
      <c r="A670" s="3" t="s">
        <v>855</v>
      </c>
      <c r="B670" s="3" t="n">
        <v>525</v>
      </c>
      <c r="C670" s="11" t="str">
        <f aca="false">IF(M670&gt;=Assumptions!$B$17,"S+",IF(M670&gt;=Assumptions!$B$18,"S",IF(M670&gt;=Assumptions!$B$19,"A",IF(M670&gt;=Assumptions!$B$20,"B",IF(M670&gt;=Assumptions!$B$21,"C",IF(M670&gt;=Assumptions!$B$22,"D","F"))))))</f>
        <v>D</v>
      </c>
      <c r="D670" s="3" t="s">
        <v>197</v>
      </c>
      <c r="E670" s="3" t="n">
        <v>6</v>
      </c>
      <c r="F670" s="12" t="n">
        <v>0.78</v>
      </c>
      <c r="G670" s="12" t="n">
        <v>1</v>
      </c>
      <c r="H670" s="12" t="n">
        <v>0.75</v>
      </c>
      <c r="I670" s="12" t="n">
        <v>0.8664</v>
      </c>
      <c r="J670" s="12" t="n">
        <v>0.3464</v>
      </c>
      <c r="K670" s="12" t="n">
        <v>0.5324</v>
      </c>
      <c r="L670" s="3" t="n">
        <v>6</v>
      </c>
      <c r="M670" s="12" t="n">
        <f aca="false">Z670-W670</f>
        <v>0.0444290000000001</v>
      </c>
      <c r="N670" s="12" t="n">
        <f aca="false">IFERROR((Z670-J670)/L670,"")</f>
        <v>0.0310048333333333</v>
      </c>
      <c r="O670" s="3" t="n">
        <v>14</v>
      </c>
      <c r="P670" s="13" t="b">
        <f aca="false">FALSE()</f>
        <v>0</v>
      </c>
      <c r="Q670" s="3" t="s">
        <v>166</v>
      </c>
      <c r="R670" s="12" t="n">
        <v>0.8052</v>
      </c>
      <c r="S670" s="12" t="n">
        <v>0.4917</v>
      </c>
      <c r="T670" s="3" t="n">
        <v>0.2214</v>
      </c>
      <c r="U670" s="12" t="n">
        <v>0.3791</v>
      </c>
      <c r="V670" s="12" t="n">
        <v>0.3844</v>
      </c>
      <c r="W670" s="12" t="n">
        <v>0.488</v>
      </c>
      <c r="X670" s="3" t="n">
        <v>0.372</v>
      </c>
      <c r="Y670" s="3" t="n">
        <v>0.8304</v>
      </c>
      <c r="Z670" s="14" t="n">
        <f aca="false">Assumptions!$B$3*R670+Assumptions!$B$4*S670+IF(AA670=1,Assumptions!$B$11,Assumptions!$B$5)*X670+IF(AA670=1,Assumptions!$B$12,Assumptions!$B$6)*T670+Assumptions!$B$7*U670+Assumptions!$B$8*V670+Assumptions!$B$9*Y670</f>
        <v>0.532429</v>
      </c>
      <c r="AA670" s="3" t="n">
        <v>0</v>
      </c>
    </row>
    <row r="671" customFormat="false" ht="15" hidden="false" customHeight="false" outlineLevel="0" collapsed="false">
      <c r="A671" s="3" t="s">
        <v>856</v>
      </c>
      <c r="B671" s="3" t="n">
        <v>449</v>
      </c>
      <c r="C671" s="11" t="str">
        <f aca="false">IF(M671&gt;=Assumptions!$B$17,"S+",IF(M671&gt;=Assumptions!$B$18,"S",IF(M671&gt;=Assumptions!$B$19,"A",IF(M671&gt;=Assumptions!$B$20,"B",IF(M671&gt;=Assumptions!$B$21,"C",IF(M671&gt;=Assumptions!$B$22,"D","F"))))))</f>
        <v>D</v>
      </c>
      <c r="D671" s="3" t="s">
        <v>228</v>
      </c>
      <c r="E671" s="3" t="n">
        <v>1</v>
      </c>
      <c r="F671" s="12" t="n">
        <v>0.4709</v>
      </c>
      <c r="G671" s="12" t="n">
        <v>0.8</v>
      </c>
      <c r="H671" s="12" t="n">
        <v>0.75</v>
      </c>
      <c r="I671" s="12" t="n">
        <v>0.6847</v>
      </c>
      <c r="J671" s="12" t="n">
        <v>0.3872</v>
      </c>
      <c r="K671" s="12" t="n">
        <v>0.5228</v>
      </c>
      <c r="L671" s="3" t="n">
        <v>3.74</v>
      </c>
      <c r="M671" s="12" t="n">
        <f aca="false">Z671-W671</f>
        <v>0.044361</v>
      </c>
      <c r="N671" s="12" t="n">
        <f aca="false">IFERROR((Z671-J671)/L671,"")</f>
        <v>0.036246256684492</v>
      </c>
      <c r="O671" s="3" t="n">
        <v>19</v>
      </c>
      <c r="P671" s="13" t="b">
        <f aca="false">FALSE()</f>
        <v>0</v>
      </c>
      <c r="Q671" s="3" t="s">
        <v>166</v>
      </c>
      <c r="R671" s="12" t="n">
        <v>0.7367</v>
      </c>
      <c r="S671" s="12" t="n">
        <v>0.5504</v>
      </c>
      <c r="T671" s="3" t="n">
        <v>0.4035</v>
      </c>
      <c r="U671" s="12" t="n">
        <v>0.3644</v>
      </c>
      <c r="V671" s="12" t="n">
        <v>0.4707</v>
      </c>
      <c r="W671" s="12" t="n">
        <v>0.4784</v>
      </c>
      <c r="X671" s="3" t="n">
        <v>0.3117</v>
      </c>
      <c r="Y671" s="3" t="n">
        <v>0.6215</v>
      </c>
      <c r="Z671" s="14" t="n">
        <f aca="false">Assumptions!$B$3*R671+Assumptions!$B$4*S671+IF(AA671=1,Assumptions!$B$11,Assumptions!$B$5)*X671+IF(AA671=1,Assumptions!$B$12,Assumptions!$B$6)*T671+Assumptions!$B$7*U671+Assumptions!$B$8*V671+Assumptions!$B$9*Y671</f>
        <v>0.522761</v>
      </c>
      <c r="AA671" s="3" t="n">
        <v>0</v>
      </c>
    </row>
    <row r="672" customFormat="false" ht="15" hidden="false" customHeight="false" outlineLevel="0" collapsed="false">
      <c r="A672" s="3" t="s">
        <v>857</v>
      </c>
      <c r="B672" s="3" t="n">
        <v>240</v>
      </c>
      <c r="C672" s="11" t="str">
        <f aca="false">IF(M672&gt;=Assumptions!$B$17,"S+",IF(M672&gt;=Assumptions!$B$18,"S",IF(M672&gt;=Assumptions!$B$19,"A",IF(M672&gt;=Assumptions!$B$20,"B",IF(M672&gt;=Assumptions!$B$21,"C",IF(M672&gt;=Assumptions!$B$22,"D","F"))))))</f>
        <v>D</v>
      </c>
      <c r="D672" s="3" t="s">
        <v>171</v>
      </c>
      <c r="E672" s="3" t="n">
        <v>1</v>
      </c>
      <c r="F672" s="12" t="n">
        <v>0.4057</v>
      </c>
      <c r="G672" s="12" t="n">
        <v>0.6</v>
      </c>
      <c r="H672" s="12" t="n">
        <v>0.75</v>
      </c>
      <c r="I672" s="12" t="n">
        <v>0.595</v>
      </c>
      <c r="J672" s="12" t="n">
        <v>0.2127</v>
      </c>
      <c r="K672" s="12" t="n">
        <v>0.4439</v>
      </c>
      <c r="L672" s="3" t="n">
        <v>5.58</v>
      </c>
      <c r="M672" s="12" t="n">
        <f aca="false">Z672-W672</f>
        <v>0.044079</v>
      </c>
      <c r="N672" s="12" t="n">
        <f aca="false">IFERROR((Z672-J672)/L672,"")</f>
        <v>0.0414299283154122</v>
      </c>
      <c r="O672" s="3" t="n">
        <v>19</v>
      </c>
      <c r="P672" s="13" t="b">
        <f aca="false">FALSE()</f>
        <v>0</v>
      </c>
      <c r="Q672" s="3" t="s">
        <v>166</v>
      </c>
      <c r="R672" s="12" t="n">
        <v>0.7088</v>
      </c>
      <c r="S672" s="12" t="n">
        <v>0.2093</v>
      </c>
      <c r="T672" s="3" t="n">
        <v>0.1028</v>
      </c>
      <c r="U672" s="12" t="n">
        <v>0.5101</v>
      </c>
      <c r="V672" s="12" t="n">
        <v>0.3872</v>
      </c>
      <c r="W672" s="12" t="n">
        <v>0.3998</v>
      </c>
      <c r="X672" s="3" t="n">
        <v>0.3213</v>
      </c>
      <c r="Y672" s="3" t="n">
        <v>0.5337</v>
      </c>
      <c r="Z672" s="14" t="n">
        <f aca="false">Assumptions!$B$3*R672+Assumptions!$B$4*S672+IF(AA672=1,Assumptions!$B$11,Assumptions!$B$5)*X672+IF(AA672=1,Assumptions!$B$12,Assumptions!$B$6)*T672+Assumptions!$B$7*U672+Assumptions!$B$8*V672+Assumptions!$B$9*Y672</f>
        <v>0.443879</v>
      </c>
      <c r="AA672" s="3" t="n">
        <v>1</v>
      </c>
    </row>
    <row r="673" customFormat="false" ht="15" hidden="false" customHeight="false" outlineLevel="0" collapsed="false">
      <c r="A673" s="3" t="s">
        <v>858</v>
      </c>
      <c r="B673" s="3" t="n">
        <v>515</v>
      </c>
      <c r="C673" s="11" t="str">
        <f aca="false">IF(M673&gt;=Assumptions!$B$17,"S+",IF(M673&gt;=Assumptions!$B$18,"S",IF(M673&gt;=Assumptions!$B$19,"A",IF(M673&gt;=Assumptions!$B$20,"B",IF(M673&gt;=Assumptions!$B$21,"C",IF(M673&gt;=Assumptions!$B$22,"D","F"))))))</f>
        <v>D</v>
      </c>
      <c r="D673" s="3" t="s">
        <v>190</v>
      </c>
      <c r="E673" s="3" t="n">
        <v>7</v>
      </c>
      <c r="F673" s="12" t="n">
        <v>0.641</v>
      </c>
      <c r="G673" s="12" t="n">
        <v>1</v>
      </c>
      <c r="H673" s="12" t="n">
        <v>0.75</v>
      </c>
      <c r="I673" s="12" t="n">
        <v>0.8136</v>
      </c>
      <c r="J673" s="12" t="n">
        <v>0.3962</v>
      </c>
      <c r="K673" s="12" t="n">
        <v>0.5208</v>
      </c>
      <c r="L673" s="3" t="n">
        <v>4</v>
      </c>
      <c r="M673" s="12" t="n">
        <f aca="false">Z673-W673</f>
        <v>0.043915</v>
      </c>
      <c r="N673" s="12" t="n">
        <f aca="false">IFERROR((Z673-J673)/L673,"")</f>
        <v>0.03115375</v>
      </c>
      <c r="O673" s="3" t="n">
        <v>13</v>
      </c>
      <c r="P673" s="13" t="b">
        <f aca="false">FALSE()</f>
        <v>0</v>
      </c>
      <c r="Q673" s="3" t="s">
        <v>166</v>
      </c>
      <c r="R673" s="12" t="n">
        <v>0.8877</v>
      </c>
      <c r="S673" s="12" t="n">
        <v>0.4176</v>
      </c>
      <c r="T673" s="3" t="n">
        <v>0.0896</v>
      </c>
      <c r="U673" s="12" t="n">
        <v>0.3787</v>
      </c>
      <c r="V673" s="12" t="n">
        <v>0.3479</v>
      </c>
      <c r="W673" s="12" t="n">
        <v>0.4769</v>
      </c>
      <c r="X673" s="3" t="n">
        <v>0.3687</v>
      </c>
      <c r="Y673" s="3" t="n">
        <v>0.8149</v>
      </c>
      <c r="Z673" s="14" t="n">
        <f aca="false">Assumptions!$B$3*R673+Assumptions!$B$4*S673+IF(AA673=1,Assumptions!$B$11,Assumptions!$B$5)*X673+IF(AA673=1,Assumptions!$B$12,Assumptions!$B$6)*T673+Assumptions!$B$7*U673+Assumptions!$B$8*V673+Assumptions!$B$9*Y673</f>
        <v>0.520815</v>
      </c>
      <c r="AA673" s="3" t="n">
        <v>0</v>
      </c>
    </row>
    <row r="674" customFormat="false" ht="15" hidden="false" customHeight="false" outlineLevel="0" collapsed="false">
      <c r="A674" s="3" t="s">
        <v>859</v>
      </c>
      <c r="B674" s="3" t="n">
        <v>325</v>
      </c>
      <c r="C674" s="11" t="str">
        <f aca="false">IF(M674&gt;=Assumptions!$B$17,"S+",IF(M674&gt;=Assumptions!$B$18,"S",IF(M674&gt;=Assumptions!$B$19,"A",IF(M674&gt;=Assumptions!$B$20,"B",IF(M674&gt;=Assumptions!$B$21,"C",IF(M674&gt;=Assumptions!$B$22,"D","F"))))))</f>
        <v>D</v>
      </c>
      <c r="D674" s="3" t="s">
        <v>186</v>
      </c>
      <c r="E674" s="3" t="n">
        <v>1</v>
      </c>
      <c r="F674" s="12" t="n">
        <v>0.6425</v>
      </c>
      <c r="G674" s="12" t="n">
        <v>0.85</v>
      </c>
      <c r="H674" s="12" t="n">
        <v>0.75</v>
      </c>
      <c r="I674" s="12" t="n">
        <v>0.7926</v>
      </c>
      <c r="J674" s="12" t="n">
        <v>0.3347</v>
      </c>
      <c r="K674" s="12" t="n">
        <v>0.4796</v>
      </c>
      <c r="L674" s="3" t="n">
        <v>5.76</v>
      </c>
      <c r="M674" s="12" t="n">
        <f aca="false">Z674-W674</f>
        <v>0.0437499999999999</v>
      </c>
      <c r="N674" s="12" t="n">
        <f aca="false">IFERROR((Z674-J674)/L674,"")</f>
        <v>0.0251475694444444</v>
      </c>
      <c r="O674" s="3" t="n">
        <v>19</v>
      </c>
      <c r="P674" s="13" t="b">
        <f aca="false">FALSE()</f>
        <v>0</v>
      </c>
      <c r="Q674" s="3" t="s">
        <v>166</v>
      </c>
      <c r="R674" s="12" t="n">
        <v>0.6675</v>
      </c>
      <c r="S674" s="12" t="n">
        <v>0.4323</v>
      </c>
      <c r="T674" s="3" t="n">
        <v>0.1645</v>
      </c>
      <c r="U674" s="12" t="n">
        <v>0.3927</v>
      </c>
      <c r="V674" s="12" t="n">
        <v>0.4463</v>
      </c>
      <c r="W674" s="12" t="n">
        <v>0.4358</v>
      </c>
      <c r="X674" s="3" t="n">
        <v>0.2978</v>
      </c>
      <c r="Y674" s="3" t="n">
        <v>0.7474</v>
      </c>
      <c r="Z674" s="14" t="n">
        <f aca="false">Assumptions!$B$3*R674+Assumptions!$B$4*S674+IF(AA674=1,Assumptions!$B$11,Assumptions!$B$5)*X674+IF(AA674=1,Assumptions!$B$12,Assumptions!$B$6)*T674+Assumptions!$B$7*U674+Assumptions!$B$8*V674+Assumptions!$B$9*Y674</f>
        <v>0.47955</v>
      </c>
      <c r="AA674" s="3" t="n">
        <v>1</v>
      </c>
    </row>
    <row r="675" customFormat="false" ht="15" hidden="false" customHeight="false" outlineLevel="0" collapsed="false">
      <c r="A675" s="3" t="s">
        <v>860</v>
      </c>
      <c r="B675" s="3" t="n">
        <v>495</v>
      </c>
      <c r="C675" s="11" t="str">
        <f aca="false">IF(M675&gt;=Assumptions!$B$17,"S+",IF(M675&gt;=Assumptions!$B$18,"S",IF(M675&gt;=Assumptions!$B$19,"A",IF(M675&gt;=Assumptions!$B$20,"B",IF(M675&gt;=Assumptions!$B$21,"C",IF(M675&gt;=Assumptions!$B$22,"D","F"))))))</f>
        <v>D</v>
      </c>
      <c r="D675" s="3" t="s">
        <v>228</v>
      </c>
      <c r="E675" s="3" t="n">
        <v>4</v>
      </c>
      <c r="F675" s="12" t="n">
        <v>0.8068</v>
      </c>
      <c r="G675" s="12" t="n">
        <v>0.6</v>
      </c>
      <c r="H675" s="12" t="n">
        <v>0.75</v>
      </c>
      <c r="I675" s="12" t="n">
        <v>0.6962</v>
      </c>
      <c r="J675" s="12" t="n">
        <v>0.333</v>
      </c>
      <c r="K675" s="12" t="n">
        <v>0.512</v>
      </c>
      <c r="L675" s="3" t="n">
        <v>3.94</v>
      </c>
      <c r="M675" s="12" t="n">
        <f aca="false">Z675-W675</f>
        <v>0.0436590000000001</v>
      </c>
      <c r="N675" s="12" t="n">
        <f aca="false">IFERROR((Z675-J675)/L675,"")</f>
        <v>0.0454210659898477</v>
      </c>
      <c r="O675" s="3" t="n">
        <v>16</v>
      </c>
      <c r="P675" s="13" t="b">
        <f aca="false">FALSE()</f>
        <v>0</v>
      </c>
      <c r="Q675" s="3" t="s">
        <v>166</v>
      </c>
      <c r="R675" s="12" t="n">
        <v>0.7828</v>
      </c>
      <c r="S675" s="12" t="n">
        <v>0.4327</v>
      </c>
      <c r="T675" s="3" t="n">
        <v>0.4308</v>
      </c>
      <c r="U675" s="12" t="n">
        <v>0.2692</v>
      </c>
      <c r="V675" s="12" t="n">
        <v>0.4748</v>
      </c>
      <c r="W675" s="12" t="n">
        <v>0.4683</v>
      </c>
      <c r="X675" s="3" t="n">
        <v>0.2842</v>
      </c>
      <c r="Y675" s="3" t="n">
        <v>0.6721</v>
      </c>
      <c r="Z675" s="14" t="n">
        <f aca="false">Assumptions!$B$3*R675+Assumptions!$B$4*S675+IF(AA675=1,Assumptions!$B$11,Assumptions!$B$5)*X675+IF(AA675=1,Assumptions!$B$12,Assumptions!$B$6)*T675+Assumptions!$B$7*U675+Assumptions!$B$8*V675+Assumptions!$B$9*Y675</f>
        <v>0.511959</v>
      </c>
      <c r="AA675" s="3" t="n">
        <v>0</v>
      </c>
    </row>
    <row r="676" customFormat="false" ht="15" hidden="false" customHeight="false" outlineLevel="0" collapsed="false">
      <c r="A676" s="3" t="s">
        <v>861</v>
      </c>
      <c r="B676" s="3" t="n">
        <v>515</v>
      </c>
      <c r="C676" s="11" t="str">
        <f aca="false">IF(M676&gt;=Assumptions!$B$17,"S+",IF(M676&gt;=Assumptions!$B$18,"S",IF(M676&gt;=Assumptions!$B$19,"A",IF(M676&gt;=Assumptions!$B$20,"B",IF(M676&gt;=Assumptions!$B$21,"C",IF(M676&gt;=Assumptions!$B$22,"D","F"))))))</f>
        <v>D</v>
      </c>
      <c r="D676" s="3" t="s">
        <v>253</v>
      </c>
      <c r="E676" s="3" t="n">
        <v>6</v>
      </c>
      <c r="F676" s="12" t="n">
        <v>0.9361</v>
      </c>
      <c r="G676" s="12" t="n">
        <v>1</v>
      </c>
      <c r="H676" s="12" t="n">
        <v>0.75</v>
      </c>
      <c r="I676" s="12" t="n">
        <v>0.9295</v>
      </c>
      <c r="J676" s="12" t="n">
        <v>0.3121</v>
      </c>
      <c r="K676" s="12" t="n">
        <v>0.5621</v>
      </c>
      <c r="L676" s="3" t="n">
        <v>5.64</v>
      </c>
      <c r="M676" s="12" t="n">
        <f aca="false">Z676-W676</f>
        <v>0.043313</v>
      </c>
      <c r="N676" s="12" t="n">
        <f aca="false">IFERROR((Z676-J676)/L676,"")</f>
        <v>0.0443285460992908</v>
      </c>
      <c r="O676" s="3" t="n">
        <v>14</v>
      </c>
      <c r="P676" s="13" t="b">
        <f aca="false">FALSE()</f>
        <v>0</v>
      </c>
      <c r="Q676" s="3" t="s">
        <v>166</v>
      </c>
      <c r="R676" s="12" t="n">
        <v>0.8273</v>
      </c>
      <c r="S676" s="12" t="n">
        <v>0.4217</v>
      </c>
      <c r="T676" s="3" t="n">
        <v>0.3479</v>
      </c>
      <c r="U676" s="12" t="n">
        <v>0.5</v>
      </c>
      <c r="V676" s="12" t="n">
        <v>0.4776</v>
      </c>
      <c r="W676" s="12" t="n">
        <v>0.5188</v>
      </c>
      <c r="X676" s="3" t="n">
        <v>0.3161</v>
      </c>
      <c r="Y676" s="3" t="n">
        <v>0.889</v>
      </c>
      <c r="Z676" s="14" t="n">
        <f aca="false">Assumptions!$B$3*R676+Assumptions!$B$4*S676+IF(AA676=1,Assumptions!$B$11,Assumptions!$B$5)*X676+IF(AA676=1,Assumptions!$B$12,Assumptions!$B$6)*T676+Assumptions!$B$7*U676+Assumptions!$B$8*V676+Assumptions!$B$9*Y676</f>
        <v>0.562113</v>
      </c>
      <c r="AA676" s="3" t="n">
        <v>0</v>
      </c>
    </row>
    <row r="677" customFormat="false" ht="15" hidden="false" customHeight="false" outlineLevel="0" collapsed="false">
      <c r="A677" s="3" t="s">
        <v>862</v>
      </c>
      <c r="B677" s="3" t="n">
        <v>600</v>
      </c>
      <c r="C677" s="11" t="str">
        <f aca="false">IF(M677&gt;=Assumptions!$B$17,"S+",IF(M677&gt;=Assumptions!$B$18,"S",IF(M677&gt;=Assumptions!$B$19,"A",IF(M677&gt;=Assumptions!$B$20,"B",IF(M677&gt;=Assumptions!$B$21,"C",IF(M677&gt;=Assumptions!$B$22,"D","F"))))))</f>
        <v>D</v>
      </c>
      <c r="D677" s="3" t="s">
        <v>253</v>
      </c>
      <c r="E677" s="3" t="n">
        <v>13</v>
      </c>
      <c r="F677" s="12" t="n">
        <v>0.8898</v>
      </c>
      <c r="G677" s="12" t="n">
        <v>0.4</v>
      </c>
      <c r="H677" s="12" t="n">
        <v>0.75</v>
      </c>
      <c r="I677" s="12" t="n">
        <v>0.6267</v>
      </c>
      <c r="J677" s="12" t="n">
        <v>0.3442</v>
      </c>
      <c r="K677" s="12" t="n">
        <v>0.5713</v>
      </c>
      <c r="L677" s="3" t="n">
        <v>4</v>
      </c>
      <c r="M677" s="12" t="n">
        <f aca="false">Z677-W677</f>
        <v>0.043357</v>
      </c>
      <c r="N677" s="12" t="n">
        <f aca="false">IFERROR((Z677-J677)/L677,"")</f>
        <v>0.05678925</v>
      </c>
      <c r="O677" s="3" t="n">
        <v>7</v>
      </c>
      <c r="P677" s="13" t="b">
        <f aca="false">FALSE()</f>
        <v>0</v>
      </c>
      <c r="Q677" s="3" t="s">
        <v>166</v>
      </c>
      <c r="R677" s="12" t="n">
        <v>0.8833</v>
      </c>
      <c r="S677" s="12" t="n">
        <v>0.5535</v>
      </c>
      <c r="T677" s="3" t="n">
        <v>0.1191</v>
      </c>
      <c r="U677" s="12" t="n">
        <v>0.3626</v>
      </c>
      <c r="V677" s="12" t="n">
        <v>0.4752</v>
      </c>
      <c r="W677" s="12" t="n">
        <v>0.528</v>
      </c>
      <c r="X677" s="3" t="n">
        <v>0.582</v>
      </c>
      <c r="Y677" s="3" t="n">
        <v>0.6273</v>
      </c>
      <c r="Z677" s="14" t="n">
        <f aca="false">Assumptions!$B$3*R677+Assumptions!$B$4*S677+IF(AA677=1,Assumptions!$B$11,Assumptions!$B$5)*X677+IF(AA677=1,Assumptions!$B$12,Assumptions!$B$6)*T677+Assumptions!$B$7*U677+Assumptions!$B$8*V677+Assumptions!$B$9*Y677</f>
        <v>0.571357</v>
      </c>
      <c r="AA677" s="3" t="n">
        <v>0</v>
      </c>
    </row>
    <row r="678" customFormat="false" ht="15" hidden="false" customHeight="false" outlineLevel="0" collapsed="false">
      <c r="A678" s="3" t="s">
        <v>863</v>
      </c>
      <c r="B678" s="3" t="n">
        <v>335</v>
      </c>
      <c r="C678" s="11" t="str">
        <f aca="false">IF(M678&gt;=Assumptions!$B$17,"S+",IF(M678&gt;=Assumptions!$B$18,"S",IF(M678&gt;=Assumptions!$B$19,"A",IF(M678&gt;=Assumptions!$B$20,"B",IF(M678&gt;=Assumptions!$B$21,"C",IF(M678&gt;=Assumptions!$B$22,"D","F"))))))</f>
        <v>D</v>
      </c>
      <c r="D678" s="3" t="s">
        <v>173</v>
      </c>
      <c r="E678" s="3" t="n">
        <v>1</v>
      </c>
      <c r="F678" s="12" t="n">
        <v>0.6401</v>
      </c>
      <c r="G678" s="12" t="n">
        <v>0.3</v>
      </c>
      <c r="H678" s="12" t="n">
        <v>0.75</v>
      </c>
      <c r="I678" s="12" t="n">
        <v>0.4512</v>
      </c>
      <c r="J678" s="12" t="n">
        <v>0.2491</v>
      </c>
      <c r="K678" s="12" t="n">
        <v>0.464</v>
      </c>
      <c r="L678" s="3" t="n">
        <v>3.45</v>
      </c>
      <c r="M678" s="12" t="n">
        <f aca="false">Z678-W678</f>
        <v>0.042636</v>
      </c>
      <c r="N678" s="12" t="n">
        <f aca="false">IFERROR((Z678-J678)/L678,"")</f>
        <v>0.0623002898550725</v>
      </c>
      <c r="O678" s="3" t="n">
        <v>19</v>
      </c>
      <c r="P678" s="13" t="b">
        <f aca="false">FALSE()</f>
        <v>0</v>
      </c>
      <c r="Q678" s="3" t="s">
        <v>166</v>
      </c>
      <c r="R678" s="12" t="n">
        <v>0.5688</v>
      </c>
      <c r="S678" s="12" t="n">
        <v>0.5045</v>
      </c>
      <c r="T678" s="3" t="n">
        <v>0.0911</v>
      </c>
      <c r="U678" s="12" t="n">
        <v>0.247</v>
      </c>
      <c r="V678" s="12" t="n">
        <v>0.4293</v>
      </c>
      <c r="W678" s="12" t="n">
        <v>0.4214</v>
      </c>
      <c r="X678" s="3" t="n">
        <v>0.5174</v>
      </c>
      <c r="Y678" s="3" t="n">
        <v>0.4073</v>
      </c>
      <c r="Z678" s="14" t="n">
        <f aca="false">Assumptions!$B$3*R678+Assumptions!$B$4*S678+IF(AA678=1,Assumptions!$B$11,Assumptions!$B$5)*X678+IF(AA678=1,Assumptions!$B$12,Assumptions!$B$6)*T678+Assumptions!$B$7*U678+Assumptions!$B$8*V678+Assumptions!$B$9*Y678</f>
        <v>0.464036</v>
      </c>
      <c r="AA678" s="3" t="n">
        <v>1</v>
      </c>
    </row>
    <row r="679" customFormat="false" ht="15" hidden="false" customHeight="false" outlineLevel="0" collapsed="false">
      <c r="A679" s="3" t="s">
        <v>864</v>
      </c>
      <c r="B679" s="3" t="n">
        <v>410</v>
      </c>
      <c r="C679" s="11" t="str">
        <f aca="false">IF(M679&gt;=Assumptions!$B$17,"S+",IF(M679&gt;=Assumptions!$B$18,"S",IF(M679&gt;=Assumptions!$B$19,"A",IF(M679&gt;=Assumptions!$B$20,"B",IF(M679&gt;=Assumptions!$B$21,"C",IF(M679&gt;=Assumptions!$B$22,"D","F"))))))</f>
        <v>D</v>
      </c>
      <c r="D679" s="3" t="s">
        <v>197</v>
      </c>
      <c r="E679" s="3" t="n">
        <v>1</v>
      </c>
      <c r="F679" s="12" t="n">
        <v>0.2147</v>
      </c>
      <c r="G679" s="12" t="n">
        <v>0.8</v>
      </c>
      <c r="H679" s="12" t="n">
        <v>0.75</v>
      </c>
      <c r="I679" s="12" t="n">
        <v>0.5676</v>
      </c>
      <c r="J679" s="12" t="n">
        <v>0.2693</v>
      </c>
      <c r="K679" s="12" t="n">
        <v>0.5431</v>
      </c>
      <c r="L679" s="3" t="n">
        <v>6.63</v>
      </c>
      <c r="M679" s="12" t="n">
        <f aca="false">Z679-W679</f>
        <v>0.0425730000000001</v>
      </c>
      <c r="N679" s="12" t="n">
        <f aca="false">IFERROR((Z679-J679)/L679,"")</f>
        <v>0.0412930618401207</v>
      </c>
      <c r="O679" s="3" t="n">
        <v>19</v>
      </c>
      <c r="P679" s="13" t="b">
        <f aca="false">FALSE()</f>
        <v>0</v>
      </c>
      <c r="Q679" s="3" t="s">
        <v>166</v>
      </c>
      <c r="R679" s="12" t="n">
        <v>0.6066</v>
      </c>
      <c r="S679" s="12" t="n">
        <v>0.7433</v>
      </c>
      <c r="T679" s="3" t="n">
        <v>0.1104</v>
      </c>
      <c r="U679" s="12" t="n">
        <v>0.3765</v>
      </c>
      <c r="V679" s="12" t="n">
        <v>0.5602</v>
      </c>
      <c r="W679" s="12" t="n">
        <v>0.5005</v>
      </c>
      <c r="X679" s="3" t="n">
        <v>0.6857</v>
      </c>
      <c r="Y679" s="3" t="n">
        <v>0.5163</v>
      </c>
      <c r="Z679" s="14" t="n">
        <f aca="false">Assumptions!$B$3*R679+Assumptions!$B$4*S679+IF(AA679=1,Assumptions!$B$11,Assumptions!$B$5)*X679+IF(AA679=1,Assumptions!$B$12,Assumptions!$B$6)*T679+Assumptions!$B$7*U679+Assumptions!$B$8*V679+Assumptions!$B$9*Y679</f>
        <v>0.543073</v>
      </c>
      <c r="AA679" s="3" t="n">
        <v>0</v>
      </c>
    </row>
    <row r="680" customFormat="false" ht="15" hidden="false" customHeight="false" outlineLevel="0" collapsed="false">
      <c r="A680" s="3" t="s">
        <v>865</v>
      </c>
      <c r="B680" s="3" t="n">
        <v>498</v>
      </c>
      <c r="C680" s="11" t="str">
        <f aca="false">IF(M680&gt;=Assumptions!$B$17,"S+",IF(M680&gt;=Assumptions!$B$18,"S",IF(M680&gt;=Assumptions!$B$19,"A",IF(M680&gt;=Assumptions!$B$20,"B",IF(M680&gt;=Assumptions!$B$21,"C",IF(M680&gt;=Assumptions!$B$22,"D","F"))))))</f>
        <v>D</v>
      </c>
      <c r="D680" s="3" t="s">
        <v>197</v>
      </c>
      <c r="E680" s="3" t="n">
        <v>4</v>
      </c>
      <c r="F680" s="12" t="n">
        <v>0.6177</v>
      </c>
      <c r="G680" s="12" t="n">
        <v>0.8</v>
      </c>
      <c r="H680" s="12" t="n">
        <v>0.75</v>
      </c>
      <c r="I680" s="12" t="n">
        <v>0.7207</v>
      </c>
      <c r="J680" s="12" t="n">
        <v>0.3709</v>
      </c>
      <c r="K680" s="12" t="n">
        <v>0.54</v>
      </c>
      <c r="L680" s="3" t="n">
        <v>4.88</v>
      </c>
      <c r="M680" s="12" t="n">
        <f aca="false">Z680-W680</f>
        <v>0.042529</v>
      </c>
      <c r="N680" s="12" t="n">
        <f aca="false">IFERROR((Z680-J680)/L680,"")</f>
        <v>0.0346575819672131</v>
      </c>
      <c r="O680" s="3" t="n">
        <v>16</v>
      </c>
      <c r="P680" s="13" t="b">
        <f aca="false">FALSE()</f>
        <v>0</v>
      </c>
      <c r="Q680" s="3" t="s">
        <v>166</v>
      </c>
      <c r="R680" s="12" t="n">
        <v>0.7634</v>
      </c>
      <c r="S680" s="12" t="n">
        <v>0.5761</v>
      </c>
      <c r="T680" s="3" t="n">
        <v>0.301</v>
      </c>
      <c r="U680" s="12" t="n">
        <v>0.3077</v>
      </c>
      <c r="V680" s="12" t="n">
        <v>0.5186</v>
      </c>
      <c r="W680" s="12" t="n">
        <v>0.4975</v>
      </c>
      <c r="X680" s="3" t="n">
        <v>0.3939</v>
      </c>
      <c r="Y680" s="3" t="n">
        <v>0.6817</v>
      </c>
      <c r="Z680" s="14" t="n">
        <f aca="false">Assumptions!$B$3*R680+Assumptions!$B$4*S680+IF(AA680=1,Assumptions!$B$11,Assumptions!$B$5)*X680+IF(AA680=1,Assumptions!$B$12,Assumptions!$B$6)*T680+Assumptions!$B$7*U680+Assumptions!$B$8*V680+Assumptions!$B$9*Y680</f>
        <v>0.540029</v>
      </c>
      <c r="AA680" s="3" t="n">
        <v>0</v>
      </c>
    </row>
    <row r="681" customFormat="false" ht="15" hidden="false" customHeight="false" outlineLevel="0" collapsed="false">
      <c r="A681" s="3" t="s">
        <v>866</v>
      </c>
      <c r="B681" s="3" t="n">
        <v>570</v>
      </c>
      <c r="C681" s="11" t="str">
        <f aca="false">IF(M681&gt;=Assumptions!$B$17,"S+",IF(M681&gt;=Assumptions!$B$18,"S",IF(M681&gt;=Assumptions!$B$19,"A",IF(M681&gt;=Assumptions!$B$20,"B",IF(M681&gt;=Assumptions!$B$21,"C",IF(M681&gt;=Assumptions!$B$22,"D","F"))))))</f>
        <v>D</v>
      </c>
      <c r="D681" s="3" t="s">
        <v>197</v>
      </c>
      <c r="E681" s="3" t="n">
        <v>1</v>
      </c>
      <c r="F681" s="12" t="n">
        <v>0.9521</v>
      </c>
      <c r="G681" s="12" t="n">
        <v>0.8</v>
      </c>
      <c r="H681" s="12" t="n">
        <v>0.75</v>
      </c>
      <c r="I681" s="12" t="n">
        <v>0.8478</v>
      </c>
      <c r="J681" s="12" t="n">
        <v>0.4094</v>
      </c>
      <c r="K681" s="12" t="n">
        <v>0.5508</v>
      </c>
      <c r="L681" s="3" t="n">
        <v>3.68</v>
      </c>
      <c r="M681" s="12" t="n">
        <f aca="false">Z681-W681</f>
        <v>0.042349</v>
      </c>
      <c r="N681" s="12" t="n">
        <f aca="false">IFERROR((Z681-J681)/L681,"")</f>
        <v>0.0384372282608695</v>
      </c>
      <c r="O681" s="3" t="n">
        <v>19</v>
      </c>
      <c r="P681" s="13" t="b">
        <f aca="false">FALSE()</f>
        <v>0</v>
      </c>
      <c r="Q681" s="3" t="s">
        <v>166</v>
      </c>
      <c r="R681" s="12" t="n">
        <v>0.7793</v>
      </c>
      <c r="S681" s="12" t="n">
        <v>0.4398</v>
      </c>
      <c r="T681" s="3" t="n">
        <v>0.8458</v>
      </c>
      <c r="U681" s="12" t="n">
        <v>0.3927</v>
      </c>
      <c r="V681" s="12" t="n">
        <v>0.3883</v>
      </c>
      <c r="W681" s="12" t="n">
        <v>0.5085</v>
      </c>
      <c r="X681" s="3" t="n">
        <v>0.2007</v>
      </c>
      <c r="Y681" s="3" t="n">
        <v>0.6667</v>
      </c>
      <c r="Z681" s="14" t="n">
        <f aca="false">Assumptions!$B$3*R681+Assumptions!$B$4*S681+IF(AA681=1,Assumptions!$B$11,Assumptions!$B$5)*X681+IF(AA681=1,Assumptions!$B$12,Assumptions!$B$6)*T681+Assumptions!$B$7*U681+Assumptions!$B$8*V681+Assumptions!$B$9*Y681</f>
        <v>0.550849</v>
      </c>
      <c r="AA681" s="3" t="n">
        <v>0</v>
      </c>
    </row>
    <row r="682" customFormat="false" ht="15" hidden="false" customHeight="false" outlineLevel="0" collapsed="false">
      <c r="A682" s="3" t="s">
        <v>867</v>
      </c>
      <c r="B682" s="3" t="n">
        <v>474</v>
      </c>
      <c r="C682" s="11" t="str">
        <f aca="false">IF(M682&gt;=Assumptions!$B$17,"S+",IF(M682&gt;=Assumptions!$B$18,"S",IF(M682&gt;=Assumptions!$B$19,"A",IF(M682&gt;=Assumptions!$B$20,"B",IF(M682&gt;=Assumptions!$B$21,"C",IF(M682&gt;=Assumptions!$B$22,"D","F"))))))</f>
        <v>D</v>
      </c>
      <c r="D682" s="3" t="s">
        <v>218</v>
      </c>
      <c r="E682" s="3" t="n">
        <v>3</v>
      </c>
      <c r="F682" s="12" t="n">
        <v>0.9117</v>
      </c>
      <c r="G682" s="12" t="n">
        <v>1</v>
      </c>
      <c r="H682" s="12" t="n">
        <v>0.75</v>
      </c>
      <c r="I682" s="12" t="n">
        <v>0.9218</v>
      </c>
      <c r="J682" s="12" t="n">
        <v>0.3731</v>
      </c>
      <c r="K682" s="12" t="n">
        <v>0.5636</v>
      </c>
      <c r="L682" s="3" t="n">
        <v>4.18</v>
      </c>
      <c r="M682" s="12" t="n">
        <f aca="false">Z682-W682</f>
        <v>0.0412630000000001</v>
      </c>
      <c r="N682" s="12" t="n">
        <f aca="false">IFERROR((Z682-J682)/L682,"")</f>
        <v>0.0455653110047847</v>
      </c>
      <c r="O682" s="3" t="n">
        <v>17</v>
      </c>
      <c r="P682" s="13" t="b">
        <f aca="false">FALSE()</f>
        <v>0</v>
      </c>
      <c r="Q682" s="3" t="s">
        <v>166</v>
      </c>
      <c r="R682" s="12" t="n">
        <v>0.7858</v>
      </c>
      <c r="S682" s="12" t="n">
        <v>0.6753</v>
      </c>
      <c r="T682" s="3" t="n">
        <v>0.1391</v>
      </c>
      <c r="U682" s="12" t="n">
        <v>0.371</v>
      </c>
      <c r="V682" s="12" t="n">
        <v>0.4638</v>
      </c>
      <c r="W682" s="12" t="n">
        <v>0.5223</v>
      </c>
      <c r="X682" s="3" t="n">
        <v>0.432</v>
      </c>
      <c r="Y682" s="3" t="n">
        <v>0.8403</v>
      </c>
      <c r="Z682" s="14" t="n">
        <f aca="false">Assumptions!$B$3*R682+Assumptions!$B$4*S682+IF(AA682=1,Assumptions!$B$11,Assumptions!$B$5)*X682+IF(AA682=1,Assumptions!$B$12,Assumptions!$B$6)*T682+Assumptions!$B$7*U682+Assumptions!$B$8*V682+Assumptions!$B$9*Y682</f>
        <v>0.563563</v>
      </c>
      <c r="AA682" s="3" t="n">
        <v>0</v>
      </c>
    </row>
    <row r="683" customFormat="false" ht="15" hidden="false" customHeight="false" outlineLevel="0" collapsed="false">
      <c r="A683" s="3" t="s">
        <v>868</v>
      </c>
      <c r="B683" s="3" t="n">
        <v>429</v>
      </c>
      <c r="C683" s="11" t="str">
        <f aca="false">IF(M683&gt;=Assumptions!$B$17,"S+",IF(M683&gt;=Assumptions!$B$18,"S",IF(M683&gt;=Assumptions!$B$19,"A",IF(M683&gt;=Assumptions!$B$20,"B",IF(M683&gt;=Assumptions!$B$21,"C",IF(M683&gt;=Assumptions!$B$22,"D","F"))))))</f>
        <v>D</v>
      </c>
      <c r="D683" s="3" t="s">
        <v>165</v>
      </c>
      <c r="E683" s="3" t="n">
        <v>1</v>
      </c>
      <c r="F683" s="12" t="n">
        <v>0.7188</v>
      </c>
      <c r="G683" s="12" t="n">
        <v>0.76</v>
      </c>
      <c r="H683" s="12" t="n">
        <v>0.5238</v>
      </c>
      <c r="I683" s="12" t="n">
        <v>0.6894</v>
      </c>
      <c r="J683" s="12" t="n">
        <v>0.3475</v>
      </c>
      <c r="K683" s="12" t="n">
        <v>0.5037</v>
      </c>
      <c r="L683" s="3" t="n">
        <v>4.71</v>
      </c>
      <c r="M683" s="12" t="n">
        <f aca="false">Z683-W683</f>
        <v>0.0408290000000001</v>
      </c>
      <c r="N683" s="12" t="n">
        <f aca="false">IFERROR((Z683-J683)/L683,"")</f>
        <v>0.0331696390658174</v>
      </c>
      <c r="O683" s="3" t="n">
        <v>19</v>
      </c>
      <c r="P683" s="13" t="b">
        <f aca="false">FALSE()</f>
        <v>0</v>
      </c>
      <c r="Q683" s="3" t="s">
        <v>166</v>
      </c>
      <c r="R683" s="12" t="n">
        <v>0.7114</v>
      </c>
      <c r="S683" s="12" t="n">
        <v>0.5763</v>
      </c>
      <c r="T683" s="3" t="n">
        <v>0.1823</v>
      </c>
      <c r="U683" s="12" t="n">
        <v>0.332</v>
      </c>
      <c r="V683" s="12" t="n">
        <v>0.4484</v>
      </c>
      <c r="W683" s="12" t="n">
        <v>0.4629</v>
      </c>
      <c r="X683" s="3" t="n">
        <v>0.3396</v>
      </c>
      <c r="Y683" s="3" t="n">
        <v>0.61</v>
      </c>
      <c r="Z683" s="14" t="n">
        <f aca="false">Assumptions!$B$3*R683+Assumptions!$B$4*S683+IF(AA683=1,Assumptions!$B$11,Assumptions!$B$5)*X683+IF(AA683=1,Assumptions!$B$12,Assumptions!$B$6)*T683+Assumptions!$B$7*U683+Assumptions!$B$8*V683+Assumptions!$B$9*Y683</f>
        <v>0.503729</v>
      </c>
      <c r="AA683" s="3" t="n">
        <v>1</v>
      </c>
    </row>
    <row r="684" customFormat="false" ht="15" hidden="false" customHeight="false" outlineLevel="0" collapsed="false">
      <c r="A684" s="3" t="s">
        <v>869</v>
      </c>
      <c r="B684" s="3" t="n">
        <v>523</v>
      </c>
      <c r="C684" s="11" t="str">
        <f aca="false">IF(M684&gt;=Assumptions!$B$17,"S+",IF(M684&gt;=Assumptions!$B$18,"S",IF(M684&gt;=Assumptions!$B$19,"A",IF(M684&gt;=Assumptions!$B$20,"B",IF(M684&gt;=Assumptions!$B$21,"C",IF(M684&gt;=Assumptions!$B$22,"D","F"))))))</f>
        <v>D</v>
      </c>
      <c r="D684" s="3" t="s">
        <v>218</v>
      </c>
      <c r="E684" s="3" t="n">
        <v>7</v>
      </c>
      <c r="F684" s="12" t="n">
        <v>0.6999</v>
      </c>
      <c r="G684" s="12" t="n">
        <v>0.6</v>
      </c>
      <c r="H684" s="12" t="n">
        <v>0.75</v>
      </c>
      <c r="I684" s="12" t="n">
        <v>0.662</v>
      </c>
      <c r="J684" s="12" t="n">
        <v>0.4057</v>
      </c>
      <c r="K684" s="12" t="n">
        <v>0.5516</v>
      </c>
      <c r="L684" s="3" t="n">
        <v>4</v>
      </c>
      <c r="M684" s="12" t="n">
        <f aca="false">Z684-W684</f>
        <v>0.0409079999999999</v>
      </c>
      <c r="N684" s="12" t="n">
        <f aca="false">IFERROR((Z684-J684)/L684,"")</f>
        <v>0.036477</v>
      </c>
      <c r="O684" s="3" t="n">
        <v>13</v>
      </c>
      <c r="P684" s="13" t="b">
        <f aca="false">FALSE()</f>
        <v>0</v>
      </c>
      <c r="Q684" s="3" t="s">
        <v>166</v>
      </c>
      <c r="R684" s="12" t="n">
        <v>0.7995</v>
      </c>
      <c r="S684" s="12" t="n">
        <v>0.582</v>
      </c>
      <c r="T684" s="3" t="n">
        <v>0.1932</v>
      </c>
      <c r="U684" s="12" t="n">
        <v>0.426</v>
      </c>
      <c r="V684" s="12" t="n">
        <v>0.45</v>
      </c>
      <c r="W684" s="12" t="n">
        <v>0.5107</v>
      </c>
      <c r="X684" s="3" t="n">
        <v>0.4669</v>
      </c>
      <c r="Y684" s="3" t="n">
        <v>0.6645</v>
      </c>
      <c r="Z684" s="14" t="n">
        <f aca="false">Assumptions!$B$3*R684+Assumptions!$B$4*S684+IF(AA684=1,Assumptions!$B$11,Assumptions!$B$5)*X684+IF(AA684=1,Assumptions!$B$12,Assumptions!$B$6)*T684+Assumptions!$B$7*U684+Assumptions!$B$8*V684+Assumptions!$B$9*Y684</f>
        <v>0.551608</v>
      </c>
      <c r="AA684" s="3" t="n">
        <v>0</v>
      </c>
    </row>
    <row r="685" customFormat="false" ht="15" hidden="false" customHeight="false" outlineLevel="0" collapsed="false">
      <c r="A685" s="3" t="s">
        <v>870</v>
      </c>
      <c r="B685" s="3" t="n">
        <v>245</v>
      </c>
      <c r="C685" s="11" t="str">
        <f aca="false">IF(M685&gt;=Assumptions!$B$17,"S+",IF(M685&gt;=Assumptions!$B$18,"S",IF(M685&gt;=Assumptions!$B$19,"A",IF(M685&gt;=Assumptions!$B$20,"B",IF(M685&gt;=Assumptions!$B$21,"C",IF(M685&gt;=Assumptions!$B$22,"D","F"))))))</f>
        <v>D</v>
      </c>
      <c r="D685" s="3" t="s">
        <v>175</v>
      </c>
      <c r="E685" s="3" t="n">
        <v>1</v>
      </c>
      <c r="F685" s="12" t="n">
        <v>0.4913</v>
      </c>
      <c r="G685" s="12" t="n">
        <v>0.45</v>
      </c>
      <c r="H685" s="12" t="n">
        <v>0.75</v>
      </c>
      <c r="I685" s="12" t="n">
        <v>0.5162</v>
      </c>
      <c r="J685" s="12" t="n">
        <v>0.2304</v>
      </c>
      <c r="K685" s="12" t="n">
        <v>0.493</v>
      </c>
      <c r="L685" s="3" t="n">
        <v>5.63</v>
      </c>
      <c r="M685" s="12" t="n">
        <f aca="false">Z685-W685</f>
        <v>0.040701</v>
      </c>
      <c r="N685" s="12" t="n">
        <f aca="false">IFERROR((Z685-J685)/L685,"")</f>
        <v>0.046643161634103</v>
      </c>
      <c r="O685" s="3" t="n">
        <v>19</v>
      </c>
      <c r="P685" s="13" t="b">
        <f aca="false">FALSE()</f>
        <v>0</v>
      </c>
      <c r="Q685" s="3" t="s">
        <v>166</v>
      </c>
      <c r="R685" s="12" t="n">
        <v>0.521</v>
      </c>
      <c r="S685" s="12" t="n">
        <v>0.4817</v>
      </c>
      <c r="T685" s="3" t="n">
        <v>0.0505</v>
      </c>
      <c r="U685" s="12" t="n">
        <v>0.3036</v>
      </c>
      <c r="V685" s="12" t="n">
        <v>0.5336</v>
      </c>
      <c r="W685" s="12" t="n">
        <v>0.4523</v>
      </c>
      <c r="X685" s="3" t="n">
        <v>0.606</v>
      </c>
      <c r="Y685" s="3" t="n">
        <v>0.4877</v>
      </c>
      <c r="Z685" s="14" t="n">
        <f aca="false">Assumptions!$B$3*R685+Assumptions!$B$4*S685+IF(AA685=1,Assumptions!$B$11,Assumptions!$B$5)*X685+IF(AA685=1,Assumptions!$B$12,Assumptions!$B$6)*T685+Assumptions!$B$7*U685+Assumptions!$B$8*V685+Assumptions!$B$9*Y685</f>
        <v>0.493001</v>
      </c>
      <c r="AA685" s="3" t="n">
        <v>1</v>
      </c>
    </row>
    <row r="686" customFormat="false" ht="15" hidden="false" customHeight="false" outlineLevel="0" collapsed="false">
      <c r="A686" s="3" t="s">
        <v>871</v>
      </c>
      <c r="B686" s="3" t="n">
        <v>411</v>
      </c>
      <c r="C686" s="11" t="str">
        <f aca="false">IF(M686&gt;=Assumptions!$B$17,"S+",IF(M686&gt;=Assumptions!$B$18,"S",IF(M686&gt;=Assumptions!$B$19,"A",IF(M686&gt;=Assumptions!$B$20,"B",IF(M686&gt;=Assumptions!$B$21,"C",IF(M686&gt;=Assumptions!$B$22,"D","F"))))))</f>
        <v>D</v>
      </c>
      <c r="D686" s="3" t="s">
        <v>197</v>
      </c>
      <c r="E686" s="3" t="n">
        <v>1</v>
      </c>
      <c r="F686" s="12" t="n">
        <v>0.7804</v>
      </c>
      <c r="G686" s="12" t="n">
        <v>0.4</v>
      </c>
      <c r="H686" s="12" t="n">
        <v>0.75</v>
      </c>
      <c r="I686" s="12" t="n">
        <v>0.6146</v>
      </c>
      <c r="J686" s="12" t="n">
        <v>0.3636</v>
      </c>
      <c r="K686" s="12" t="n">
        <v>0.5269</v>
      </c>
      <c r="L686" s="3" t="n">
        <v>3.79</v>
      </c>
      <c r="M686" s="12" t="n">
        <f aca="false">Z686-W686</f>
        <v>0.040146</v>
      </c>
      <c r="N686" s="12" t="n">
        <f aca="false">IFERROR((Z686-J686)/L686,"")</f>
        <v>0.0430992084432718</v>
      </c>
      <c r="O686" s="3" t="n">
        <v>19</v>
      </c>
      <c r="P686" s="13" t="b">
        <f aca="false">FALSE()</f>
        <v>0</v>
      </c>
      <c r="Q686" s="3" t="s">
        <v>201</v>
      </c>
      <c r="R686" s="12" t="n">
        <v>0.7461</v>
      </c>
      <c r="S686" s="12" t="n">
        <v>0.3366</v>
      </c>
      <c r="T686" s="3" t="n">
        <v>0.4751</v>
      </c>
      <c r="U686" s="12" t="n">
        <v>0.5668</v>
      </c>
      <c r="V686" s="12" t="n">
        <v>0.4038</v>
      </c>
      <c r="W686" s="12" t="n">
        <v>0.4868</v>
      </c>
      <c r="X686" s="3" t="n">
        <v>0.409</v>
      </c>
      <c r="Y686" s="3" t="n">
        <v>0.5892</v>
      </c>
      <c r="Z686" s="14" t="n">
        <f aca="false">Assumptions!$B$3*R686+Assumptions!$B$4*S686+IF(AA686=1,Assumptions!$B$11,Assumptions!$B$5)*X686+IF(AA686=1,Assumptions!$B$12,Assumptions!$B$6)*T686+Assumptions!$B$7*U686+Assumptions!$B$8*V686+Assumptions!$B$9*Y686</f>
        <v>0.526946</v>
      </c>
      <c r="AA686" s="3" t="n">
        <v>0</v>
      </c>
    </row>
    <row r="687" customFormat="false" ht="15" hidden="false" customHeight="false" outlineLevel="0" collapsed="false">
      <c r="A687" s="3" t="s">
        <v>872</v>
      </c>
      <c r="B687" s="3" t="n">
        <v>411</v>
      </c>
      <c r="C687" s="11" t="str">
        <f aca="false">IF(M687&gt;=Assumptions!$B$17,"S+",IF(M687&gt;=Assumptions!$B$18,"S",IF(M687&gt;=Assumptions!$B$19,"A",IF(M687&gt;=Assumptions!$B$20,"B",IF(M687&gt;=Assumptions!$B$21,"C",IF(M687&gt;=Assumptions!$B$22,"D","F"))))))</f>
        <v>D</v>
      </c>
      <c r="D687" s="3" t="s">
        <v>197</v>
      </c>
      <c r="E687" s="3" t="n">
        <v>1</v>
      </c>
      <c r="F687" s="12" t="n">
        <v>0.7804</v>
      </c>
      <c r="G687" s="12" t="n">
        <v>0.4</v>
      </c>
      <c r="H687" s="12" t="n">
        <v>0.75</v>
      </c>
      <c r="I687" s="12" t="n">
        <v>0.6146</v>
      </c>
      <c r="J687" s="12" t="n">
        <v>0.3636</v>
      </c>
      <c r="K687" s="12" t="n">
        <v>0.5269</v>
      </c>
      <c r="L687" s="3" t="n">
        <v>3.79</v>
      </c>
      <c r="M687" s="12" t="n">
        <f aca="false">Z687-W687</f>
        <v>0.040146</v>
      </c>
      <c r="N687" s="12" t="n">
        <f aca="false">IFERROR((Z687-J687)/L687,"")</f>
        <v>0.0430992084432718</v>
      </c>
      <c r="O687" s="3" t="n">
        <v>19</v>
      </c>
      <c r="P687" s="13" t="b">
        <f aca="false">FALSE()</f>
        <v>0</v>
      </c>
      <c r="Q687" s="3" t="s">
        <v>201</v>
      </c>
      <c r="R687" s="12" t="n">
        <v>0.7461</v>
      </c>
      <c r="S687" s="12" t="n">
        <v>0.3366</v>
      </c>
      <c r="T687" s="3" t="n">
        <v>0.4751</v>
      </c>
      <c r="U687" s="12" t="n">
        <v>0.5668</v>
      </c>
      <c r="V687" s="12" t="n">
        <v>0.4038</v>
      </c>
      <c r="W687" s="12" t="n">
        <v>0.4868</v>
      </c>
      <c r="X687" s="3" t="n">
        <v>0.409</v>
      </c>
      <c r="Y687" s="3" t="n">
        <v>0.5892</v>
      </c>
      <c r="Z687" s="14" t="n">
        <f aca="false">Assumptions!$B$3*R687+Assumptions!$B$4*S687+IF(AA687=1,Assumptions!$B$11,Assumptions!$B$5)*X687+IF(AA687=1,Assumptions!$B$12,Assumptions!$B$6)*T687+Assumptions!$B$7*U687+Assumptions!$B$8*V687+Assumptions!$B$9*Y687</f>
        <v>0.526946</v>
      </c>
      <c r="AA687" s="3" t="n">
        <v>0</v>
      </c>
    </row>
    <row r="688" customFormat="false" ht="15" hidden="false" customHeight="false" outlineLevel="0" collapsed="false">
      <c r="A688" s="3" t="s">
        <v>873</v>
      </c>
      <c r="B688" s="3" t="n">
        <v>411</v>
      </c>
      <c r="C688" s="11" t="str">
        <f aca="false">IF(M688&gt;=Assumptions!$B$17,"S+",IF(M688&gt;=Assumptions!$B$18,"S",IF(M688&gt;=Assumptions!$B$19,"A",IF(M688&gt;=Assumptions!$B$20,"B",IF(M688&gt;=Assumptions!$B$21,"C",IF(M688&gt;=Assumptions!$B$22,"D","F"))))))</f>
        <v>D</v>
      </c>
      <c r="D688" s="3" t="s">
        <v>197</v>
      </c>
      <c r="E688" s="3" t="n">
        <v>1</v>
      </c>
      <c r="F688" s="12" t="n">
        <v>0.7804</v>
      </c>
      <c r="G688" s="12" t="n">
        <v>0.4</v>
      </c>
      <c r="H688" s="12" t="n">
        <v>0.75</v>
      </c>
      <c r="I688" s="12" t="n">
        <v>0.6146</v>
      </c>
      <c r="J688" s="12" t="n">
        <v>0.3636</v>
      </c>
      <c r="K688" s="12" t="n">
        <v>0.5269</v>
      </c>
      <c r="L688" s="3" t="n">
        <v>3.79</v>
      </c>
      <c r="M688" s="12" t="n">
        <f aca="false">Z688-W688</f>
        <v>0.040146</v>
      </c>
      <c r="N688" s="12" t="n">
        <f aca="false">IFERROR((Z688-J688)/L688,"")</f>
        <v>0.0430992084432718</v>
      </c>
      <c r="O688" s="3" t="n">
        <v>19</v>
      </c>
      <c r="P688" s="13" t="b">
        <f aca="false">FALSE()</f>
        <v>0</v>
      </c>
      <c r="Q688" s="3" t="s">
        <v>201</v>
      </c>
      <c r="R688" s="12" t="n">
        <v>0.7461</v>
      </c>
      <c r="S688" s="12" t="n">
        <v>0.3366</v>
      </c>
      <c r="T688" s="3" t="n">
        <v>0.4751</v>
      </c>
      <c r="U688" s="12" t="n">
        <v>0.5668</v>
      </c>
      <c r="V688" s="12" t="n">
        <v>0.4038</v>
      </c>
      <c r="W688" s="12" t="n">
        <v>0.4868</v>
      </c>
      <c r="X688" s="3" t="n">
        <v>0.409</v>
      </c>
      <c r="Y688" s="3" t="n">
        <v>0.5892</v>
      </c>
      <c r="Z688" s="14" t="n">
        <f aca="false">Assumptions!$B$3*R688+Assumptions!$B$4*S688+IF(AA688=1,Assumptions!$B$11,Assumptions!$B$5)*X688+IF(AA688=1,Assumptions!$B$12,Assumptions!$B$6)*T688+Assumptions!$B$7*U688+Assumptions!$B$8*V688+Assumptions!$B$9*Y688</f>
        <v>0.526946</v>
      </c>
      <c r="AA688" s="3" t="n">
        <v>0</v>
      </c>
    </row>
    <row r="689" customFormat="false" ht="15" hidden="false" customHeight="false" outlineLevel="0" collapsed="false">
      <c r="A689" s="3" t="s">
        <v>874</v>
      </c>
      <c r="B689" s="3" t="n">
        <v>411</v>
      </c>
      <c r="C689" s="11" t="str">
        <f aca="false">IF(M689&gt;=Assumptions!$B$17,"S+",IF(M689&gt;=Assumptions!$B$18,"S",IF(M689&gt;=Assumptions!$B$19,"A",IF(M689&gt;=Assumptions!$B$20,"B",IF(M689&gt;=Assumptions!$B$21,"C",IF(M689&gt;=Assumptions!$B$22,"D","F"))))))</f>
        <v>D</v>
      </c>
      <c r="D689" s="3" t="s">
        <v>197</v>
      </c>
      <c r="E689" s="3" t="n">
        <v>1</v>
      </c>
      <c r="F689" s="12" t="n">
        <v>0.7804</v>
      </c>
      <c r="G689" s="12" t="n">
        <v>0.4</v>
      </c>
      <c r="H689" s="12" t="n">
        <v>0.75</v>
      </c>
      <c r="I689" s="12" t="n">
        <v>0.6146</v>
      </c>
      <c r="J689" s="12" t="n">
        <v>0.3636</v>
      </c>
      <c r="K689" s="12" t="n">
        <v>0.5269</v>
      </c>
      <c r="L689" s="3" t="n">
        <v>3.79</v>
      </c>
      <c r="M689" s="12" t="n">
        <f aca="false">Z689-W689</f>
        <v>0.040146</v>
      </c>
      <c r="N689" s="12" t="n">
        <f aca="false">IFERROR((Z689-J689)/L689,"")</f>
        <v>0.0430992084432718</v>
      </c>
      <c r="O689" s="3" t="n">
        <v>19</v>
      </c>
      <c r="P689" s="13" t="b">
        <f aca="false">FALSE()</f>
        <v>0</v>
      </c>
      <c r="Q689" s="3" t="s">
        <v>201</v>
      </c>
      <c r="R689" s="12" t="n">
        <v>0.7461</v>
      </c>
      <c r="S689" s="12" t="n">
        <v>0.3366</v>
      </c>
      <c r="T689" s="3" t="n">
        <v>0.4751</v>
      </c>
      <c r="U689" s="12" t="n">
        <v>0.5668</v>
      </c>
      <c r="V689" s="12" t="n">
        <v>0.4038</v>
      </c>
      <c r="W689" s="12" t="n">
        <v>0.4868</v>
      </c>
      <c r="X689" s="3" t="n">
        <v>0.409</v>
      </c>
      <c r="Y689" s="3" t="n">
        <v>0.5892</v>
      </c>
      <c r="Z689" s="14" t="n">
        <f aca="false">Assumptions!$B$3*R689+Assumptions!$B$4*S689+IF(AA689=1,Assumptions!$B$11,Assumptions!$B$5)*X689+IF(AA689=1,Assumptions!$B$12,Assumptions!$B$6)*T689+Assumptions!$B$7*U689+Assumptions!$B$8*V689+Assumptions!$B$9*Y689</f>
        <v>0.526946</v>
      </c>
      <c r="AA689" s="3" t="n">
        <v>0</v>
      </c>
    </row>
    <row r="690" customFormat="false" ht="15" hidden="false" customHeight="false" outlineLevel="0" collapsed="false">
      <c r="A690" s="3" t="s">
        <v>875</v>
      </c>
      <c r="B690" s="3" t="n">
        <v>411</v>
      </c>
      <c r="C690" s="11" t="str">
        <f aca="false">IF(M690&gt;=Assumptions!$B$17,"S+",IF(M690&gt;=Assumptions!$B$18,"S",IF(M690&gt;=Assumptions!$B$19,"A",IF(M690&gt;=Assumptions!$B$20,"B",IF(M690&gt;=Assumptions!$B$21,"C",IF(M690&gt;=Assumptions!$B$22,"D","F"))))))</f>
        <v>D</v>
      </c>
      <c r="D690" s="3" t="s">
        <v>197</v>
      </c>
      <c r="E690" s="3" t="n">
        <v>1</v>
      </c>
      <c r="F690" s="12" t="n">
        <v>0.7804</v>
      </c>
      <c r="G690" s="12" t="n">
        <v>0.4</v>
      </c>
      <c r="H690" s="12" t="n">
        <v>0.75</v>
      </c>
      <c r="I690" s="12" t="n">
        <v>0.6146</v>
      </c>
      <c r="J690" s="12" t="n">
        <v>0.3636</v>
      </c>
      <c r="K690" s="12" t="n">
        <v>0.5269</v>
      </c>
      <c r="L690" s="3" t="n">
        <v>3.79</v>
      </c>
      <c r="M690" s="12" t="n">
        <f aca="false">Z690-W690</f>
        <v>0.040146</v>
      </c>
      <c r="N690" s="12" t="n">
        <f aca="false">IFERROR((Z690-J690)/L690,"")</f>
        <v>0.0430992084432718</v>
      </c>
      <c r="O690" s="3" t="n">
        <v>19</v>
      </c>
      <c r="P690" s="13" t="b">
        <f aca="false">FALSE()</f>
        <v>0</v>
      </c>
      <c r="Q690" s="3" t="s">
        <v>201</v>
      </c>
      <c r="R690" s="12" t="n">
        <v>0.7461</v>
      </c>
      <c r="S690" s="12" t="n">
        <v>0.3366</v>
      </c>
      <c r="T690" s="3" t="n">
        <v>0.4751</v>
      </c>
      <c r="U690" s="12" t="n">
        <v>0.5668</v>
      </c>
      <c r="V690" s="12" t="n">
        <v>0.4038</v>
      </c>
      <c r="W690" s="12" t="n">
        <v>0.4868</v>
      </c>
      <c r="X690" s="3" t="n">
        <v>0.409</v>
      </c>
      <c r="Y690" s="3" t="n">
        <v>0.5892</v>
      </c>
      <c r="Z690" s="14" t="n">
        <f aca="false">Assumptions!$B$3*R690+Assumptions!$B$4*S690+IF(AA690=1,Assumptions!$B$11,Assumptions!$B$5)*X690+IF(AA690=1,Assumptions!$B$12,Assumptions!$B$6)*T690+Assumptions!$B$7*U690+Assumptions!$B$8*V690+Assumptions!$B$9*Y690</f>
        <v>0.526946</v>
      </c>
      <c r="AA690" s="3" t="n">
        <v>0</v>
      </c>
    </row>
    <row r="691" customFormat="false" ht="15" hidden="false" customHeight="false" outlineLevel="0" collapsed="false">
      <c r="A691" s="3" t="s">
        <v>876</v>
      </c>
      <c r="B691" s="3" t="n">
        <v>411</v>
      </c>
      <c r="C691" s="11" t="str">
        <f aca="false">IF(M691&gt;=Assumptions!$B$17,"S+",IF(M691&gt;=Assumptions!$B$18,"S",IF(M691&gt;=Assumptions!$B$19,"A",IF(M691&gt;=Assumptions!$B$20,"B",IF(M691&gt;=Assumptions!$B$21,"C",IF(M691&gt;=Assumptions!$B$22,"D","F"))))))</f>
        <v>D</v>
      </c>
      <c r="D691" s="3" t="s">
        <v>197</v>
      </c>
      <c r="E691" s="3" t="n">
        <v>1</v>
      </c>
      <c r="F691" s="12" t="n">
        <v>0.7804</v>
      </c>
      <c r="G691" s="12" t="n">
        <v>0.4</v>
      </c>
      <c r="H691" s="12" t="n">
        <v>0.75</v>
      </c>
      <c r="I691" s="12" t="n">
        <v>0.6146</v>
      </c>
      <c r="J691" s="12" t="n">
        <v>0.3636</v>
      </c>
      <c r="K691" s="12" t="n">
        <v>0.5269</v>
      </c>
      <c r="L691" s="3" t="n">
        <v>3.79</v>
      </c>
      <c r="M691" s="12" t="n">
        <f aca="false">Z691-W691</f>
        <v>0.040146</v>
      </c>
      <c r="N691" s="12" t="n">
        <f aca="false">IFERROR((Z691-J691)/L691,"")</f>
        <v>0.0430992084432718</v>
      </c>
      <c r="O691" s="3" t="n">
        <v>19</v>
      </c>
      <c r="P691" s="13" t="b">
        <f aca="false">FALSE()</f>
        <v>0</v>
      </c>
      <c r="Q691" s="3" t="s">
        <v>201</v>
      </c>
      <c r="R691" s="12" t="n">
        <v>0.7461</v>
      </c>
      <c r="S691" s="12" t="n">
        <v>0.3366</v>
      </c>
      <c r="T691" s="3" t="n">
        <v>0.4751</v>
      </c>
      <c r="U691" s="12" t="n">
        <v>0.5668</v>
      </c>
      <c r="V691" s="12" t="n">
        <v>0.4038</v>
      </c>
      <c r="W691" s="12" t="n">
        <v>0.4868</v>
      </c>
      <c r="X691" s="3" t="n">
        <v>0.409</v>
      </c>
      <c r="Y691" s="3" t="n">
        <v>0.5892</v>
      </c>
      <c r="Z691" s="14" t="n">
        <f aca="false">Assumptions!$B$3*R691+Assumptions!$B$4*S691+IF(AA691=1,Assumptions!$B$11,Assumptions!$B$5)*X691+IF(AA691=1,Assumptions!$B$12,Assumptions!$B$6)*T691+Assumptions!$B$7*U691+Assumptions!$B$8*V691+Assumptions!$B$9*Y691</f>
        <v>0.526946</v>
      </c>
      <c r="AA691" s="3" t="n">
        <v>0</v>
      </c>
    </row>
    <row r="692" customFormat="false" ht="15" hidden="false" customHeight="false" outlineLevel="0" collapsed="false">
      <c r="A692" s="3" t="s">
        <v>877</v>
      </c>
      <c r="B692" s="3" t="n">
        <v>411</v>
      </c>
      <c r="C692" s="11" t="str">
        <f aca="false">IF(M692&gt;=Assumptions!$B$17,"S+",IF(M692&gt;=Assumptions!$B$18,"S",IF(M692&gt;=Assumptions!$B$19,"A",IF(M692&gt;=Assumptions!$B$20,"B",IF(M692&gt;=Assumptions!$B$21,"C",IF(M692&gt;=Assumptions!$B$22,"D","F"))))))</f>
        <v>D</v>
      </c>
      <c r="D692" s="3" t="s">
        <v>197</v>
      </c>
      <c r="E692" s="3" t="n">
        <v>1</v>
      </c>
      <c r="F692" s="12" t="n">
        <v>0.7804</v>
      </c>
      <c r="G692" s="12" t="n">
        <v>0.4</v>
      </c>
      <c r="H692" s="12" t="n">
        <v>0.75</v>
      </c>
      <c r="I692" s="12" t="n">
        <v>0.6146</v>
      </c>
      <c r="J692" s="12" t="n">
        <v>0.3636</v>
      </c>
      <c r="K692" s="12" t="n">
        <v>0.5269</v>
      </c>
      <c r="L692" s="3" t="n">
        <v>3.79</v>
      </c>
      <c r="M692" s="12" t="n">
        <f aca="false">Z692-W692</f>
        <v>0.040146</v>
      </c>
      <c r="N692" s="12" t="n">
        <f aca="false">IFERROR((Z692-J692)/L692,"")</f>
        <v>0.0430992084432718</v>
      </c>
      <c r="O692" s="3" t="n">
        <v>19</v>
      </c>
      <c r="P692" s="13" t="b">
        <f aca="false">FALSE()</f>
        <v>0</v>
      </c>
      <c r="Q692" s="3" t="s">
        <v>201</v>
      </c>
      <c r="R692" s="12" t="n">
        <v>0.7461</v>
      </c>
      <c r="S692" s="12" t="n">
        <v>0.3366</v>
      </c>
      <c r="T692" s="3" t="n">
        <v>0.4751</v>
      </c>
      <c r="U692" s="12" t="n">
        <v>0.5668</v>
      </c>
      <c r="V692" s="12" t="n">
        <v>0.4038</v>
      </c>
      <c r="W692" s="12" t="n">
        <v>0.4868</v>
      </c>
      <c r="X692" s="3" t="n">
        <v>0.409</v>
      </c>
      <c r="Y692" s="3" t="n">
        <v>0.5892</v>
      </c>
      <c r="Z692" s="14" t="n">
        <f aca="false">Assumptions!$B$3*R692+Assumptions!$B$4*S692+IF(AA692=1,Assumptions!$B$11,Assumptions!$B$5)*X692+IF(AA692=1,Assumptions!$B$12,Assumptions!$B$6)*T692+Assumptions!$B$7*U692+Assumptions!$B$8*V692+Assumptions!$B$9*Y692</f>
        <v>0.526946</v>
      </c>
      <c r="AA692" s="3" t="n">
        <v>0</v>
      </c>
    </row>
    <row r="693" customFormat="false" ht="15" hidden="false" customHeight="false" outlineLevel="0" collapsed="false">
      <c r="A693" s="3" t="s">
        <v>878</v>
      </c>
      <c r="B693" s="3" t="n">
        <v>411</v>
      </c>
      <c r="C693" s="11" t="str">
        <f aca="false">IF(M693&gt;=Assumptions!$B$17,"S+",IF(M693&gt;=Assumptions!$B$18,"S",IF(M693&gt;=Assumptions!$B$19,"A",IF(M693&gt;=Assumptions!$B$20,"B",IF(M693&gt;=Assumptions!$B$21,"C",IF(M693&gt;=Assumptions!$B$22,"D","F"))))))</f>
        <v>D</v>
      </c>
      <c r="D693" s="3" t="s">
        <v>197</v>
      </c>
      <c r="E693" s="3" t="n">
        <v>1</v>
      </c>
      <c r="F693" s="12" t="n">
        <v>0.7804</v>
      </c>
      <c r="G693" s="12" t="n">
        <v>0.4</v>
      </c>
      <c r="H693" s="12" t="n">
        <v>0.75</v>
      </c>
      <c r="I693" s="12" t="n">
        <v>0.6146</v>
      </c>
      <c r="J693" s="12" t="n">
        <v>0.3636</v>
      </c>
      <c r="K693" s="12" t="n">
        <v>0.5269</v>
      </c>
      <c r="L693" s="3" t="n">
        <v>3.79</v>
      </c>
      <c r="M693" s="12" t="n">
        <f aca="false">Z693-W693</f>
        <v>0.040146</v>
      </c>
      <c r="N693" s="12" t="n">
        <f aca="false">IFERROR((Z693-J693)/L693,"")</f>
        <v>0.0430992084432718</v>
      </c>
      <c r="O693" s="3" t="n">
        <v>19</v>
      </c>
      <c r="P693" s="13" t="b">
        <f aca="false">FALSE()</f>
        <v>0</v>
      </c>
      <c r="Q693" s="3" t="s">
        <v>201</v>
      </c>
      <c r="R693" s="12" t="n">
        <v>0.7461</v>
      </c>
      <c r="S693" s="12" t="n">
        <v>0.3366</v>
      </c>
      <c r="T693" s="3" t="n">
        <v>0.4751</v>
      </c>
      <c r="U693" s="12" t="n">
        <v>0.5668</v>
      </c>
      <c r="V693" s="12" t="n">
        <v>0.4038</v>
      </c>
      <c r="W693" s="12" t="n">
        <v>0.4868</v>
      </c>
      <c r="X693" s="3" t="n">
        <v>0.409</v>
      </c>
      <c r="Y693" s="3" t="n">
        <v>0.5892</v>
      </c>
      <c r="Z693" s="14" t="n">
        <f aca="false">Assumptions!$B$3*R693+Assumptions!$B$4*S693+IF(AA693=1,Assumptions!$B$11,Assumptions!$B$5)*X693+IF(AA693=1,Assumptions!$B$12,Assumptions!$B$6)*T693+Assumptions!$B$7*U693+Assumptions!$B$8*V693+Assumptions!$B$9*Y693</f>
        <v>0.526946</v>
      </c>
      <c r="AA693" s="3" t="n">
        <v>0</v>
      </c>
    </row>
    <row r="694" customFormat="false" ht="15" hidden="false" customHeight="false" outlineLevel="0" collapsed="false">
      <c r="A694" s="3" t="s">
        <v>879</v>
      </c>
      <c r="B694" s="3" t="n">
        <v>411</v>
      </c>
      <c r="C694" s="11" t="str">
        <f aca="false">IF(M694&gt;=Assumptions!$B$17,"S+",IF(M694&gt;=Assumptions!$B$18,"S",IF(M694&gt;=Assumptions!$B$19,"A",IF(M694&gt;=Assumptions!$B$20,"B",IF(M694&gt;=Assumptions!$B$21,"C",IF(M694&gt;=Assumptions!$B$22,"D","F"))))))</f>
        <v>D</v>
      </c>
      <c r="D694" s="3" t="s">
        <v>197</v>
      </c>
      <c r="E694" s="3" t="n">
        <v>1</v>
      </c>
      <c r="F694" s="12" t="n">
        <v>0.7804</v>
      </c>
      <c r="G694" s="12" t="n">
        <v>0.4</v>
      </c>
      <c r="H694" s="12" t="n">
        <v>0.75</v>
      </c>
      <c r="I694" s="12" t="n">
        <v>0.6146</v>
      </c>
      <c r="J694" s="12" t="n">
        <v>0.3636</v>
      </c>
      <c r="K694" s="12" t="n">
        <v>0.5269</v>
      </c>
      <c r="L694" s="3" t="n">
        <v>3.79</v>
      </c>
      <c r="M694" s="12" t="n">
        <f aca="false">Z694-W694</f>
        <v>0.040146</v>
      </c>
      <c r="N694" s="12" t="n">
        <f aca="false">IFERROR((Z694-J694)/L694,"")</f>
        <v>0.0430992084432718</v>
      </c>
      <c r="O694" s="3" t="n">
        <v>19</v>
      </c>
      <c r="P694" s="13" t="b">
        <f aca="false">FALSE()</f>
        <v>0</v>
      </c>
      <c r="Q694" s="3" t="s">
        <v>201</v>
      </c>
      <c r="R694" s="12" t="n">
        <v>0.7461</v>
      </c>
      <c r="S694" s="12" t="n">
        <v>0.3366</v>
      </c>
      <c r="T694" s="3" t="n">
        <v>0.4751</v>
      </c>
      <c r="U694" s="12" t="n">
        <v>0.5668</v>
      </c>
      <c r="V694" s="12" t="n">
        <v>0.4038</v>
      </c>
      <c r="W694" s="12" t="n">
        <v>0.4868</v>
      </c>
      <c r="X694" s="3" t="n">
        <v>0.409</v>
      </c>
      <c r="Y694" s="3" t="n">
        <v>0.5892</v>
      </c>
      <c r="Z694" s="14" t="n">
        <f aca="false">Assumptions!$B$3*R694+Assumptions!$B$4*S694+IF(AA694=1,Assumptions!$B$11,Assumptions!$B$5)*X694+IF(AA694=1,Assumptions!$B$12,Assumptions!$B$6)*T694+Assumptions!$B$7*U694+Assumptions!$B$8*V694+Assumptions!$B$9*Y694</f>
        <v>0.526946</v>
      </c>
      <c r="AA694" s="3" t="n">
        <v>0</v>
      </c>
    </row>
    <row r="695" customFormat="false" ht="15" hidden="false" customHeight="false" outlineLevel="0" collapsed="false">
      <c r="A695" s="3" t="s">
        <v>880</v>
      </c>
      <c r="B695" s="3" t="n">
        <v>411</v>
      </c>
      <c r="C695" s="11" t="str">
        <f aca="false">IF(M695&gt;=Assumptions!$B$17,"S+",IF(M695&gt;=Assumptions!$B$18,"S",IF(M695&gt;=Assumptions!$B$19,"A",IF(M695&gt;=Assumptions!$B$20,"B",IF(M695&gt;=Assumptions!$B$21,"C",IF(M695&gt;=Assumptions!$B$22,"D","F"))))))</f>
        <v>D</v>
      </c>
      <c r="D695" s="3" t="s">
        <v>197</v>
      </c>
      <c r="E695" s="3" t="n">
        <v>1</v>
      </c>
      <c r="F695" s="12" t="n">
        <v>0.7804</v>
      </c>
      <c r="G695" s="12" t="n">
        <v>0.4</v>
      </c>
      <c r="H695" s="12" t="n">
        <v>0.75</v>
      </c>
      <c r="I695" s="12" t="n">
        <v>0.6146</v>
      </c>
      <c r="J695" s="12" t="n">
        <v>0.3636</v>
      </c>
      <c r="K695" s="12" t="n">
        <v>0.5269</v>
      </c>
      <c r="L695" s="3" t="n">
        <v>3.79</v>
      </c>
      <c r="M695" s="12" t="n">
        <f aca="false">Z695-W695</f>
        <v>0.040146</v>
      </c>
      <c r="N695" s="12" t="n">
        <f aca="false">IFERROR((Z695-J695)/L695,"")</f>
        <v>0.0430992084432718</v>
      </c>
      <c r="O695" s="3" t="n">
        <v>19</v>
      </c>
      <c r="P695" s="13" t="b">
        <f aca="false">FALSE()</f>
        <v>0</v>
      </c>
      <c r="Q695" s="3" t="s">
        <v>201</v>
      </c>
      <c r="R695" s="12" t="n">
        <v>0.7461</v>
      </c>
      <c r="S695" s="12" t="n">
        <v>0.3366</v>
      </c>
      <c r="T695" s="3" t="n">
        <v>0.4751</v>
      </c>
      <c r="U695" s="12" t="n">
        <v>0.5668</v>
      </c>
      <c r="V695" s="12" t="n">
        <v>0.4038</v>
      </c>
      <c r="W695" s="12" t="n">
        <v>0.4868</v>
      </c>
      <c r="X695" s="3" t="n">
        <v>0.409</v>
      </c>
      <c r="Y695" s="3" t="n">
        <v>0.5892</v>
      </c>
      <c r="Z695" s="14" t="n">
        <f aca="false">Assumptions!$B$3*R695+Assumptions!$B$4*S695+IF(AA695=1,Assumptions!$B$11,Assumptions!$B$5)*X695+IF(AA695=1,Assumptions!$B$12,Assumptions!$B$6)*T695+Assumptions!$B$7*U695+Assumptions!$B$8*V695+Assumptions!$B$9*Y695</f>
        <v>0.526946</v>
      </c>
      <c r="AA695" s="3" t="n">
        <v>0</v>
      </c>
    </row>
    <row r="696" customFormat="false" ht="15" hidden="false" customHeight="false" outlineLevel="0" collapsed="false">
      <c r="A696" s="3" t="s">
        <v>881</v>
      </c>
      <c r="B696" s="3" t="n">
        <v>411</v>
      </c>
      <c r="C696" s="11" t="str">
        <f aca="false">IF(M696&gt;=Assumptions!$B$17,"S+",IF(M696&gt;=Assumptions!$B$18,"S",IF(M696&gt;=Assumptions!$B$19,"A",IF(M696&gt;=Assumptions!$B$20,"B",IF(M696&gt;=Assumptions!$B$21,"C",IF(M696&gt;=Assumptions!$B$22,"D","F"))))))</f>
        <v>D</v>
      </c>
      <c r="D696" s="3" t="s">
        <v>197</v>
      </c>
      <c r="E696" s="3" t="n">
        <v>1</v>
      </c>
      <c r="F696" s="12" t="n">
        <v>0.7804</v>
      </c>
      <c r="G696" s="12" t="n">
        <v>0.4</v>
      </c>
      <c r="H696" s="12" t="n">
        <v>0.75</v>
      </c>
      <c r="I696" s="12" t="n">
        <v>0.6146</v>
      </c>
      <c r="J696" s="12" t="n">
        <v>0.3636</v>
      </c>
      <c r="K696" s="12" t="n">
        <v>0.5269</v>
      </c>
      <c r="L696" s="3" t="n">
        <v>3.79</v>
      </c>
      <c r="M696" s="12" t="n">
        <f aca="false">Z696-W696</f>
        <v>0.040146</v>
      </c>
      <c r="N696" s="12" t="n">
        <f aca="false">IFERROR((Z696-J696)/L696,"")</f>
        <v>0.0430992084432718</v>
      </c>
      <c r="O696" s="3" t="n">
        <v>19</v>
      </c>
      <c r="P696" s="13" t="b">
        <f aca="false">FALSE()</f>
        <v>0</v>
      </c>
      <c r="Q696" s="3" t="s">
        <v>201</v>
      </c>
      <c r="R696" s="12" t="n">
        <v>0.7461</v>
      </c>
      <c r="S696" s="12" t="n">
        <v>0.3366</v>
      </c>
      <c r="T696" s="3" t="n">
        <v>0.4751</v>
      </c>
      <c r="U696" s="12" t="n">
        <v>0.5668</v>
      </c>
      <c r="V696" s="12" t="n">
        <v>0.4038</v>
      </c>
      <c r="W696" s="12" t="n">
        <v>0.4868</v>
      </c>
      <c r="X696" s="3" t="n">
        <v>0.409</v>
      </c>
      <c r="Y696" s="3" t="n">
        <v>0.5892</v>
      </c>
      <c r="Z696" s="14" t="n">
        <f aca="false">Assumptions!$B$3*R696+Assumptions!$B$4*S696+IF(AA696=1,Assumptions!$B$11,Assumptions!$B$5)*X696+IF(AA696=1,Assumptions!$B$12,Assumptions!$B$6)*T696+Assumptions!$B$7*U696+Assumptions!$B$8*V696+Assumptions!$B$9*Y696</f>
        <v>0.526946</v>
      </c>
      <c r="AA696" s="3" t="n">
        <v>0</v>
      </c>
    </row>
    <row r="697" customFormat="false" ht="15" hidden="false" customHeight="false" outlineLevel="0" collapsed="false">
      <c r="A697" s="3" t="s">
        <v>882</v>
      </c>
      <c r="B697" s="3" t="n">
        <v>411</v>
      </c>
      <c r="C697" s="11" t="str">
        <f aca="false">IF(M697&gt;=Assumptions!$B$17,"S+",IF(M697&gt;=Assumptions!$B$18,"S",IF(M697&gt;=Assumptions!$B$19,"A",IF(M697&gt;=Assumptions!$B$20,"B",IF(M697&gt;=Assumptions!$B$21,"C",IF(M697&gt;=Assumptions!$B$22,"D","F"))))))</f>
        <v>D</v>
      </c>
      <c r="D697" s="3" t="s">
        <v>197</v>
      </c>
      <c r="E697" s="3" t="n">
        <v>1</v>
      </c>
      <c r="F697" s="12" t="n">
        <v>0.7804</v>
      </c>
      <c r="G697" s="12" t="n">
        <v>0.4</v>
      </c>
      <c r="H697" s="12" t="n">
        <v>0.75</v>
      </c>
      <c r="I697" s="12" t="n">
        <v>0.6146</v>
      </c>
      <c r="J697" s="12" t="n">
        <v>0.3636</v>
      </c>
      <c r="K697" s="12" t="n">
        <v>0.5269</v>
      </c>
      <c r="L697" s="3" t="n">
        <v>3.79</v>
      </c>
      <c r="M697" s="12" t="n">
        <f aca="false">Z697-W697</f>
        <v>0.040146</v>
      </c>
      <c r="N697" s="12" t="n">
        <f aca="false">IFERROR((Z697-J697)/L697,"")</f>
        <v>0.0430992084432718</v>
      </c>
      <c r="O697" s="3" t="n">
        <v>19</v>
      </c>
      <c r="P697" s="13" t="b">
        <f aca="false">FALSE()</f>
        <v>0</v>
      </c>
      <c r="Q697" s="3" t="s">
        <v>201</v>
      </c>
      <c r="R697" s="12" t="n">
        <v>0.7461</v>
      </c>
      <c r="S697" s="12" t="n">
        <v>0.3366</v>
      </c>
      <c r="T697" s="3" t="n">
        <v>0.4751</v>
      </c>
      <c r="U697" s="12" t="n">
        <v>0.5668</v>
      </c>
      <c r="V697" s="12" t="n">
        <v>0.4038</v>
      </c>
      <c r="W697" s="12" t="n">
        <v>0.4868</v>
      </c>
      <c r="X697" s="3" t="n">
        <v>0.409</v>
      </c>
      <c r="Y697" s="3" t="n">
        <v>0.5892</v>
      </c>
      <c r="Z697" s="14" t="n">
        <f aca="false">Assumptions!$B$3*R697+Assumptions!$B$4*S697+IF(AA697=1,Assumptions!$B$11,Assumptions!$B$5)*X697+IF(AA697=1,Assumptions!$B$12,Assumptions!$B$6)*T697+Assumptions!$B$7*U697+Assumptions!$B$8*V697+Assumptions!$B$9*Y697</f>
        <v>0.526946</v>
      </c>
      <c r="AA697" s="3" t="n">
        <v>0</v>
      </c>
    </row>
    <row r="698" customFormat="false" ht="15" hidden="false" customHeight="false" outlineLevel="0" collapsed="false">
      <c r="A698" s="3" t="s">
        <v>883</v>
      </c>
      <c r="B698" s="3" t="n">
        <v>411</v>
      </c>
      <c r="C698" s="11" t="str">
        <f aca="false">IF(M698&gt;=Assumptions!$B$17,"S+",IF(M698&gt;=Assumptions!$B$18,"S",IF(M698&gt;=Assumptions!$B$19,"A",IF(M698&gt;=Assumptions!$B$20,"B",IF(M698&gt;=Assumptions!$B$21,"C",IF(M698&gt;=Assumptions!$B$22,"D","F"))))))</f>
        <v>D</v>
      </c>
      <c r="D698" s="3" t="s">
        <v>197</v>
      </c>
      <c r="E698" s="3" t="n">
        <v>1</v>
      </c>
      <c r="F698" s="12" t="n">
        <v>0.7804</v>
      </c>
      <c r="G698" s="12" t="n">
        <v>0.4</v>
      </c>
      <c r="H698" s="12" t="n">
        <v>0.75</v>
      </c>
      <c r="I698" s="12" t="n">
        <v>0.6146</v>
      </c>
      <c r="J698" s="12" t="n">
        <v>0.3636</v>
      </c>
      <c r="K698" s="12" t="n">
        <v>0.5269</v>
      </c>
      <c r="L698" s="3" t="n">
        <v>3.79</v>
      </c>
      <c r="M698" s="12" t="n">
        <f aca="false">Z698-W698</f>
        <v>0.040146</v>
      </c>
      <c r="N698" s="12" t="n">
        <f aca="false">IFERROR((Z698-J698)/L698,"")</f>
        <v>0.0430992084432718</v>
      </c>
      <c r="O698" s="3" t="n">
        <v>19</v>
      </c>
      <c r="P698" s="13" t="b">
        <f aca="false">FALSE()</f>
        <v>0</v>
      </c>
      <c r="Q698" s="3" t="s">
        <v>201</v>
      </c>
      <c r="R698" s="12" t="n">
        <v>0.7461</v>
      </c>
      <c r="S698" s="12" t="n">
        <v>0.3366</v>
      </c>
      <c r="T698" s="3" t="n">
        <v>0.4751</v>
      </c>
      <c r="U698" s="12" t="n">
        <v>0.5668</v>
      </c>
      <c r="V698" s="12" t="n">
        <v>0.4038</v>
      </c>
      <c r="W698" s="12" t="n">
        <v>0.4868</v>
      </c>
      <c r="X698" s="3" t="n">
        <v>0.409</v>
      </c>
      <c r="Y698" s="3" t="n">
        <v>0.5892</v>
      </c>
      <c r="Z698" s="14" t="n">
        <f aca="false">Assumptions!$B$3*R698+Assumptions!$B$4*S698+IF(AA698=1,Assumptions!$B$11,Assumptions!$B$5)*X698+IF(AA698=1,Assumptions!$B$12,Assumptions!$B$6)*T698+Assumptions!$B$7*U698+Assumptions!$B$8*V698+Assumptions!$B$9*Y698</f>
        <v>0.526946</v>
      </c>
      <c r="AA698" s="3" t="n">
        <v>0</v>
      </c>
    </row>
    <row r="699" customFormat="false" ht="15" hidden="false" customHeight="false" outlineLevel="0" collapsed="false">
      <c r="A699" s="3" t="s">
        <v>884</v>
      </c>
      <c r="B699" s="3" t="n">
        <v>411</v>
      </c>
      <c r="C699" s="11" t="str">
        <f aca="false">IF(M699&gt;=Assumptions!$B$17,"S+",IF(M699&gt;=Assumptions!$B$18,"S",IF(M699&gt;=Assumptions!$B$19,"A",IF(M699&gt;=Assumptions!$B$20,"B",IF(M699&gt;=Assumptions!$B$21,"C",IF(M699&gt;=Assumptions!$B$22,"D","F"))))))</f>
        <v>D</v>
      </c>
      <c r="D699" s="3" t="s">
        <v>197</v>
      </c>
      <c r="E699" s="3" t="n">
        <v>1</v>
      </c>
      <c r="F699" s="12" t="n">
        <v>0.7804</v>
      </c>
      <c r="G699" s="12" t="n">
        <v>0.4</v>
      </c>
      <c r="H699" s="12" t="n">
        <v>0.75</v>
      </c>
      <c r="I699" s="12" t="n">
        <v>0.6146</v>
      </c>
      <c r="J699" s="12" t="n">
        <v>0.3636</v>
      </c>
      <c r="K699" s="12" t="n">
        <v>0.5269</v>
      </c>
      <c r="L699" s="3" t="n">
        <v>3.79</v>
      </c>
      <c r="M699" s="12" t="n">
        <f aca="false">Z699-W699</f>
        <v>0.040146</v>
      </c>
      <c r="N699" s="12" t="n">
        <f aca="false">IFERROR((Z699-J699)/L699,"")</f>
        <v>0.0430992084432718</v>
      </c>
      <c r="O699" s="3" t="n">
        <v>19</v>
      </c>
      <c r="P699" s="13" t="b">
        <f aca="false">FALSE()</f>
        <v>0</v>
      </c>
      <c r="Q699" s="3" t="s">
        <v>201</v>
      </c>
      <c r="R699" s="12" t="n">
        <v>0.7461</v>
      </c>
      <c r="S699" s="12" t="n">
        <v>0.3366</v>
      </c>
      <c r="T699" s="3" t="n">
        <v>0.4751</v>
      </c>
      <c r="U699" s="12" t="n">
        <v>0.5668</v>
      </c>
      <c r="V699" s="12" t="n">
        <v>0.4038</v>
      </c>
      <c r="W699" s="12" t="n">
        <v>0.4868</v>
      </c>
      <c r="X699" s="3" t="n">
        <v>0.409</v>
      </c>
      <c r="Y699" s="3" t="n">
        <v>0.5892</v>
      </c>
      <c r="Z699" s="14" t="n">
        <f aca="false">Assumptions!$B$3*R699+Assumptions!$B$4*S699+IF(AA699=1,Assumptions!$B$11,Assumptions!$B$5)*X699+IF(AA699=1,Assumptions!$B$12,Assumptions!$B$6)*T699+Assumptions!$B$7*U699+Assumptions!$B$8*V699+Assumptions!$B$9*Y699</f>
        <v>0.526946</v>
      </c>
      <c r="AA699" s="3" t="n">
        <v>0</v>
      </c>
    </row>
    <row r="700" customFormat="false" ht="15" hidden="false" customHeight="false" outlineLevel="0" collapsed="false">
      <c r="A700" s="3" t="s">
        <v>885</v>
      </c>
      <c r="B700" s="3" t="n">
        <v>411</v>
      </c>
      <c r="C700" s="11" t="str">
        <f aca="false">IF(M700&gt;=Assumptions!$B$17,"S+",IF(M700&gt;=Assumptions!$B$18,"S",IF(M700&gt;=Assumptions!$B$19,"A",IF(M700&gt;=Assumptions!$B$20,"B",IF(M700&gt;=Assumptions!$B$21,"C",IF(M700&gt;=Assumptions!$B$22,"D","F"))))))</f>
        <v>D</v>
      </c>
      <c r="D700" s="3" t="s">
        <v>197</v>
      </c>
      <c r="E700" s="3" t="n">
        <v>1</v>
      </c>
      <c r="F700" s="12" t="n">
        <v>0.7804</v>
      </c>
      <c r="G700" s="12" t="n">
        <v>0.4</v>
      </c>
      <c r="H700" s="12" t="n">
        <v>0.75</v>
      </c>
      <c r="I700" s="12" t="n">
        <v>0.6146</v>
      </c>
      <c r="J700" s="12" t="n">
        <v>0.3636</v>
      </c>
      <c r="K700" s="12" t="n">
        <v>0.5269</v>
      </c>
      <c r="L700" s="3" t="n">
        <v>3.79</v>
      </c>
      <c r="M700" s="12" t="n">
        <f aca="false">Z700-W700</f>
        <v>0.040146</v>
      </c>
      <c r="N700" s="12" t="n">
        <f aca="false">IFERROR((Z700-J700)/L700,"")</f>
        <v>0.0430992084432718</v>
      </c>
      <c r="O700" s="3" t="n">
        <v>19</v>
      </c>
      <c r="P700" s="13" t="b">
        <f aca="false">FALSE()</f>
        <v>0</v>
      </c>
      <c r="Q700" s="3" t="s">
        <v>201</v>
      </c>
      <c r="R700" s="12" t="n">
        <v>0.7461</v>
      </c>
      <c r="S700" s="12" t="n">
        <v>0.3366</v>
      </c>
      <c r="T700" s="3" t="n">
        <v>0.4751</v>
      </c>
      <c r="U700" s="12" t="n">
        <v>0.5668</v>
      </c>
      <c r="V700" s="12" t="n">
        <v>0.4038</v>
      </c>
      <c r="W700" s="12" t="n">
        <v>0.4868</v>
      </c>
      <c r="X700" s="3" t="n">
        <v>0.409</v>
      </c>
      <c r="Y700" s="3" t="n">
        <v>0.5892</v>
      </c>
      <c r="Z700" s="14" t="n">
        <f aca="false">Assumptions!$B$3*R700+Assumptions!$B$4*S700+IF(AA700=1,Assumptions!$B$11,Assumptions!$B$5)*X700+IF(AA700=1,Assumptions!$B$12,Assumptions!$B$6)*T700+Assumptions!$B$7*U700+Assumptions!$B$8*V700+Assumptions!$B$9*Y700</f>
        <v>0.526946</v>
      </c>
      <c r="AA700" s="3" t="n">
        <v>0</v>
      </c>
    </row>
    <row r="701" customFormat="false" ht="15" hidden="false" customHeight="false" outlineLevel="0" collapsed="false">
      <c r="A701" s="3" t="s">
        <v>886</v>
      </c>
      <c r="B701" s="3" t="n">
        <v>411</v>
      </c>
      <c r="C701" s="11" t="str">
        <f aca="false">IF(M701&gt;=Assumptions!$B$17,"S+",IF(M701&gt;=Assumptions!$B$18,"S",IF(M701&gt;=Assumptions!$B$19,"A",IF(M701&gt;=Assumptions!$B$20,"B",IF(M701&gt;=Assumptions!$B$21,"C",IF(M701&gt;=Assumptions!$B$22,"D","F"))))))</f>
        <v>D</v>
      </c>
      <c r="D701" s="3" t="s">
        <v>197</v>
      </c>
      <c r="E701" s="3" t="n">
        <v>1</v>
      </c>
      <c r="F701" s="12" t="n">
        <v>0.7804</v>
      </c>
      <c r="G701" s="12" t="n">
        <v>0.4</v>
      </c>
      <c r="H701" s="12" t="n">
        <v>0.75</v>
      </c>
      <c r="I701" s="12" t="n">
        <v>0.6146</v>
      </c>
      <c r="J701" s="12" t="n">
        <v>0.3636</v>
      </c>
      <c r="K701" s="12" t="n">
        <v>0.5269</v>
      </c>
      <c r="L701" s="3" t="n">
        <v>3.79</v>
      </c>
      <c r="M701" s="12" t="n">
        <f aca="false">Z701-W701</f>
        <v>0.040146</v>
      </c>
      <c r="N701" s="12" t="n">
        <f aca="false">IFERROR((Z701-J701)/L701,"")</f>
        <v>0.0430992084432718</v>
      </c>
      <c r="O701" s="3" t="n">
        <v>19</v>
      </c>
      <c r="P701" s="13" t="b">
        <f aca="false">FALSE()</f>
        <v>0</v>
      </c>
      <c r="Q701" s="3" t="s">
        <v>166</v>
      </c>
      <c r="R701" s="12" t="n">
        <v>0.7461</v>
      </c>
      <c r="S701" s="12" t="n">
        <v>0.3366</v>
      </c>
      <c r="T701" s="3" t="n">
        <v>0.4751</v>
      </c>
      <c r="U701" s="12" t="n">
        <v>0.5668</v>
      </c>
      <c r="V701" s="12" t="n">
        <v>0.4038</v>
      </c>
      <c r="W701" s="12" t="n">
        <v>0.4868</v>
      </c>
      <c r="X701" s="3" t="n">
        <v>0.409</v>
      </c>
      <c r="Y701" s="3" t="n">
        <v>0.5892</v>
      </c>
      <c r="Z701" s="14" t="n">
        <f aca="false">Assumptions!$B$3*R701+Assumptions!$B$4*S701+IF(AA701=1,Assumptions!$B$11,Assumptions!$B$5)*X701+IF(AA701=1,Assumptions!$B$12,Assumptions!$B$6)*T701+Assumptions!$B$7*U701+Assumptions!$B$8*V701+Assumptions!$B$9*Y701</f>
        <v>0.526946</v>
      </c>
      <c r="AA701" s="3" t="n">
        <v>0</v>
      </c>
    </row>
    <row r="702" customFormat="false" ht="15" hidden="false" customHeight="false" outlineLevel="0" collapsed="false">
      <c r="A702" s="3" t="s">
        <v>887</v>
      </c>
      <c r="B702" s="3" t="n">
        <v>411</v>
      </c>
      <c r="C702" s="11" t="str">
        <f aca="false">IF(M702&gt;=Assumptions!$B$17,"S+",IF(M702&gt;=Assumptions!$B$18,"S",IF(M702&gt;=Assumptions!$B$19,"A",IF(M702&gt;=Assumptions!$B$20,"B",IF(M702&gt;=Assumptions!$B$21,"C",IF(M702&gt;=Assumptions!$B$22,"D","F"))))))</f>
        <v>D</v>
      </c>
      <c r="D702" s="3" t="s">
        <v>197</v>
      </c>
      <c r="E702" s="3" t="n">
        <v>1</v>
      </c>
      <c r="F702" s="12" t="n">
        <v>0.7804</v>
      </c>
      <c r="G702" s="12" t="n">
        <v>0.4</v>
      </c>
      <c r="H702" s="12" t="n">
        <v>0.75</v>
      </c>
      <c r="I702" s="12" t="n">
        <v>0.6146</v>
      </c>
      <c r="J702" s="12" t="n">
        <v>0.3636</v>
      </c>
      <c r="K702" s="12" t="n">
        <v>0.5269</v>
      </c>
      <c r="L702" s="3" t="n">
        <v>3.79</v>
      </c>
      <c r="M702" s="12" t="n">
        <f aca="false">Z702-W702</f>
        <v>0.040146</v>
      </c>
      <c r="N702" s="12" t="n">
        <f aca="false">IFERROR((Z702-J702)/L702,"")</f>
        <v>0.0430992084432718</v>
      </c>
      <c r="O702" s="3" t="n">
        <v>19</v>
      </c>
      <c r="P702" s="13" t="b">
        <f aca="false">FALSE()</f>
        <v>0</v>
      </c>
      <c r="Q702" s="3" t="s">
        <v>201</v>
      </c>
      <c r="R702" s="12" t="n">
        <v>0.7461</v>
      </c>
      <c r="S702" s="12" t="n">
        <v>0.3366</v>
      </c>
      <c r="T702" s="3" t="n">
        <v>0.4751</v>
      </c>
      <c r="U702" s="12" t="n">
        <v>0.5668</v>
      </c>
      <c r="V702" s="12" t="n">
        <v>0.4038</v>
      </c>
      <c r="W702" s="12" t="n">
        <v>0.4868</v>
      </c>
      <c r="X702" s="3" t="n">
        <v>0.409</v>
      </c>
      <c r="Y702" s="3" t="n">
        <v>0.5892</v>
      </c>
      <c r="Z702" s="14" t="n">
        <f aca="false">Assumptions!$B$3*R702+Assumptions!$B$4*S702+IF(AA702=1,Assumptions!$B$11,Assumptions!$B$5)*X702+IF(AA702=1,Assumptions!$B$12,Assumptions!$B$6)*T702+Assumptions!$B$7*U702+Assumptions!$B$8*V702+Assumptions!$B$9*Y702</f>
        <v>0.526946</v>
      </c>
      <c r="AA702" s="3" t="n">
        <v>0</v>
      </c>
    </row>
    <row r="703" customFormat="false" ht="15" hidden="false" customHeight="false" outlineLevel="0" collapsed="false">
      <c r="A703" s="3" t="s">
        <v>888</v>
      </c>
      <c r="B703" s="3" t="n">
        <v>411</v>
      </c>
      <c r="C703" s="11" t="str">
        <f aca="false">IF(M703&gt;=Assumptions!$B$17,"S+",IF(M703&gt;=Assumptions!$B$18,"S",IF(M703&gt;=Assumptions!$B$19,"A",IF(M703&gt;=Assumptions!$B$20,"B",IF(M703&gt;=Assumptions!$B$21,"C",IF(M703&gt;=Assumptions!$B$22,"D","F"))))))</f>
        <v>D</v>
      </c>
      <c r="D703" s="3" t="s">
        <v>197</v>
      </c>
      <c r="E703" s="3" t="n">
        <v>1</v>
      </c>
      <c r="F703" s="12" t="n">
        <v>0.7804</v>
      </c>
      <c r="G703" s="12" t="n">
        <v>0.4</v>
      </c>
      <c r="H703" s="12" t="n">
        <v>0.75</v>
      </c>
      <c r="I703" s="12" t="n">
        <v>0.6146</v>
      </c>
      <c r="J703" s="12" t="n">
        <v>0.3636</v>
      </c>
      <c r="K703" s="12" t="n">
        <v>0.5269</v>
      </c>
      <c r="L703" s="3" t="n">
        <v>3.79</v>
      </c>
      <c r="M703" s="12" t="n">
        <f aca="false">Z703-W703</f>
        <v>0.040146</v>
      </c>
      <c r="N703" s="12" t="n">
        <f aca="false">IFERROR((Z703-J703)/L703,"")</f>
        <v>0.0430992084432718</v>
      </c>
      <c r="O703" s="3" t="n">
        <v>19</v>
      </c>
      <c r="P703" s="13" t="b">
        <f aca="false">FALSE()</f>
        <v>0</v>
      </c>
      <c r="Q703" s="3" t="s">
        <v>201</v>
      </c>
      <c r="R703" s="12" t="n">
        <v>0.7461</v>
      </c>
      <c r="S703" s="12" t="n">
        <v>0.3366</v>
      </c>
      <c r="T703" s="3" t="n">
        <v>0.4751</v>
      </c>
      <c r="U703" s="12" t="n">
        <v>0.5668</v>
      </c>
      <c r="V703" s="12" t="n">
        <v>0.4038</v>
      </c>
      <c r="W703" s="12" t="n">
        <v>0.4868</v>
      </c>
      <c r="X703" s="3" t="n">
        <v>0.409</v>
      </c>
      <c r="Y703" s="3" t="n">
        <v>0.5892</v>
      </c>
      <c r="Z703" s="14" t="n">
        <f aca="false">Assumptions!$B$3*R703+Assumptions!$B$4*S703+IF(AA703=1,Assumptions!$B$11,Assumptions!$B$5)*X703+IF(AA703=1,Assumptions!$B$12,Assumptions!$B$6)*T703+Assumptions!$B$7*U703+Assumptions!$B$8*V703+Assumptions!$B$9*Y703</f>
        <v>0.526946</v>
      </c>
      <c r="AA703" s="3" t="n">
        <v>0</v>
      </c>
    </row>
    <row r="704" customFormat="false" ht="15" hidden="false" customHeight="false" outlineLevel="0" collapsed="false">
      <c r="A704" s="3" t="s">
        <v>889</v>
      </c>
      <c r="B704" s="3" t="n">
        <v>411</v>
      </c>
      <c r="C704" s="11" t="str">
        <f aca="false">IF(M704&gt;=Assumptions!$B$17,"S+",IF(M704&gt;=Assumptions!$B$18,"S",IF(M704&gt;=Assumptions!$B$19,"A",IF(M704&gt;=Assumptions!$B$20,"B",IF(M704&gt;=Assumptions!$B$21,"C",IF(M704&gt;=Assumptions!$B$22,"D","F"))))))</f>
        <v>D</v>
      </c>
      <c r="D704" s="3" t="s">
        <v>197</v>
      </c>
      <c r="E704" s="3" t="n">
        <v>1</v>
      </c>
      <c r="F704" s="12" t="n">
        <v>0.7804</v>
      </c>
      <c r="G704" s="12" t="n">
        <v>0.4</v>
      </c>
      <c r="H704" s="12" t="n">
        <v>0.75</v>
      </c>
      <c r="I704" s="12" t="n">
        <v>0.6146</v>
      </c>
      <c r="J704" s="12" t="n">
        <v>0.3636</v>
      </c>
      <c r="K704" s="12" t="n">
        <v>0.5269</v>
      </c>
      <c r="L704" s="3" t="n">
        <v>3.79</v>
      </c>
      <c r="M704" s="12" t="n">
        <f aca="false">Z704-W704</f>
        <v>0.040146</v>
      </c>
      <c r="N704" s="12" t="n">
        <f aca="false">IFERROR((Z704-J704)/L704,"")</f>
        <v>0.0430992084432718</v>
      </c>
      <c r="O704" s="3" t="n">
        <v>19</v>
      </c>
      <c r="P704" s="13" t="b">
        <f aca="false">FALSE()</f>
        <v>0</v>
      </c>
      <c r="Q704" s="3" t="s">
        <v>201</v>
      </c>
      <c r="R704" s="12" t="n">
        <v>0.7461</v>
      </c>
      <c r="S704" s="12" t="n">
        <v>0.3366</v>
      </c>
      <c r="T704" s="3" t="n">
        <v>0.4751</v>
      </c>
      <c r="U704" s="12" t="n">
        <v>0.5668</v>
      </c>
      <c r="V704" s="12" t="n">
        <v>0.4038</v>
      </c>
      <c r="W704" s="12" t="n">
        <v>0.4868</v>
      </c>
      <c r="X704" s="3" t="n">
        <v>0.409</v>
      </c>
      <c r="Y704" s="3" t="n">
        <v>0.5892</v>
      </c>
      <c r="Z704" s="14" t="n">
        <f aca="false">Assumptions!$B$3*R704+Assumptions!$B$4*S704+IF(AA704=1,Assumptions!$B$11,Assumptions!$B$5)*X704+IF(AA704=1,Assumptions!$B$12,Assumptions!$B$6)*T704+Assumptions!$B$7*U704+Assumptions!$B$8*V704+Assumptions!$B$9*Y704</f>
        <v>0.526946</v>
      </c>
      <c r="AA704" s="3" t="n">
        <v>0</v>
      </c>
    </row>
    <row r="705" customFormat="false" ht="15" hidden="false" customHeight="false" outlineLevel="0" collapsed="false">
      <c r="A705" s="3" t="s">
        <v>890</v>
      </c>
      <c r="B705" s="3" t="n">
        <v>411</v>
      </c>
      <c r="C705" s="11" t="str">
        <f aca="false">IF(M705&gt;=Assumptions!$B$17,"S+",IF(M705&gt;=Assumptions!$B$18,"S",IF(M705&gt;=Assumptions!$B$19,"A",IF(M705&gt;=Assumptions!$B$20,"B",IF(M705&gt;=Assumptions!$B$21,"C",IF(M705&gt;=Assumptions!$B$22,"D","F"))))))</f>
        <v>D</v>
      </c>
      <c r="D705" s="3" t="s">
        <v>197</v>
      </c>
      <c r="E705" s="3" t="n">
        <v>1</v>
      </c>
      <c r="F705" s="12" t="n">
        <v>0.7804</v>
      </c>
      <c r="G705" s="12" t="n">
        <v>0.4</v>
      </c>
      <c r="H705" s="12" t="n">
        <v>0.75</v>
      </c>
      <c r="I705" s="12" t="n">
        <v>0.6146</v>
      </c>
      <c r="J705" s="12" t="n">
        <v>0.3636</v>
      </c>
      <c r="K705" s="12" t="n">
        <v>0.5269</v>
      </c>
      <c r="L705" s="3" t="n">
        <v>3.79</v>
      </c>
      <c r="M705" s="12" t="n">
        <f aca="false">Z705-W705</f>
        <v>0.040146</v>
      </c>
      <c r="N705" s="12" t="n">
        <f aca="false">IFERROR((Z705-J705)/L705,"")</f>
        <v>0.0430992084432718</v>
      </c>
      <c r="O705" s="3" t="n">
        <v>19</v>
      </c>
      <c r="P705" s="13" t="b">
        <f aca="false">FALSE()</f>
        <v>0</v>
      </c>
      <c r="Q705" s="3" t="s">
        <v>201</v>
      </c>
      <c r="R705" s="12" t="n">
        <v>0.7461</v>
      </c>
      <c r="S705" s="12" t="n">
        <v>0.3366</v>
      </c>
      <c r="T705" s="3" t="n">
        <v>0.4751</v>
      </c>
      <c r="U705" s="12" t="n">
        <v>0.5668</v>
      </c>
      <c r="V705" s="12" t="n">
        <v>0.4038</v>
      </c>
      <c r="W705" s="12" t="n">
        <v>0.4868</v>
      </c>
      <c r="X705" s="3" t="n">
        <v>0.409</v>
      </c>
      <c r="Y705" s="3" t="n">
        <v>0.5892</v>
      </c>
      <c r="Z705" s="14" t="n">
        <f aca="false">Assumptions!$B$3*R705+Assumptions!$B$4*S705+IF(AA705=1,Assumptions!$B$11,Assumptions!$B$5)*X705+IF(AA705=1,Assumptions!$B$12,Assumptions!$B$6)*T705+Assumptions!$B$7*U705+Assumptions!$B$8*V705+Assumptions!$B$9*Y705</f>
        <v>0.526946</v>
      </c>
      <c r="AA705" s="3" t="n">
        <v>0</v>
      </c>
    </row>
    <row r="706" customFormat="false" ht="15" hidden="false" customHeight="false" outlineLevel="0" collapsed="false">
      <c r="A706" s="3" t="s">
        <v>891</v>
      </c>
      <c r="B706" s="3" t="n">
        <v>485</v>
      </c>
      <c r="C706" s="11" t="str">
        <f aca="false">IF(M706&gt;=Assumptions!$B$17,"S+",IF(M706&gt;=Assumptions!$B$18,"S",IF(M706&gt;=Assumptions!$B$19,"A",IF(M706&gt;=Assumptions!$B$20,"B",IF(M706&gt;=Assumptions!$B$21,"C",IF(M706&gt;=Assumptions!$B$22,"D","F"))))))</f>
        <v>D</v>
      </c>
      <c r="D706" s="3" t="s">
        <v>218</v>
      </c>
      <c r="E706" s="3" t="n">
        <v>1</v>
      </c>
      <c r="F706" s="12" t="n">
        <v>0.7367</v>
      </c>
      <c r="G706" s="12" t="n">
        <v>0.8</v>
      </c>
      <c r="H706" s="12" t="n">
        <v>0.75</v>
      </c>
      <c r="I706" s="12" t="n">
        <v>0.7697</v>
      </c>
      <c r="J706" s="12" t="n">
        <v>0.3619</v>
      </c>
      <c r="K706" s="12" t="n">
        <v>0.5527</v>
      </c>
      <c r="L706" s="3" t="n">
        <v>3.61</v>
      </c>
      <c r="M706" s="12" t="n">
        <f aca="false">Z706-W706</f>
        <v>0.039567</v>
      </c>
      <c r="N706" s="12" t="n">
        <f aca="false">IFERROR((Z706-J706)/L706,"")</f>
        <v>0.0528717451523546</v>
      </c>
      <c r="O706" s="3" t="n">
        <v>19</v>
      </c>
      <c r="P706" s="13" t="b">
        <f aca="false">FALSE()</f>
        <v>0</v>
      </c>
      <c r="Q706" s="3" t="s">
        <v>166</v>
      </c>
      <c r="R706" s="12" t="n">
        <v>0.7672</v>
      </c>
      <c r="S706" s="12" t="n">
        <v>0.7728</v>
      </c>
      <c r="T706" s="3" t="n">
        <v>0.1988</v>
      </c>
      <c r="U706" s="12" t="n">
        <v>0.2146</v>
      </c>
      <c r="V706" s="12" t="n">
        <v>0.4647</v>
      </c>
      <c r="W706" s="12" t="n">
        <v>0.5132</v>
      </c>
      <c r="X706" s="3" t="n">
        <v>0.4697</v>
      </c>
      <c r="Y706" s="3" t="n">
        <v>0.6579</v>
      </c>
      <c r="Z706" s="14" t="n">
        <f aca="false">Assumptions!$B$3*R706+Assumptions!$B$4*S706+IF(AA706=1,Assumptions!$B$11,Assumptions!$B$5)*X706+IF(AA706=1,Assumptions!$B$12,Assumptions!$B$6)*T706+Assumptions!$B$7*U706+Assumptions!$B$8*V706+Assumptions!$B$9*Y706</f>
        <v>0.552767</v>
      </c>
      <c r="AA706" s="3" t="n">
        <v>0</v>
      </c>
    </row>
    <row r="707" customFormat="false" ht="15" hidden="false" customHeight="false" outlineLevel="0" collapsed="false">
      <c r="A707" s="3" t="s">
        <v>892</v>
      </c>
      <c r="B707" s="3" t="n">
        <v>485</v>
      </c>
      <c r="C707" s="11" t="str">
        <f aca="false">IF(M707&gt;=Assumptions!$B$17,"S+",IF(M707&gt;=Assumptions!$B$18,"S",IF(M707&gt;=Assumptions!$B$19,"A",IF(M707&gt;=Assumptions!$B$20,"B",IF(M707&gt;=Assumptions!$B$21,"C",IF(M707&gt;=Assumptions!$B$22,"D","F"))))))</f>
        <v>D</v>
      </c>
      <c r="D707" s="3" t="s">
        <v>247</v>
      </c>
      <c r="E707" s="3" t="n">
        <v>7</v>
      </c>
      <c r="F707" s="12" t="n">
        <v>0.7352</v>
      </c>
      <c r="G707" s="12" t="n">
        <v>0.6</v>
      </c>
      <c r="H707" s="12" t="n">
        <v>0.75</v>
      </c>
      <c r="I707" s="12" t="n">
        <v>0.6733</v>
      </c>
      <c r="J707" s="12" t="n">
        <v>0.3359</v>
      </c>
      <c r="K707" s="12" t="n">
        <v>0.4875</v>
      </c>
      <c r="L707" s="3" t="n">
        <v>4</v>
      </c>
      <c r="M707" s="12" t="n">
        <f aca="false">Z707-W707</f>
        <v>0.038372</v>
      </c>
      <c r="N707" s="12" t="n">
        <f aca="false">IFERROR((Z707-J707)/L707,"")</f>
        <v>0.037893</v>
      </c>
      <c r="O707" s="3" t="n">
        <v>13</v>
      </c>
      <c r="P707" s="13" t="b">
        <f aca="false">FALSE()</f>
        <v>0</v>
      </c>
      <c r="Q707" s="3" t="s">
        <v>166</v>
      </c>
      <c r="R707" s="12" t="n">
        <v>0.8519</v>
      </c>
      <c r="S707" s="12" t="n">
        <v>0.3846</v>
      </c>
      <c r="T707" s="3" t="n">
        <v>0.0404</v>
      </c>
      <c r="U707" s="12" t="n">
        <v>0.3432</v>
      </c>
      <c r="V707" s="12" t="n">
        <v>0.2894</v>
      </c>
      <c r="W707" s="12" t="n">
        <v>0.4491</v>
      </c>
      <c r="X707" s="3" t="n">
        <v>0.4366</v>
      </c>
      <c r="Y707" s="3" t="n">
        <v>0.6743</v>
      </c>
      <c r="Z707" s="14" t="n">
        <f aca="false">Assumptions!$B$3*R707+Assumptions!$B$4*S707+IF(AA707=1,Assumptions!$B$11,Assumptions!$B$5)*X707+IF(AA707=1,Assumptions!$B$12,Assumptions!$B$6)*T707+Assumptions!$B$7*U707+Assumptions!$B$8*V707+Assumptions!$B$9*Y707</f>
        <v>0.487472</v>
      </c>
      <c r="AA707" s="3" t="n">
        <v>0</v>
      </c>
    </row>
    <row r="708" customFormat="false" ht="15" hidden="false" customHeight="false" outlineLevel="0" collapsed="false">
      <c r="A708" s="3" t="s">
        <v>893</v>
      </c>
      <c r="B708" s="3" t="n">
        <v>570</v>
      </c>
      <c r="C708" s="11" t="str">
        <f aca="false">IF(M708&gt;=Assumptions!$B$17,"S+",IF(M708&gt;=Assumptions!$B$18,"S",IF(M708&gt;=Assumptions!$B$19,"A",IF(M708&gt;=Assumptions!$B$20,"B",IF(M708&gt;=Assumptions!$B$21,"C",IF(M708&gt;=Assumptions!$B$22,"D","F"))))))</f>
        <v>D</v>
      </c>
      <c r="D708" s="3" t="s">
        <v>197</v>
      </c>
      <c r="E708" s="3" t="n">
        <v>1</v>
      </c>
      <c r="F708" s="12" t="n">
        <v>0.9892</v>
      </c>
      <c r="G708" s="12" t="n">
        <v>0.8</v>
      </c>
      <c r="H708" s="12" t="n">
        <v>0.75</v>
      </c>
      <c r="I708" s="12" t="n">
        <v>0.8619</v>
      </c>
      <c r="J708" s="12" t="n">
        <v>0.4287</v>
      </c>
      <c r="K708" s="12" t="n">
        <v>0.5484</v>
      </c>
      <c r="L708" s="3" t="n">
        <v>3.82</v>
      </c>
      <c r="M708" s="12" t="n">
        <f aca="false">Z708-W708</f>
        <v>0.0382580000000001</v>
      </c>
      <c r="N708" s="12" t="n">
        <f aca="false">IFERROR((Z708-J708)/L708,"")</f>
        <v>0.0313240837696335</v>
      </c>
      <c r="O708" s="3" t="n">
        <v>19</v>
      </c>
      <c r="P708" s="13" t="b">
        <f aca="false">FALSE()</f>
        <v>0</v>
      </c>
      <c r="Q708" s="3" t="s">
        <v>166</v>
      </c>
      <c r="R708" s="12" t="n">
        <v>0.8342</v>
      </c>
      <c r="S708" s="12" t="n">
        <v>0.274</v>
      </c>
      <c r="T708" s="3" t="n">
        <v>0.9345</v>
      </c>
      <c r="U708" s="12" t="n">
        <v>0.336</v>
      </c>
      <c r="V708" s="12" t="n">
        <v>0.421</v>
      </c>
      <c r="W708" s="12" t="n">
        <v>0.5101</v>
      </c>
      <c r="X708" s="3" t="n">
        <v>0.1101</v>
      </c>
      <c r="Y708" s="3" t="n">
        <v>0.807</v>
      </c>
      <c r="Z708" s="14" t="n">
        <f aca="false">Assumptions!$B$3*R708+Assumptions!$B$4*S708+IF(AA708=1,Assumptions!$B$11,Assumptions!$B$5)*X708+IF(AA708=1,Assumptions!$B$12,Assumptions!$B$6)*T708+Assumptions!$B$7*U708+Assumptions!$B$8*V708+Assumptions!$B$9*Y708</f>
        <v>0.548358</v>
      </c>
      <c r="AA708" s="3" t="n">
        <v>0</v>
      </c>
    </row>
    <row r="709" customFormat="false" ht="15" hidden="false" customHeight="false" outlineLevel="0" collapsed="false">
      <c r="A709" s="3" t="s">
        <v>894</v>
      </c>
      <c r="B709" s="3" t="n">
        <v>495</v>
      </c>
      <c r="C709" s="11" t="str">
        <f aca="false">IF(M709&gt;=Assumptions!$B$17,"S+",IF(M709&gt;=Assumptions!$B$18,"S",IF(M709&gt;=Assumptions!$B$19,"A",IF(M709&gt;=Assumptions!$B$20,"B",IF(M709&gt;=Assumptions!$B$21,"C",IF(M709&gt;=Assumptions!$B$22,"D","F"))))))</f>
        <v>D</v>
      </c>
      <c r="D709" s="3" t="s">
        <v>253</v>
      </c>
      <c r="E709" s="3" t="n">
        <v>1</v>
      </c>
      <c r="F709" s="12" t="n">
        <v>0.7537</v>
      </c>
      <c r="G709" s="12" t="n">
        <v>1</v>
      </c>
      <c r="H709" s="12" t="n">
        <v>0.75</v>
      </c>
      <c r="I709" s="12" t="n">
        <v>0.8712</v>
      </c>
      <c r="J709" s="12" t="n">
        <v>0.5034</v>
      </c>
      <c r="K709" s="12" t="n">
        <v>0.5778</v>
      </c>
      <c r="L709" s="3" t="n">
        <v>4.76</v>
      </c>
      <c r="M709" s="12" t="n">
        <f aca="false">Z709-W709</f>
        <v>0.0382370000000001</v>
      </c>
      <c r="N709" s="12" t="n">
        <f aca="false">IFERROR((Z709-J709)/L709,"")</f>
        <v>0.0156170168067227</v>
      </c>
      <c r="O709" s="3" t="n">
        <v>19</v>
      </c>
      <c r="P709" s="13" t="b">
        <f aca="false">FALSE()</f>
        <v>0</v>
      </c>
      <c r="Q709" s="3" t="s">
        <v>201</v>
      </c>
      <c r="R709" s="12" t="n">
        <v>0.8068</v>
      </c>
      <c r="S709" s="12" t="n">
        <v>0.4034</v>
      </c>
      <c r="T709" s="3" t="n">
        <v>0.865</v>
      </c>
      <c r="U709" s="12" t="n">
        <v>0.4494</v>
      </c>
      <c r="V709" s="12" t="n">
        <v>0.4707</v>
      </c>
      <c r="W709" s="12" t="n">
        <v>0.5395</v>
      </c>
      <c r="X709" s="3" t="n">
        <v>0.1742</v>
      </c>
      <c r="Y709" s="3" t="n">
        <v>0.7907</v>
      </c>
      <c r="Z709" s="14" t="n">
        <f aca="false">Assumptions!$B$3*R709+Assumptions!$B$4*S709+IF(AA709=1,Assumptions!$B$11,Assumptions!$B$5)*X709+IF(AA709=1,Assumptions!$B$12,Assumptions!$B$6)*T709+Assumptions!$B$7*U709+Assumptions!$B$8*V709+Assumptions!$B$9*Y709</f>
        <v>0.577737</v>
      </c>
      <c r="AA709" s="3" t="n">
        <v>0</v>
      </c>
    </row>
    <row r="710" customFormat="false" ht="15" hidden="false" customHeight="false" outlineLevel="0" collapsed="false">
      <c r="A710" s="3" t="s">
        <v>895</v>
      </c>
      <c r="B710" s="3" t="n">
        <v>425</v>
      </c>
      <c r="C710" s="11" t="str">
        <f aca="false">IF(M710&gt;=Assumptions!$B$17,"S+",IF(M710&gt;=Assumptions!$B$18,"S",IF(M710&gt;=Assumptions!$B$19,"A",IF(M710&gt;=Assumptions!$B$20,"B",IF(M710&gt;=Assumptions!$B$21,"C",IF(M710&gt;=Assumptions!$B$22,"D","F"))))))</f>
        <v>D</v>
      </c>
      <c r="D710" s="3" t="s">
        <v>175</v>
      </c>
      <c r="E710" s="3" t="n">
        <v>1</v>
      </c>
      <c r="F710" s="12" t="n">
        <v>0.7197</v>
      </c>
      <c r="G710" s="12" t="n">
        <v>0.45</v>
      </c>
      <c r="H710" s="12" t="n">
        <v>0.75</v>
      </c>
      <c r="I710" s="12" t="n">
        <v>0.5505</v>
      </c>
      <c r="J710" s="12" t="n">
        <v>0.3326</v>
      </c>
      <c r="K710" s="12" t="n">
        <v>0.4753</v>
      </c>
      <c r="L710" s="3" t="n">
        <v>3.66</v>
      </c>
      <c r="M710" s="12" t="n">
        <f aca="false">Z710-W710</f>
        <v>0.0376610000000001</v>
      </c>
      <c r="N710" s="12" t="n">
        <f aca="false">IFERROR((Z710-J710)/L710,"")</f>
        <v>0.0389784153005465</v>
      </c>
      <c r="O710" s="3" t="n">
        <v>19</v>
      </c>
      <c r="P710" s="13" t="b">
        <f aca="false">FALSE()</f>
        <v>0</v>
      </c>
      <c r="Q710" s="3" t="s">
        <v>201</v>
      </c>
      <c r="R710" s="12" t="n">
        <v>0.7808</v>
      </c>
      <c r="S710" s="12" t="n">
        <v>0.5039</v>
      </c>
      <c r="T710" s="3" t="n">
        <v>0.2294</v>
      </c>
      <c r="U710" s="12" t="n">
        <v>0.2753</v>
      </c>
      <c r="V710" s="12" t="n">
        <v>0.5168</v>
      </c>
      <c r="W710" s="12" t="n">
        <v>0.4376</v>
      </c>
      <c r="X710" s="3" t="n">
        <v>0.2142</v>
      </c>
      <c r="Y710" s="3" t="n">
        <v>0.5049</v>
      </c>
      <c r="Z710" s="14" t="n">
        <f aca="false">Assumptions!$B$3*R710+Assumptions!$B$4*S710+IF(AA710=1,Assumptions!$B$11,Assumptions!$B$5)*X710+IF(AA710=1,Assumptions!$B$12,Assumptions!$B$6)*T710+Assumptions!$B$7*U710+Assumptions!$B$8*V710+Assumptions!$B$9*Y710</f>
        <v>0.475261</v>
      </c>
      <c r="AA710" s="3" t="n">
        <v>0</v>
      </c>
    </row>
    <row r="711" customFormat="false" ht="15" hidden="false" customHeight="false" outlineLevel="0" collapsed="false">
      <c r="A711" s="3" t="s">
        <v>896</v>
      </c>
      <c r="B711" s="3" t="n">
        <v>405</v>
      </c>
      <c r="C711" s="11" t="str">
        <f aca="false">IF(M711&gt;=Assumptions!$B$17,"S+",IF(M711&gt;=Assumptions!$B$18,"S",IF(M711&gt;=Assumptions!$B$19,"A",IF(M711&gt;=Assumptions!$B$20,"B",IF(M711&gt;=Assumptions!$B$21,"C",IF(M711&gt;=Assumptions!$B$22,"D","F"))))))</f>
        <v>D</v>
      </c>
      <c r="D711" s="3" t="s">
        <v>173</v>
      </c>
      <c r="E711" s="3" t="n">
        <v>2</v>
      </c>
      <c r="F711" s="12" t="n">
        <v>0.4228</v>
      </c>
      <c r="G711" s="12" t="n">
        <v>0.6</v>
      </c>
      <c r="H711" s="12" t="n">
        <v>0.75</v>
      </c>
      <c r="I711" s="12" t="n">
        <v>0.5981</v>
      </c>
      <c r="J711" s="12" t="n">
        <v>0.3276</v>
      </c>
      <c r="K711" s="12" t="n">
        <v>0.5158</v>
      </c>
      <c r="L711" s="3" t="n">
        <v>3.75</v>
      </c>
      <c r="M711" s="12" t="n">
        <f aca="false">Z711-W711</f>
        <v>0.037195</v>
      </c>
      <c r="N711" s="12" t="n">
        <f aca="false">IFERROR((Z711-J711)/L711,"")</f>
        <v>0.0501853333333333</v>
      </c>
      <c r="O711" s="3" t="n">
        <v>18</v>
      </c>
      <c r="P711" s="13" t="b">
        <f aca="false">FALSE()</f>
        <v>0</v>
      </c>
      <c r="Q711" s="3" t="s">
        <v>166</v>
      </c>
      <c r="R711" s="12" t="n">
        <v>0.7008</v>
      </c>
      <c r="S711" s="12" t="n">
        <v>0.5747</v>
      </c>
      <c r="T711" s="3" t="n">
        <v>0.1662</v>
      </c>
      <c r="U711" s="12" t="n">
        <v>0.3461</v>
      </c>
      <c r="V711" s="12" t="n">
        <v>0.5052</v>
      </c>
      <c r="W711" s="12" t="n">
        <v>0.4786</v>
      </c>
      <c r="X711" s="3" t="n">
        <v>0.4043</v>
      </c>
      <c r="Y711" s="3" t="n">
        <v>0.5352</v>
      </c>
      <c r="Z711" s="14" t="n">
        <f aca="false">Assumptions!$B$3*R711+Assumptions!$B$4*S711+IF(AA711=1,Assumptions!$B$11,Assumptions!$B$5)*X711+IF(AA711=1,Assumptions!$B$12,Assumptions!$B$6)*T711+Assumptions!$B$7*U711+Assumptions!$B$8*V711+Assumptions!$B$9*Y711</f>
        <v>0.515795</v>
      </c>
      <c r="AA711" s="3" t="n">
        <v>1</v>
      </c>
    </row>
    <row r="712" customFormat="false" ht="15" hidden="false" customHeight="false" outlineLevel="0" collapsed="false">
      <c r="A712" s="3" t="s">
        <v>897</v>
      </c>
      <c r="B712" s="3" t="n">
        <v>290</v>
      </c>
      <c r="C712" s="11" t="str">
        <f aca="false">IF(M712&gt;=Assumptions!$B$17,"S+",IF(M712&gt;=Assumptions!$B$18,"S",IF(M712&gt;=Assumptions!$B$19,"A",IF(M712&gt;=Assumptions!$B$20,"B",IF(M712&gt;=Assumptions!$B$21,"C",IF(M712&gt;=Assumptions!$B$22,"D","F"))))))</f>
        <v>D</v>
      </c>
      <c r="D712" s="3" t="s">
        <v>247</v>
      </c>
      <c r="E712" s="3" t="n">
        <v>3</v>
      </c>
      <c r="F712" s="12" t="n">
        <v>0.7666</v>
      </c>
      <c r="G712" s="12" t="n">
        <v>0.6</v>
      </c>
      <c r="H712" s="12" t="n">
        <v>0.75</v>
      </c>
      <c r="I712" s="12" t="n">
        <v>0.6833</v>
      </c>
      <c r="J712" s="12" t="n">
        <v>0.3382</v>
      </c>
      <c r="K712" s="12" t="n">
        <v>0.4899</v>
      </c>
      <c r="L712" s="3" t="n">
        <v>6.82</v>
      </c>
      <c r="M712" s="12" t="n">
        <f aca="false">Z712-W712</f>
        <v>0.036994</v>
      </c>
      <c r="N712" s="12" t="n">
        <f aca="false">IFERROR((Z712-J712)/L712,"")</f>
        <v>0.0222425219941349</v>
      </c>
      <c r="O712" s="3" t="n">
        <v>17</v>
      </c>
      <c r="P712" s="13" t="b">
        <f aca="false">FALSE()</f>
        <v>0</v>
      </c>
      <c r="Q712" s="3" t="s">
        <v>166</v>
      </c>
      <c r="R712" s="12" t="n">
        <v>0.687</v>
      </c>
      <c r="S712" s="12" t="n">
        <v>0.3091</v>
      </c>
      <c r="T712" s="3" t="n">
        <v>0.0477</v>
      </c>
      <c r="U712" s="12" t="n">
        <v>0.3258</v>
      </c>
      <c r="V712" s="12" t="n">
        <v>0.4693</v>
      </c>
      <c r="W712" s="12" t="n">
        <v>0.4529</v>
      </c>
      <c r="X712" s="3" t="n">
        <v>0.6757</v>
      </c>
      <c r="Y712" s="3" t="n">
        <v>0.6687</v>
      </c>
      <c r="Z712" s="14" t="n">
        <f aca="false">Assumptions!$B$3*R712+Assumptions!$B$4*S712+IF(AA712=1,Assumptions!$B$11,Assumptions!$B$5)*X712+IF(AA712=1,Assumptions!$B$12,Assumptions!$B$6)*T712+Assumptions!$B$7*U712+Assumptions!$B$8*V712+Assumptions!$B$9*Y712</f>
        <v>0.489894</v>
      </c>
      <c r="AA712" s="3" t="n">
        <v>0</v>
      </c>
    </row>
    <row r="713" customFormat="false" ht="15" hidden="false" customHeight="false" outlineLevel="0" collapsed="false">
      <c r="A713" s="3" t="s">
        <v>898</v>
      </c>
      <c r="B713" s="3" t="n">
        <v>330</v>
      </c>
      <c r="C713" s="11" t="str">
        <f aca="false">IF(M713&gt;=Assumptions!$B$17,"S+",IF(M713&gt;=Assumptions!$B$18,"S",IF(M713&gt;=Assumptions!$B$19,"A",IF(M713&gt;=Assumptions!$B$20,"B",IF(M713&gt;=Assumptions!$B$21,"C",IF(M713&gt;=Assumptions!$B$22,"D","F"))))))</f>
        <v>D</v>
      </c>
      <c r="D713" s="3" t="s">
        <v>173</v>
      </c>
      <c r="E713" s="3" t="n">
        <v>1</v>
      </c>
      <c r="F713" s="12" t="n">
        <v>0.5903</v>
      </c>
      <c r="G713" s="12" t="n">
        <v>0.45</v>
      </c>
      <c r="H713" s="12" t="n">
        <v>0.75</v>
      </c>
      <c r="I713" s="12" t="n">
        <v>0.5353</v>
      </c>
      <c r="J713" s="12" t="n">
        <v>0.3029</v>
      </c>
      <c r="K713" s="12" t="n">
        <v>0.4756</v>
      </c>
      <c r="L713" s="3" t="n">
        <v>5.5</v>
      </c>
      <c r="M713" s="12" t="n">
        <f aca="false">Z713-W713</f>
        <v>0.036757</v>
      </c>
      <c r="N713" s="12" t="n">
        <f aca="false">IFERROR((Z713-J713)/L713,"")</f>
        <v>0.0313921818181818</v>
      </c>
      <c r="O713" s="3" t="n">
        <v>19</v>
      </c>
      <c r="P713" s="13" t="b">
        <f aca="false">FALSE()</f>
        <v>0</v>
      </c>
      <c r="Q713" s="3" t="s">
        <v>166</v>
      </c>
      <c r="R713" s="12" t="n">
        <v>0.676</v>
      </c>
      <c r="S713" s="12" t="n">
        <v>0.4562</v>
      </c>
      <c r="T713" s="3" t="n">
        <v>0.336</v>
      </c>
      <c r="U713" s="12" t="n">
        <v>0.3765</v>
      </c>
      <c r="V713" s="12" t="n">
        <v>0.5053</v>
      </c>
      <c r="W713" s="12" t="n">
        <v>0.4388</v>
      </c>
      <c r="X713" s="3" t="n">
        <v>0.3091</v>
      </c>
      <c r="Y713" s="3" t="n">
        <v>0.5051</v>
      </c>
      <c r="Z713" s="14" t="n">
        <f aca="false">Assumptions!$B$3*R713+Assumptions!$B$4*S713+IF(AA713=1,Assumptions!$B$11,Assumptions!$B$5)*X713+IF(AA713=1,Assumptions!$B$12,Assumptions!$B$6)*T713+Assumptions!$B$7*U713+Assumptions!$B$8*V713+Assumptions!$B$9*Y713</f>
        <v>0.475557</v>
      </c>
      <c r="AA713" s="3" t="n">
        <v>1</v>
      </c>
    </row>
    <row r="714" customFormat="false" ht="15" hidden="false" customHeight="false" outlineLevel="0" collapsed="false">
      <c r="A714" s="3" t="s">
        <v>899</v>
      </c>
      <c r="B714" s="3" t="n">
        <v>525</v>
      </c>
      <c r="C714" s="11" t="str">
        <f aca="false">IF(M714&gt;=Assumptions!$B$17,"S+",IF(M714&gt;=Assumptions!$B$18,"S",IF(M714&gt;=Assumptions!$B$19,"A",IF(M714&gt;=Assumptions!$B$20,"B",IF(M714&gt;=Assumptions!$B$21,"C",IF(M714&gt;=Assumptions!$B$22,"D","F"))))))</f>
        <v>D</v>
      </c>
      <c r="D714" s="3" t="s">
        <v>253</v>
      </c>
      <c r="E714" s="3" t="n">
        <v>5</v>
      </c>
      <c r="F714" s="12" t="n">
        <v>0.9817</v>
      </c>
      <c r="G714" s="12" t="n">
        <v>0.4</v>
      </c>
      <c r="H714" s="12" t="n">
        <v>0.75</v>
      </c>
      <c r="I714" s="12" t="n">
        <v>0.6561</v>
      </c>
      <c r="J714" s="12" t="n">
        <v>0.3486</v>
      </c>
      <c r="K714" s="12" t="n">
        <v>0.5646</v>
      </c>
      <c r="L714" s="3" t="n">
        <v>3.93</v>
      </c>
      <c r="M714" s="12" t="n">
        <f aca="false">Z714-W714</f>
        <v>0.036685</v>
      </c>
      <c r="N714" s="12" t="n">
        <f aca="false">IFERROR((Z714-J714)/L714,"")</f>
        <v>0.0549580152671756</v>
      </c>
      <c r="O714" s="3" t="n">
        <v>15</v>
      </c>
      <c r="P714" s="13" t="b">
        <f aca="false">FALSE()</f>
        <v>0</v>
      </c>
      <c r="Q714" s="3" t="s">
        <v>166</v>
      </c>
      <c r="R714" s="12" t="n">
        <v>0.8007</v>
      </c>
      <c r="S714" s="12" t="n">
        <v>0.4437</v>
      </c>
      <c r="T714" s="3" t="n">
        <v>0.2655</v>
      </c>
      <c r="U714" s="12" t="n">
        <v>0.5487</v>
      </c>
      <c r="V714" s="12" t="n">
        <v>0.4028</v>
      </c>
      <c r="W714" s="12" t="n">
        <v>0.5279</v>
      </c>
      <c r="X714" s="3" t="n">
        <v>0.598</v>
      </c>
      <c r="Y714" s="3" t="n">
        <v>0.6313</v>
      </c>
      <c r="Z714" s="14" t="n">
        <f aca="false">Assumptions!$B$3*R714+Assumptions!$B$4*S714+IF(AA714=1,Assumptions!$B$11,Assumptions!$B$5)*X714+IF(AA714=1,Assumptions!$B$12,Assumptions!$B$6)*T714+Assumptions!$B$7*U714+Assumptions!$B$8*V714+Assumptions!$B$9*Y714</f>
        <v>0.564585</v>
      </c>
      <c r="AA714" s="3" t="n">
        <v>0</v>
      </c>
    </row>
    <row r="715" customFormat="false" ht="15" hidden="false" customHeight="false" outlineLevel="0" collapsed="false">
      <c r="A715" s="3" t="s">
        <v>900</v>
      </c>
      <c r="B715" s="3" t="n">
        <v>490</v>
      </c>
      <c r="C715" s="11" t="str">
        <f aca="false">IF(M715&gt;=Assumptions!$B$17,"S+",IF(M715&gt;=Assumptions!$B$18,"S",IF(M715&gt;=Assumptions!$B$19,"A",IF(M715&gt;=Assumptions!$B$20,"B",IF(M715&gt;=Assumptions!$B$21,"C",IF(M715&gt;=Assumptions!$B$22,"D","F"))))))</f>
        <v>D</v>
      </c>
      <c r="D715" s="3" t="s">
        <v>190</v>
      </c>
      <c r="E715" s="3" t="n">
        <v>3</v>
      </c>
      <c r="F715" s="12" t="n">
        <v>0.8958</v>
      </c>
      <c r="G715" s="12" t="n">
        <v>0.6</v>
      </c>
      <c r="H715" s="12" t="n">
        <v>0.75</v>
      </c>
      <c r="I715" s="12" t="n">
        <v>0.7424</v>
      </c>
      <c r="J715" s="12" t="n">
        <v>0.3709</v>
      </c>
      <c r="K715" s="12" t="n">
        <v>0.5269</v>
      </c>
      <c r="L715" s="3" t="n">
        <v>4.88</v>
      </c>
      <c r="M715" s="12" t="n">
        <f aca="false">Z715-W715</f>
        <v>0.0363600000000001</v>
      </c>
      <c r="N715" s="12" t="n">
        <f aca="false">IFERROR((Z715-J715)/L715,"")</f>
        <v>0.0319590163934426</v>
      </c>
      <c r="O715" s="3" t="n">
        <v>17</v>
      </c>
      <c r="P715" s="13" t="b">
        <f aca="false">FALSE()</f>
        <v>0</v>
      </c>
      <c r="Q715" s="3" t="s">
        <v>166</v>
      </c>
      <c r="R715" s="12" t="n">
        <v>0.689</v>
      </c>
      <c r="S715" s="12" t="n">
        <v>0.5349</v>
      </c>
      <c r="T715" s="3" t="n">
        <v>0.6255</v>
      </c>
      <c r="U715" s="12" t="n">
        <v>0.2489</v>
      </c>
      <c r="V715" s="12" t="n">
        <v>0.5071</v>
      </c>
      <c r="W715" s="12" t="n">
        <v>0.4905</v>
      </c>
      <c r="X715" s="3" t="n">
        <v>0.2784</v>
      </c>
      <c r="Y715" s="3" t="n">
        <v>0.6721</v>
      </c>
      <c r="Z715" s="14" t="n">
        <f aca="false">Assumptions!$B$3*R715+Assumptions!$B$4*S715+IF(AA715=1,Assumptions!$B$11,Assumptions!$B$5)*X715+IF(AA715=1,Assumptions!$B$12,Assumptions!$B$6)*T715+Assumptions!$B$7*U715+Assumptions!$B$8*V715+Assumptions!$B$9*Y715</f>
        <v>0.52686</v>
      </c>
      <c r="AA715" s="3" t="n">
        <v>0</v>
      </c>
    </row>
    <row r="716" customFormat="false" ht="15" hidden="false" customHeight="false" outlineLevel="0" collapsed="false">
      <c r="A716" s="3" t="s">
        <v>901</v>
      </c>
      <c r="B716" s="3" t="n">
        <v>530</v>
      </c>
      <c r="C716" s="11" t="str">
        <f aca="false">IF(M716&gt;=Assumptions!$B$17,"S+",IF(M716&gt;=Assumptions!$B$18,"S",IF(M716&gt;=Assumptions!$B$19,"A",IF(M716&gt;=Assumptions!$B$20,"B",IF(M716&gt;=Assumptions!$B$21,"C",IF(M716&gt;=Assumptions!$B$22,"D","F"))))))</f>
        <v>D</v>
      </c>
      <c r="D716" s="3" t="s">
        <v>183</v>
      </c>
      <c r="E716" s="3" t="n">
        <v>7</v>
      </c>
      <c r="F716" s="12" t="n">
        <v>0.7912</v>
      </c>
      <c r="G716" s="12" t="n">
        <v>0.76</v>
      </c>
      <c r="H716" s="12" t="n">
        <v>0.5099</v>
      </c>
      <c r="I716" s="12" t="n">
        <v>0.7062</v>
      </c>
      <c r="J716" s="12" t="n">
        <v>0.3648</v>
      </c>
      <c r="K716" s="12" t="n">
        <v>0.5402</v>
      </c>
      <c r="L716" s="3" t="n">
        <v>5</v>
      </c>
      <c r="M716" s="12" t="n">
        <f aca="false">Z716-W716</f>
        <v>0.0357810000000001</v>
      </c>
      <c r="N716" s="12" t="n">
        <f aca="false">IFERROR((Z716-J716)/L716,"")</f>
        <v>0.0350762</v>
      </c>
      <c r="O716" s="3" t="n">
        <v>13</v>
      </c>
      <c r="P716" s="13" t="b">
        <f aca="false">FALSE()</f>
        <v>0</v>
      </c>
      <c r="Q716" s="3" t="s">
        <v>166</v>
      </c>
      <c r="R716" s="12" t="n">
        <v>0.8251</v>
      </c>
      <c r="S716" s="12" t="n">
        <v>0.5483</v>
      </c>
      <c r="T716" s="3" t="n">
        <v>0.1318</v>
      </c>
      <c r="U716" s="12" t="n">
        <v>0.4911</v>
      </c>
      <c r="V716" s="12" t="n">
        <v>0.4634</v>
      </c>
      <c r="W716" s="12" t="n">
        <v>0.5044</v>
      </c>
      <c r="X716" s="3" t="n">
        <v>0.354</v>
      </c>
      <c r="Y716" s="3" t="n">
        <v>0.7087</v>
      </c>
      <c r="Z716" s="14" t="n">
        <f aca="false">Assumptions!$B$3*R716+Assumptions!$B$4*S716+IF(AA716=1,Assumptions!$B$11,Assumptions!$B$5)*X716+IF(AA716=1,Assumptions!$B$12,Assumptions!$B$6)*T716+Assumptions!$B$7*U716+Assumptions!$B$8*V716+Assumptions!$B$9*Y716</f>
        <v>0.540181</v>
      </c>
      <c r="AA716" s="3" t="n">
        <v>0</v>
      </c>
    </row>
    <row r="717" customFormat="false" ht="15" hidden="false" customHeight="false" outlineLevel="0" collapsed="false">
      <c r="A717" s="3" t="s">
        <v>902</v>
      </c>
      <c r="B717" s="3" t="n">
        <v>290</v>
      </c>
      <c r="C717" s="11" t="str">
        <f aca="false">IF(M717&gt;=Assumptions!$B$17,"S+",IF(M717&gt;=Assumptions!$B$18,"S",IF(M717&gt;=Assumptions!$B$19,"A",IF(M717&gt;=Assumptions!$B$20,"B",IF(M717&gt;=Assumptions!$B$21,"C",IF(M717&gt;=Assumptions!$B$22,"D","F"))))))</f>
        <v>D</v>
      </c>
      <c r="D717" s="3" t="s">
        <v>186</v>
      </c>
      <c r="E717" s="3" t="n">
        <v>2</v>
      </c>
      <c r="F717" s="12" t="n">
        <v>0.535</v>
      </c>
      <c r="G717" s="12" t="n">
        <v>1</v>
      </c>
      <c r="H717" s="12" t="n">
        <v>0.75</v>
      </c>
      <c r="I717" s="12" t="n">
        <v>0.8663</v>
      </c>
      <c r="J717" s="12" t="n">
        <v>0.2686</v>
      </c>
      <c r="K717" s="12" t="n">
        <v>0.4737</v>
      </c>
      <c r="L717" s="3" t="n">
        <v>5.67</v>
      </c>
      <c r="M717" s="12" t="n">
        <f aca="false">Z717-W717</f>
        <v>0.0357760000000001</v>
      </c>
      <c r="N717" s="12" t="n">
        <f aca="false">IFERROR((Z717-J717)/L717,"")</f>
        <v>0.0361686067019401</v>
      </c>
      <c r="O717" s="3" t="n">
        <v>18</v>
      </c>
      <c r="P717" s="13" t="b">
        <f aca="false">FALSE()</f>
        <v>0</v>
      </c>
      <c r="Q717" s="3" t="s">
        <v>166</v>
      </c>
      <c r="R717" s="12" t="n">
        <v>0.8123</v>
      </c>
      <c r="S717" s="12" t="n">
        <v>0.2947</v>
      </c>
      <c r="T717" s="3" t="n">
        <v>0.0423</v>
      </c>
      <c r="U717" s="12" t="n">
        <v>0.4487</v>
      </c>
      <c r="V717" s="12" t="n">
        <v>0.3879</v>
      </c>
      <c r="W717" s="12" t="n">
        <v>0.4379</v>
      </c>
      <c r="X717" s="3" t="n">
        <v>0.2043</v>
      </c>
      <c r="Y717" s="3" t="n">
        <v>0.8001</v>
      </c>
      <c r="Z717" s="14" t="n">
        <f aca="false">Assumptions!$B$3*R717+Assumptions!$B$4*S717+IF(AA717=1,Assumptions!$B$11,Assumptions!$B$5)*X717+IF(AA717=1,Assumptions!$B$12,Assumptions!$B$6)*T717+Assumptions!$B$7*U717+Assumptions!$B$8*V717+Assumptions!$B$9*Y717</f>
        <v>0.473676</v>
      </c>
      <c r="AA717" s="3" t="n">
        <v>1</v>
      </c>
    </row>
    <row r="718" customFormat="false" ht="15" hidden="false" customHeight="false" outlineLevel="0" collapsed="false">
      <c r="A718" s="3" t="s">
        <v>903</v>
      </c>
      <c r="B718" s="3" t="n">
        <v>510</v>
      </c>
      <c r="C718" s="11" t="str">
        <f aca="false">IF(M718&gt;=Assumptions!$B$17,"S+",IF(M718&gt;=Assumptions!$B$18,"S",IF(M718&gt;=Assumptions!$B$19,"A",IF(M718&gt;=Assumptions!$B$20,"B",IF(M718&gt;=Assumptions!$B$21,"C",IF(M718&gt;=Assumptions!$B$22,"D","F"))))))</f>
        <v>D</v>
      </c>
      <c r="D718" s="3" t="s">
        <v>218</v>
      </c>
      <c r="E718" s="3" t="n">
        <v>7</v>
      </c>
      <c r="F718" s="12" t="n">
        <v>0.7802</v>
      </c>
      <c r="G718" s="12" t="n">
        <v>0.6</v>
      </c>
      <c r="H718" s="12" t="n">
        <v>0.75</v>
      </c>
      <c r="I718" s="12" t="n">
        <v>0.6877</v>
      </c>
      <c r="J718" s="12" t="n">
        <v>0.3881</v>
      </c>
      <c r="K718" s="12" t="n">
        <v>0.5463</v>
      </c>
      <c r="L718" s="3" t="n">
        <v>4</v>
      </c>
      <c r="M718" s="12" t="n">
        <f aca="false">Z718-W718</f>
        <v>0.0355599999999999</v>
      </c>
      <c r="N718" s="12" t="n">
        <f aca="false">IFERROR((Z718-J718)/L718,"")</f>
        <v>0.03954</v>
      </c>
      <c r="O718" s="3" t="n">
        <v>13</v>
      </c>
      <c r="P718" s="13" t="b">
        <f aca="false">FALSE()</f>
        <v>0</v>
      </c>
      <c r="Q718" s="3" t="s">
        <v>166</v>
      </c>
      <c r="R718" s="12" t="n">
        <v>0.7904</v>
      </c>
      <c r="S718" s="12" t="n">
        <v>0.5353</v>
      </c>
      <c r="T718" s="3" t="n">
        <v>0.1932</v>
      </c>
      <c r="U718" s="12" t="n">
        <v>0.426</v>
      </c>
      <c r="V718" s="12" t="n">
        <v>0.4667</v>
      </c>
      <c r="W718" s="12" t="n">
        <v>0.5107</v>
      </c>
      <c r="X718" s="3" t="n">
        <v>0.474</v>
      </c>
      <c r="Y718" s="3" t="n">
        <v>0.675</v>
      </c>
      <c r="Z718" s="14" t="n">
        <f aca="false">Assumptions!$B$3*R718+Assumptions!$B$4*S718+IF(AA718=1,Assumptions!$B$11,Assumptions!$B$5)*X718+IF(AA718=1,Assumptions!$B$12,Assumptions!$B$6)*T718+Assumptions!$B$7*U718+Assumptions!$B$8*V718+Assumptions!$B$9*Y718</f>
        <v>0.54626</v>
      </c>
      <c r="AA718" s="3" t="n">
        <v>0</v>
      </c>
    </row>
    <row r="719" customFormat="false" ht="15" hidden="false" customHeight="false" outlineLevel="0" collapsed="false">
      <c r="A719" s="3" t="s">
        <v>904</v>
      </c>
      <c r="B719" s="3" t="n">
        <v>530</v>
      </c>
      <c r="C719" s="11" t="str">
        <f aca="false">IF(M719&gt;=Assumptions!$B$17,"S+",IF(M719&gt;=Assumptions!$B$18,"S",IF(M719&gt;=Assumptions!$B$19,"A",IF(M719&gt;=Assumptions!$B$20,"B",IF(M719&gt;=Assumptions!$B$21,"C",IF(M719&gt;=Assumptions!$B$22,"D","F"))))))</f>
        <v>D</v>
      </c>
      <c r="D719" s="3" t="s">
        <v>218</v>
      </c>
      <c r="E719" s="3" t="n">
        <v>7</v>
      </c>
      <c r="F719" s="12" t="n">
        <v>0.7862</v>
      </c>
      <c r="G719" s="12" t="n">
        <v>0.6</v>
      </c>
      <c r="H719" s="12" t="n">
        <v>0.75</v>
      </c>
      <c r="I719" s="12" t="n">
        <v>0.6896</v>
      </c>
      <c r="J719" s="12" t="n">
        <v>0.3442</v>
      </c>
      <c r="K719" s="12" t="n">
        <v>0.5361</v>
      </c>
      <c r="L719" s="3" t="n">
        <v>4</v>
      </c>
      <c r="M719" s="12" t="n">
        <f aca="false">Z719-W719</f>
        <v>0.035205</v>
      </c>
      <c r="N719" s="12" t="n">
        <f aca="false">IFERROR((Z719-J719)/L719,"")</f>
        <v>0.04797625</v>
      </c>
      <c r="O719" s="3" t="n">
        <v>13</v>
      </c>
      <c r="P719" s="13" t="b">
        <f aca="false">FALSE()</f>
        <v>0</v>
      </c>
      <c r="Q719" s="3" t="s">
        <v>166</v>
      </c>
      <c r="R719" s="12" t="n">
        <v>0.8292</v>
      </c>
      <c r="S719" s="12" t="n">
        <v>0.2233</v>
      </c>
      <c r="T719" s="3" t="n">
        <v>0.6948</v>
      </c>
      <c r="U719" s="12" t="n">
        <v>0.4911</v>
      </c>
      <c r="V719" s="12" t="n">
        <v>0.4114</v>
      </c>
      <c r="W719" s="12" t="n">
        <v>0.5009</v>
      </c>
      <c r="X719" s="3" t="n">
        <v>0.2533</v>
      </c>
      <c r="Y719" s="3" t="n">
        <v>0.6875</v>
      </c>
      <c r="Z719" s="14" t="n">
        <f aca="false">Assumptions!$B$3*R719+Assumptions!$B$4*S719+IF(AA719=1,Assumptions!$B$11,Assumptions!$B$5)*X719+IF(AA719=1,Assumptions!$B$12,Assumptions!$B$6)*T719+Assumptions!$B$7*U719+Assumptions!$B$8*V719+Assumptions!$B$9*Y719</f>
        <v>0.536105</v>
      </c>
      <c r="AA719" s="3" t="n">
        <v>0</v>
      </c>
    </row>
    <row r="720" customFormat="false" ht="15" hidden="false" customHeight="false" outlineLevel="0" collapsed="false">
      <c r="A720" s="3" t="s">
        <v>905</v>
      </c>
      <c r="B720" s="3" t="n">
        <v>540</v>
      </c>
      <c r="C720" s="11" t="str">
        <f aca="false">IF(M720&gt;=Assumptions!$B$17,"S+",IF(M720&gt;=Assumptions!$B$18,"S",IF(M720&gt;=Assumptions!$B$19,"A",IF(M720&gt;=Assumptions!$B$20,"B",IF(M720&gt;=Assumptions!$B$21,"C",IF(M720&gt;=Assumptions!$B$22,"D","F"))))))</f>
        <v>D</v>
      </c>
      <c r="D720" s="3" t="s">
        <v>253</v>
      </c>
      <c r="E720" s="3" t="n">
        <v>4</v>
      </c>
      <c r="F720" s="12" t="n">
        <v>0.9248</v>
      </c>
      <c r="G720" s="12" t="n">
        <v>0.6</v>
      </c>
      <c r="H720" s="12" t="n">
        <v>0.75</v>
      </c>
      <c r="I720" s="12" t="n">
        <v>0.7339</v>
      </c>
      <c r="J720" s="12" t="n">
        <v>0.3783</v>
      </c>
      <c r="K720" s="12" t="n">
        <v>0.5696</v>
      </c>
      <c r="L720" s="3" t="n">
        <v>3.88</v>
      </c>
      <c r="M720" s="12" t="n">
        <f aca="false">Z720-W720</f>
        <v>0.035229</v>
      </c>
      <c r="N720" s="12" t="n">
        <f aca="false">IFERROR((Z720-J720)/L720,"")</f>
        <v>0.0493115979381443</v>
      </c>
      <c r="O720" s="3" t="n">
        <v>16</v>
      </c>
      <c r="P720" s="13" t="b">
        <f aca="false">FALSE()</f>
        <v>0</v>
      </c>
      <c r="Q720" s="3" t="s">
        <v>201</v>
      </c>
      <c r="R720" s="12" t="n">
        <v>0.8518</v>
      </c>
      <c r="S720" s="12" t="n">
        <v>0.5519</v>
      </c>
      <c r="T720" s="3" t="n">
        <v>0.4151</v>
      </c>
      <c r="U720" s="12" t="n">
        <v>0.3461</v>
      </c>
      <c r="V720" s="12" t="n">
        <v>0.4748</v>
      </c>
      <c r="W720" s="12" t="n">
        <v>0.5344</v>
      </c>
      <c r="X720" s="3" t="n">
        <v>0.3601</v>
      </c>
      <c r="Y720" s="3" t="n">
        <v>0.7111</v>
      </c>
      <c r="Z720" s="14" t="n">
        <f aca="false">Assumptions!$B$3*R720+Assumptions!$B$4*S720+IF(AA720=1,Assumptions!$B$11,Assumptions!$B$5)*X720+IF(AA720=1,Assumptions!$B$12,Assumptions!$B$6)*T720+Assumptions!$B$7*U720+Assumptions!$B$8*V720+Assumptions!$B$9*Y720</f>
        <v>0.569629</v>
      </c>
      <c r="AA720" s="3" t="n">
        <v>0</v>
      </c>
    </row>
    <row r="721" customFormat="false" ht="15" hidden="false" customHeight="false" outlineLevel="0" collapsed="false">
      <c r="A721" s="3" t="s">
        <v>906</v>
      </c>
      <c r="B721" s="3" t="n">
        <v>465</v>
      </c>
      <c r="C721" s="11" t="str">
        <f aca="false">IF(M721&gt;=Assumptions!$B$17,"S+",IF(M721&gt;=Assumptions!$B$18,"S",IF(M721&gt;=Assumptions!$B$19,"A",IF(M721&gt;=Assumptions!$B$20,"B",IF(M721&gt;=Assumptions!$B$21,"C",IF(M721&gt;=Assumptions!$B$22,"D","F"))))))</f>
        <v>D</v>
      </c>
      <c r="D721" s="3" t="s">
        <v>218</v>
      </c>
      <c r="E721" s="3" t="n">
        <v>3</v>
      </c>
      <c r="F721" s="12" t="n">
        <v>0.8873</v>
      </c>
      <c r="G721" s="12" t="n">
        <v>0.6</v>
      </c>
      <c r="H721" s="12" t="n">
        <v>0.75</v>
      </c>
      <c r="I721" s="12" t="n">
        <v>0.7219</v>
      </c>
      <c r="J721" s="12" t="n">
        <v>0.398</v>
      </c>
      <c r="K721" s="12" t="n">
        <v>0.5551</v>
      </c>
      <c r="L721" s="3" t="n">
        <v>3.88</v>
      </c>
      <c r="M721" s="12" t="n">
        <f aca="false">Z721-W721</f>
        <v>0.034818</v>
      </c>
      <c r="N721" s="12" t="n">
        <f aca="false">IFERROR((Z721-J721)/L721,"")</f>
        <v>0.0404943298969072</v>
      </c>
      <c r="O721" s="3" t="n">
        <v>17</v>
      </c>
      <c r="P721" s="13" t="b">
        <f aca="false">FALSE()</f>
        <v>0</v>
      </c>
      <c r="Q721" s="3" t="s">
        <v>201</v>
      </c>
      <c r="R721" s="12" t="n">
        <v>0.8132</v>
      </c>
      <c r="S721" s="12" t="n">
        <v>0.5614</v>
      </c>
      <c r="T721" s="3" t="n">
        <v>0.2696</v>
      </c>
      <c r="U721" s="12" t="n">
        <v>0.371</v>
      </c>
      <c r="V721" s="12" t="n">
        <v>0.4638</v>
      </c>
      <c r="W721" s="12" t="n">
        <v>0.5203</v>
      </c>
      <c r="X721" s="3" t="n">
        <v>0.4176</v>
      </c>
      <c r="Y721" s="3" t="n">
        <v>0.7219</v>
      </c>
      <c r="Z721" s="14" t="n">
        <f aca="false">Assumptions!$B$3*R721+Assumptions!$B$4*S721+IF(AA721=1,Assumptions!$B$11,Assumptions!$B$5)*X721+IF(AA721=1,Assumptions!$B$12,Assumptions!$B$6)*T721+Assumptions!$B$7*U721+Assumptions!$B$8*V721+Assumptions!$B$9*Y721</f>
        <v>0.555118</v>
      </c>
      <c r="AA721" s="3" t="n">
        <v>0</v>
      </c>
    </row>
    <row r="722" customFormat="false" ht="15" hidden="false" customHeight="false" outlineLevel="0" collapsed="false">
      <c r="A722" s="3" t="s">
        <v>907</v>
      </c>
      <c r="B722" s="3" t="n">
        <v>500</v>
      </c>
      <c r="C722" s="11" t="str">
        <f aca="false">IF(M722&gt;=Assumptions!$B$17,"S+",IF(M722&gt;=Assumptions!$B$18,"S",IF(M722&gt;=Assumptions!$B$19,"A",IF(M722&gt;=Assumptions!$B$20,"B",IF(M722&gt;=Assumptions!$B$21,"C",IF(M722&gt;=Assumptions!$B$22,"D","F"))))))</f>
        <v>D</v>
      </c>
      <c r="D722" s="3" t="s">
        <v>218</v>
      </c>
      <c r="E722" s="3" t="n">
        <v>4</v>
      </c>
      <c r="F722" s="12" t="n">
        <v>0.9223</v>
      </c>
      <c r="G722" s="12" t="n">
        <v>0.4</v>
      </c>
      <c r="H722" s="12" t="n">
        <v>0.75</v>
      </c>
      <c r="I722" s="12" t="n">
        <v>0.6372</v>
      </c>
      <c r="J722" s="12" t="n">
        <v>0.3641</v>
      </c>
      <c r="K722" s="12" t="n">
        <v>0.5424</v>
      </c>
      <c r="L722" s="3" t="n">
        <v>3.88</v>
      </c>
      <c r="M722" s="12" t="n">
        <f aca="false">Z722-W722</f>
        <v>0.03464</v>
      </c>
      <c r="N722" s="12" t="n">
        <f aca="false">IFERROR((Z722-J722)/L722,"")</f>
        <v>0.0459381443298969</v>
      </c>
      <c r="O722" s="3" t="n">
        <v>16</v>
      </c>
      <c r="P722" s="13" t="b">
        <f aca="false">FALSE()</f>
        <v>0</v>
      </c>
      <c r="Q722" s="3" t="s">
        <v>166</v>
      </c>
      <c r="R722" s="12" t="n">
        <v>0.8028</v>
      </c>
      <c r="S722" s="12" t="n">
        <v>0.6518</v>
      </c>
      <c r="T722" s="3" t="n">
        <v>0.2287</v>
      </c>
      <c r="U722" s="12" t="n">
        <v>0.274</v>
      </c>
      <c r="V722" s="12" t="n">
        <v>0.4252</v>
      </c>
      <c r="W722" s="12" t="n">
        <v>0.5077</v>
      </c>
      <c r="X722" s="3" t="n">
        <v>0.4646</v>
      </c>
      <c r="Y722" s="3" t="n">
        <v>0.5989</v>
      </c>
      <c r="Z722" s="14" t="n">
        <f aca="false">Assumptions!$B$3*R722+Assumptions!$B$4*S722+IF(AA722=1,Assumptions!$B$11,Assumptions!$B$5)*X722+IF(AA722=1,Assumptions!$B$12,Assumptions!$B$6)*T722+Assumptions!$B$7*U722+Assumptions!$B$8*V722+Assumptions!$B$9*Y722</f>
        <v>0.54234</v>
      </c>
      <c r="AA722" s="3" t="n">
        <v>0</v>
      </c>
    </row>
    <row r="723" customFormat="false" ht="15" hidden="false" customHeight="false" outlineLevel="0" collapsed="false">
      <c r="A723" s="3" t="s">
        <v>908</v>
      </c>
      <c r="B723" s="3" t="n">
        <v>380</v>
      </c>
      <c r="C723" s="11" t="str">
        <f aca="false">IF(M723&gt;=Assumptions!$B$17,"S+",IF(M723&gt;=Assumptions!$B$18,"S",IF(M723&gt;=Assumptions!$B$19,"A",IF(M723&gt;=Assumptions!$B$20,"B",IF(M723&gt;=Assumptions!$B$21,"C",IF(M723&gt;=Assumptions!$B$22,"D","F"))))))</f>
        <v>D</v>
      </c>
      <c r="D723" s="3" t="s">
        <v>218</v>
      </c>
      <c r="E723" s="3" t="n">
        <v>3</v>
      </c>
      <c r="F723" s="12" t="n">
        <v>0.2909</v>
      </c>
      <c r="G723" s="12" t="n">
        <v>1</v>
      </c>
      <c r="H723" s="12" t="n">
        <v>0.75</v>
      </c>
      <c r="I723" s="12" t="n">
        <v>0.7231</v>
      </c>
      <c r="J723" s="12" t="n">
        <v>0.3329</v>
      </c>
      <c r="K723" s="12" t="n">
        <v>0.5569</v>
      </c>
      <c r="L723" s="3" t="n">
        <v>3.65</v>
      </c>
      <c r="M723" s="12" t="n">
        <f aca="false">Z723-W723</f>
        <v>0.034618</v>
      </c>
      <c r="N723" s="12" t="n">
        <f aca="false">IFERROR((Z723-J723)/L723,"")</f>
        <v>0.061374794520548</v>
      </c>
      <c r="O723" s="3" t="n">
        <v>17</v>
      </c>
      <c r="P723" s="13" t="b">
        <f aca="false">FALSE()</f>
        <v>0</v>
      </c>
      <c r="Q723" s="3" t="s">
        <v>166</v>
      </c>
      <c r="R723" s="12" t="n">
        <v>0.6455</v>
      </c>
      <c r="S723" s="12" t="n">
        <v>0.5165</v>
      </c>
      <c r="T723" s="3" t="n">
        <v>0.3715</v>
      </c>
      <c r="U723" s="12" t="n">
        <v>0.4525</v>
      </c>
      <c r="V723" s="12" t="n">
        <v>0.5953</v>
      </c>
      <c r="W723" s="12" t="n">
        <v>0.5223</v>
      </c>
      <c r="X723" s="3" t="n">
        <v>0.575</v>
      </c>
      <c r="Y723" s="3" t="n">
        <v>0.643</v>
      </c>
      <c r="Z723" s="14" t="n">
        <f aca="false">Assumptions!$B$3*R723+Assumptions!$B$4*S723+IF(AA723=1,Assumptions!$B$11,Assumptions!$B$5)*X723+IF(AA723=1,Assumptions!$B$12,Assumptions!$B$6)*T723+Assumptions!$B$7*U723+Assumptions!$B$8*V723+Assumptions!$B$9*Y723</f>
        <v>0.556918</v>
      </c>
      <c r="AA723" s="3" t="n">
        <v>0</v>
      </c>
    </row>
    <row r="724" customFormat="false" ht="15" hidden="false" customHeight="false" outlineLevel="0" collapsed="false">
      <c r="A724" s="3" t="s">
        <v>909</v>
      </c>
      <c r="B724" s="3" t="n">
        <v>450</v>
      </c>
      <c r="C724" s="11" t="str">
        <f aca="false">IF(M724&gt;=Assumptions!$B$17,"S+",IF(M724&gt;=Assumptions!$B$18,"S",IF(M724&gt;=Assumptions!$B$19,"A",IF(M724&gt;=Assumptions!$B$20,"B",IF(M724&gt;=Assumptions!$B$21,"C",IF(M724&gt;=Assumptions!$B$22,"D","F"))))))</f>
        <v>D</v>
      </c>
      <c r="D724" s="3" t="s">
        <v>218</v>
      </c>
      <c r="E724" s="3" t="n">
        <v>3</v>
      </c>
      <c r="F724" s="12" t="n">
        <v>0.696</v>
      </c>
      <c r="G724" s="12" t="n">
        <v>0.6</v>
      </c>
      <c r="H724" s="12" t="n">
        <v>0.75</v>
      </c>
      <c r="I724" s="12" t="n">
        <v>0.6607</v>
      </c>
      <c r="J724" s="12" t="n">
        <v>0.3611</v>
      </c>
      <c r="K724" s="12" t="n">
        <v>0.5455</v>
      </c>
      <c r="L724" s="3" t="n">
        <v>3.74</v>
      </c>
      <c r="M724" s="12" t="n">
        <f aca="false">Z724-W724</f>
        <v>0.0344359999999999</v>
      </c>
      <c r="N724" s="12" t="n">
        <f aca="false">IFERROR((Z724-J724)/L724,"")</f>
        <v>0.0493144385026738</v>
      </c>
      <c r="O724" s="3" t="n">
        <v>17</v>
      </c>
      <c r="P724" s="13" t="b">
        <f aca="false">FALSE()</f>
        <v>0</v>
      </c>
      <c r="Q724" s="3" t="s">
        <v>166</v>
      </c>
      <c r="R724" s="12" t="n">
        <v>0.7156</v>
      </c>
      <c r="S724" s="12" t="n">
        <v>0.6391</v>
      </c>
      <c r="T724" s="3" t="n">
        <v>0.2919</v>
      </c>
      <c r="U724" s="12" t="n">
        <v>0.4072</v>
      </c>
      <c r="V724" s="12" t="n">
        <v>0.4913</v>
      </c>
      <c r="W724" s="12" t="n">
        <v>0.5111</v>
      </c>
      <c r="X724" s="3" t="n">
        <v>0.4339</v>
      </c>
      <c r="Y724" s="3" t="n">
        <v>0.644</v>
      </c>
      <c r="Z724" s="14" t="n">
        <f aca="false">Assumptions!$B$3*R724+Assumptions!$B$4*S724+IF(AA724=1,Assumptions!$B$11,Assumptions!$B$5)*X724+IF(AA724=1,Assumptions!$B$12,Assumptions!$B$6)*T724+Assumptions!$B$7*U724+Assumptions!$B$8*V724+Assumptions!$B$9*Y724</f>
        <v>0.545536</v>
      </c>
      <c r="AA724" s="3" t="n">
        <v>0</v>
      </c>
    </row>
    <row r="725" customFormat="false" ht="15" hidden="false" customHeight="false" outlineLevel="0" collapsed="false">
      <c r="A725" s="3" t="s">
        <v>910</v>
      </c>
      <c r="B725" s="3" t="n">
        <v>495</v>
      </c>
      <c r="C725" s="11" t="str">
        <f aca="false">IF(M725&gt;=Assumptions!$B$17,"S+",IF(M725&gt;=Assumptions!$B$18,"S",IF(M725&gt;=Assumptions!$B$19,"A",IF(M725&gt;=Assumptions!$B$20,"B",IF(M725&gt;=Assumptions!$B$21,"C",IF(M725&gt;=Assumptions!$B$22,"D","F"))))))</f>
        <v>D</v>
      </c>
      <c r="D725" s="3" t="s">
        <v>247</v>
      </c>
      <c r="E725" s="3" t="n">
        <v>2</v>
      </c>
      <c r="F725" s="12" t="n">
        <v>0.718</v>
      </c>
      <c r="G725" s="12" t="n">
        <v>0.6</v>
      </c>
      <c r="H725" s="12" t="n">
        <v>0.75</v>
      </c>
      <c r="I725" s="12" t="n">
        <v>0.6678</v>
      </c>
      <c r="J725" s="12" t="n">
        <v>0.394</v>
      </c>
      <c r="K725" s="12" t="n">
        <v>0.5296</v>
      </c>
      <c r="L725" s="3" t="n">
        <v>3.75</v>
      </c>
      <c r="M725" s="12" t="n">
        <f aca="false">Z725-W725</f>
        <v>0.034068</v>
      </c>
      <c r="N725" s="12" t="n">
        <f aca="false">IFERROR((Z725-J725)/L725,"")</f>
        <v>0.0361514666666667</v>
      </c>
      <c r="O725" s="3" t="n">
        <v>18</v>
      </c>
      <c r="P725" s="13" t="b">
        <f aca="false">FALSE()</f>
        <v>0</v>
      </c>
      <c r="Q725" s="3" t="s">
        <v>201</v>
      </c>
      <c r="R725" s="12" t="n">
        <v>0.8749</v>
      </c>
      <c r="S725" s="12" t="n">
        <v>0.5232</v>
      </c>
      <c r="T725" s="3" t="n">
        <v>0.1539</v>
      </c>
      <c r="U725" s="12" t="n">
        <v>0.4487</v>
      </c>
      <c r="V725" s="12" t="n">
        <v>0.365</v>
      </c>
      <c r="W725" s="12" t="n">
        <v>0.4955</v>
      </c>
      <c r="X725" s="3" t="n">
        <v>0.3641</v>
      </c>
      <c r="Y725" s="3" t="n">
        <v>0.6187</v>
      </c>
      <c r="Z725" s="14" t="n">
        <f aca="false">Assumptions!$B$3*R725+Assumptions!$B$4*S725+IF(AA725=1,Assumptions!$B$11,Assumptions!$B$5)*X725+IF(AA725=1,Assumptions!$B$12,Assumptions!$B$6)*T725+Assumptions!$B$7*U725+Assumptions!$B$8*V725+Assumptions!$B$9*Y725</f>
        <v>0.529568</v>
      </c>
      <c r="AA725" s="3" t="n">
        <v>0</v>
      </c>
    </row>
    <row r="726" customFormat="false" ht="15" hidden="false" customHeight="false" outlineLevel="0" collapsed="false">
      <c r="A726" s="3" t="s">
        <v>911</v>
      </c>
      <c r="B726" s="3" t="n">
        <v>520</v>
      </c>
      <c r="C726" s="11" t="str">
        <f aca="false">IF(M726&gt;=Assumptions!$B$17,"S+",IF(M726&gt;=Assumptions!$B$18,"S",IF(M726&gt;=Assumptions!$B$19,"A",IF(M726&gt;=Assumptions!$B$20,"B",IF(M726&gt;=Assumptions!$B$21,"C",IF(M726&gt;=Assumptions!$B$22,"D","F"))))))</f>
        <v>D</v>
      </c>
      <c r="D726" s="3" t="s">
        <v>218</v>
      </c>
      <c r="E726" s="3" t="n">
        <v>3</v>
      </c>
      <c r="F726" s="12" t="n">
        <v>0.7957</v>
      </c>
      <c r="G726" s="12" t="n">
        <v>0.8</v>
      </c>
      <c r="H726" s="12" t="n">
        <v>0.75</v>
      </c>
      <c r="I726" s="12" t="n">
        <v>0.7886</v>
      </c>
      <c r="J726" s="12" t="n">
        <v>0.4116</v>
      </c>
      <c r="K726" s="12" t="n">
        <v>0.5536</v>
      </c>
      <c r="L726" s="3" t="n">
        <v>6.56</v>
      </c>
      <c r="M726" s="12" t="n">
        <f aca="false">Z726-W726</f>
        <v>0.0340520000000001</v>
      </c>
      <c r="N726" s="12" t="n">
        <f aca="false">IFERROR((Z726-J726)/L726,"")</f>
        <v>0.0216542682926829</v>
      </c>
      <c r="O726" s="3" t="n">
        <v>17</v>
      </c>
      <c r="P726" s="13" t="b">
        <f aca="false">FALSE()</f>
        <v>0</v>
      </c>
      <c r="Q726" s="3" t="s">
        <v>166</v>
      </c>
      <c r="R726" s="12" t="n">
        <v>0.8224</v>
      </c>
      <c r="S726" s="12" t="n">
        <v>0.555</v>
      </c>
      <c r="T726" s="3" t="n">
        <v>0.4881</v>
      </c>
      <c r="U726" s="12" t="n">
        <v>0.2579</v>
      </c>
      <c r="V726" s="12" t="n">
        <v>0.4638</v>
      </c>
      <c r="W726" s="12" t="n">
        <v>0.5196</v>
      </c>
      <c r="X726" s="3" t="n">
        <v>0.2943</v>
      </c>
      <c r="Y726" s="3" t="n">
        <v>0.7411</v>
      </c>
      <c r="Z726" s="14" t="n">
        <f aca="false">Assumptions!$B$3*R726+Assumptions!$B$4*S726+IF(AA726=1,Assumptions!$B$11,Assumptions!$B$5)*X726+IF(AA726=1,Assumptions!$B$12,Assumptions!$B$6)*T726+Assumptions!$B$7*U726+Assumptions!$B$8*V726+Assumptions!$B$9*Y726</f>
        <v>0.553652</v>
      </c>
      <c r="AA726" s="3" t="n">
        <v>0</v>
      </c>
    </row>
    <row r="727" customFormat="false" ht="15" hidden="false" customHeight="false" outlineLevel="0" collapsed="false">
      <c r="A727" s="3" t="s">
        <v>912</v>
      </c>
      <c r="B727" s="3" t="n">
        <v>555</v>
      </c>
      <c r="C727" s="11" t="str">
        <f aca="false">IF(M727&gt;=Assumptions!$B$17,"S+",IF(M727&gt;=Assumptions!$B$18,"S",IF(M727&gt;=Assumptions!$B$19,"A",IF(M727&gt;=Assumptions!$B$20,"B",IF(M727&gt;=Assumptions!$B$21,"C",IF(M727&gt;=Assumptions!$B$22,"D","F"))))))</f>
        <v>D</v>
      </c>
      <c r="D727" s="3" t="s">
        <v>218</v>
      </c>
      <c r="E727" s="3" t="n">
        <v>6</v>
      </c>
      <c r="F727" s="12" t="n">
        <v>0.8772</v>
      </c>
      <c r="G727" s="12" t="n">
        <v>0.6</v>
      </c>
      <c r="H727" s="12" t="n">
        <v>0.75</v>
      </c>
      <c r="I727" s="12" t="n">
        <v>0.7187</v>
      </c>
      <c r="J727" s="12" t="n">
        <v>0.3634</v>
      </c>
      <c r="K727" s="12" t="n">
        <v>0.5429</v>
      </c>
      <c r="L727" s="3" t="n">
        <v>5</v>
      </c>
      <c r="M727" s="12" t="n">
        <f aca="false">Z727-W727</f>
        <v>0.033694</v>
      </c>
      <c r="N727" s="12" t="n">
        <f aca="false">IFERROR((Z727-J727)/L727,"")</f>
        <v>0.0358988</v>
      </c>
      <c r="O727" s="3" t="n">
        <v>14</v>
      </c>
      <c r="P727" s="13" t="b">
        <f aca="false">FALSE()</f>
        <v>0</v>
      </c>
      <c r="Q727" s="3" t="s">
        <v>166</v>
      </c>
      <c r="R727" s="12" t="n">
        <v>0.9028</v>
      </c>
      <c r="S727" s="12" t="n">
        <v>0.3826</v>
      </c>
      <c r="T727" s="3" t="n">
        <v>0.3241</v>
      </c>
      <c r="U727" s="12" t="n">
        <v>0.4725</v>
      </c>
      <c r="V727" s="12" t="n">
        <v>0.3282</v>
      </c>
      <c r="W727" s="12" t="n">
        <v>0.5092</v>
      </c>
      <c r="X727" s="3" t="n">
        <v>0.3527</v>
      </c>
      <c r="Y727" s="3" t="n">
        <v>0.721</v>
      </c>
      <c r="Z727" s="14" t="n">
        <f aca="false">Assumptions!$B$3*R727+Assumptions!$B$4*S727+IF(AA727=1,Assumptions!$B$11,Assumptions!$B$5)*X727+IF(AA727=1,Assumptions!$B$12,Assumptions!$B$6)*T727+Assumptions!$B$7*U727+Assumptions!$B$8*V727+Assumptions!$B$9*Y727</f>
        <v>0.542894</v>
      </c>
      <c r="AA727" s="3" t="n">
        <v>0</v>
      </c>
    </row>
    <row r="728" customFormat="false" ht="15" hidden="false" customHeight="false" outlineLevel="0" collapsed="false">
      <c r="A728" s="3" t="s">
        <v>913</v>
      </c>
      <c r="B728" s="3" t="n">
        <v>494</v>
      </c>
      <c r="C728" s="11" t="str">
        <f aca="false">IF(M728&gt;=Assumptions!$B$17,"S+",IF(M728&gt;=Assumptions!$B$18,"S",IF(M728&gt;=Assumptions!$B$19,"A",IF(M728&gt;=Assumptions!$B$20,"B",IF(M728&gt;=Assumptions!$B$21,"C",IF(M728&gt;=Assumptions!$B$22,"D","F"))))))</f>
        <v>D</v>
      </c>
      <c r="D728" s="3" t="s">
        <v>253</v>
      </c>
      <c r="E728" s="3" t="n">
        <v>4</v>
      </c>
      <c r="F728" s="12" t="n">
        <v>0.6432</v>
      </c>
      <c r="G728" s="12" t="n">
        <v>0.6</v>
      </c>
      <c r="H728" s="12" t="n">
        <v>0.75</v>
      </c>
      <c r="I728" s="12" t="n">
        <v>0.6438</v>
      </c>
      <c r="J728" s="12" t="n">
        <v>0.3694</v>
      </c>
      <c r="K728" s="12" t="n">
        <v>0.5668</v>
      </c>
      <c r="L728" s="3" t="n">
        <v>3.88</v>
      </c>
      <c r="M728" s="12" t="n">
        <f aca="false">Z728-W728</f>
        <v>0.033197</v>
      </c>
      <c r="N728" s="12" t="n">
        <f aca="false">IFERROR((Z728-J728)/L728,"")</f>
        <v>0.0508755154639175</v>
      </c>
      <c r="O728" s="3" t="n">
        <v>16</v>
      </c>
      <c r="P728" s="13" t="b">
        <f aca="false">FALSE()</f>
        <v>0</v>
      </c>
      <c r="Q728" s="3" t="s">
        <v>201</v>
      </c>
      <c r="R728" s="12" t="n">
        <v>0.7893</v>
      </c>
      <c r="S728" s="12" t="n">
        <v>0.5093</v>
      </c>
      <c r="T728" s="3" t="n">
        <v>0.3462</v>
      </c>
      <c r="U728" s="12" t="n">
        <v>0.3798</v>
      </c>
      <c r="V728" s="12" t="n">
        <v>0.5154</v>
      </c>
      <c r="W728" s="12" t="n">
        <v>0.5336</v>
      </c>
      <c r="X728" s="3" t="n">
        <v>0.5611</v>
      </c>
      <c r="Y728" s="3" t="n">
        <v>0.5919</v>
      </c>
      <c r="Z728" s="14" t="n">
        <f aca="false">Assumptions!$B$3*R728+Assumptions!$B$4*S728+IF(AA728=1,Assumptions!$B$11,Assumptions!$B$5)*X728+IF(AA728=1,Assumptions!$B$12,Assumptions!$B$6)*T728+Assumptions!$B$7*U728+Assumptions!$B$8*V728+Assumptions!$B$9*Y728</f>
        <v>0.566797</v>
      </c>
      <c r="AA728" s="3" t="n">
        <v>0</v>
      </c>
    </row>
    <row r="729" customFormat="false" ht="15" hidden="false" customHeight="false" outlineLevel="0" collapsed="false">
      <c r="A729" s="3" t="s">
        <v>914</v>
      </c>
      <c r="B729" s="3" t="n">
        <v>494</v>
      </c>
      <c r="C729" s="11" t="str">
        <f aca="false">IF(M729&gt;=Assumptions!$B$17,"S+",IF(M729&gt;=Assumptions!$B$18,"S",IF(M729&gt;=Assumptions!$B$19,"A",IF(M729&gt;=Assumptions!$B$20,"B",IF(M729&gt;=Assumptions!$B$21,"C",IF(M729&gt;=Assumptions!$B$22,"D","F"))))))</f>
        <v>D</v>
      </c>
      <c r="D729" s="3" t="s">
        <v>253</v>
      </c>
      <c r="E729" s="3" t="n">
        <v>4</v>
      </c>
      <c r="F729" s="12" t="n">
        <v>0.7263</v>
      </c>
      <c r="G729" s="12" t="n">
        <v>0.6</v>
      </c>
      <c r="H729" s="12" t="n">
        <v>0.75</v>
      </c>
      <c r="I729" s="12" t="n">
        <v>0.6704</v>
      </c>
      <c r="J729" s="12" t="n">
        <v>0.3698</v>
      </c>
      <c r="K729" s="12" t="n">
        <v>0.561</v>
      </c>
      <c r="L729" s="3" t="n">
        <v>4.81</v>
      </c>
      <c r="M729" s="12" t="n">
        <f aca="false">Z729-W729</f>
        <v>0.0331569999999999</v>
      </c>
      <c r="N729" s="12" t="n">
        <f aca="false">IFERROR((Z729-J729)/L729,"")</f>
        <v>0.03974158004158</v>
      </c>
      <c r="O729" s="3" t="n">
        <v>16</v>
      </c>
      <c r="P729" s="13" t="b">
        <f aca="false">FALSE()</f>
        <v>0</v>
      </c>
      <c r="Q729" s="3" t="s">
        <v>166</v>
      </c>
      <c r="R729" s="12" t="n">
        <v>0.7796</v>
      </c>
      <c r="S729" s="12" t="n">
        <v>0.669</v>
      </c>
      <c r="T729" s="3" t="n">
        <v>0.1012</v>
      </c>
      <c r="U729" s="12" t="n">
        <v>0.351</v>
      </c>
      <c r="V729" s="12" t="n">
        <v>0.5189</v>
      </c>
      <c r="W729" s="12" t="n">
        <v>0.5278</v>
      </c>
      <c r="X729" s="3" t="n">
        <v>0.5553</v>
      </c>
      <c r="Y729" s="3" t="n">
        <v>0.6474</v>
      </c>
      <c r="Z729" s="14" t="n">
        <f aca="false">Assumptions!$B$3*R729+Assumptions!$B$4*S729+IF(AA729=1,Assumptions!$B$11,Assumptions!$B$5)*X729+IF(AA729=1,Assumptions!$B$12,Assumptions!$B$6)*T729+Assumptions!$B$7*U729+Assumptions!$B$8*V729+Assumptions!$B$9*Y729</f>
        <v>0.560957</v>
      </c>
      <c r="AA729" s="3" t="n">
        <v>0</v>
      </c>
    </row>
    <row r="730" customFormat="false" ht="15" hidden="false" customHeight="false" outlineLevel="0" collapsed="false">
      <c r="A730" s="3" t="s">
        <v>915</v>
      </c>
      <c r="B730" s="3" t="n">
        <v>475</v>
      </c>
      <c r="C730" s="11" t="str">
        <f aca="false">IF(M730&gt;=Assumptions!$B$17,"S+",IF(M730&gt;=Assumptions!$B$18,"S",IF(M730&gt;=Assumptions!$B$19,"A",IF(M730&gt;=Assumptions!$B$20,"B",IF(M730&gt;=Assumptions!$B$21,"C",IF(M730&gt;=Assumptions!$B$22,"D","F"))))))</f>
        <v>D</v>
      </c>
      <c r="D730" s="3" t="s">
        <v>218</v>
      </c>
      <c r="E730" s="3" t="n">
        <v>1</v>
      </c>
      <c r="F730" s="12" t="n">
        <v>0.8005</v>
      </c>
      <c r="G730" s="12" t="n">
        <v>0.6</v>
      </c>
      <c r="H730" s="12" t="n">
        <v>0.75</v>
      </c>
      <c r="I730" s="12" t="n">
        <v>0.6941</v>
      </c>
      <c r="J730" s="12" t="n">
        <v>0.3753</v>
      </c>
      <c r="K730" s="12" t="n">
        <v>0.5529</v>
      </c>
      <c r="L730" s="3" t="n">
        <v>5.58</v>
      </c>
      <c r="M730" s="12" t="n">
        <f aca="false">Z730-W730</f>
        <v>0.032811</v>
      </c>
      <c r="N730" s="12" t="n">
        <f aca="false">IFERROR((Z730-J730)/L730,"")</f>
        <v>0.0318299283154122</v>
      </c>
      <c r="O730" s="3" t="n">
        <v>19</v>
      </c>
      <c r="P730" s="13" t="b">
        <f aca="false">FALSE()</f>
        <v>0</v>
      </c>
      <c r="Q730" s="3" t="s">
        <v>166</v>
      </c>
      <c r="R730" s="12" t="n">
        <v>0.7699</v>
      </c>
      <c r="S730" s="12" t="n">
        <v>0.4624</v>
      </c>
      <c r="T730" s="3" t="n">
        <v>0.5031</v>
      </c>
      <c r="U730" s="12" t="n">
        <v>0.336</v>
      </c>
      <c r="V730" s="12" t="n">
        <v>0.4627</v>
      </c>
      <c r="W730" s="12" t="n">
        <v>0.5201</v>
      </c>
      <c r="X730" s="3" t="n">
        <v>0.4713</v>
      </c>
      <c r="Y730" s="3" t="n">
        <v>0.631</v>
      </c>
      <c r="Z730" s="14" t="n">
        <f aca="false">Assumptions!$B$3*R730+Assumptions!$B$4*S730+IF(AA730=1,Assumptions!$B$11,Assumptions!$B$5)*X730+IF(AA730=1,Assumptions!$B$12,Assumptions!$B$6)*T730+Assumptions!$B$7*U730+Assumptions!$B$8*V730+Assumptions!$B$9*Y730</f>
        <v>0.552911</v>
      </c>
      <c r="AA730" s="3" t="n">
        <v>0</v>
      </c>
    </row>
    <row r="731" customFormat="false" ht="15" hidden="false" customHeight="false" outlineLevel="0" collapsed="false">
      <c r="A731" s="3" t="s">
        <v>916</v>
      </c>
      <c r="B731" s="3" t="n">
        <v>521</v>
      </c>
      <c r="C731" s="11" t="str">
        <f aca="false">IF(M731&gt;=Assumptions!$B$17,"S+",IF(M731&gt;=Assumptions!$B$18,"S",IF(M731&gt;=Assumptions!$B$19,"A",IF(M731&gt;=Assumptions!$B$20,"B",IF(M731&gt;=Assumptions!$B$21,"C",IF(M731&gt;=Assumptions!$B$22,"D","F"))))))</f>
        <v>D</v>
      </c>
      <c r="D731" s="3" t="s">
        <v>218</v>
      </c>
      <c r="E731" s="3" t="n">
        <v>7</v>
      </c>
      <c r="F731" s="12" t="n">
        <v>0.8805</v>
      </c>
      <c r="G731" s="12" t="n">
        <v>0.6</v>
      </c>
      <c r="H731" s="12" t="n">
        <v>0.75</v>
      </c>
      <c r="I731" s="12" t="n">
        <v>0.7198</v>
      </c>
      <c r="J731" s="12" t="n">
        <v>0.388</v>
      </c>
      <c r="K731" s="12" t="n">
        <v>0.5432</v>
      </c>
      <c r="L731" s="3" t="n">
        <v>4</v>
      </c>
      <c r="M731" s="12" t="n">
        <f aca="false">Z731-W731</f>
        <v>0.032539</v>
      </c>
      <c r="N731" s="12" t="n">
        <f aca="false">IFERROR((Z731-J731)/L731,"")</f>
        <v>0.03880975</v>
      </c>
      <c r="O731" s="3" t="n">
        <v>13</v>
      </c>
      <c r="P731" s="13" t="b">
        <f aca="false">FALSE()</f>
        <v>0</v>
      </c>
      <c r="Q731" s="3" t="s">
        <v>166</v>
      </c>
      <c r="R731" s="12" t="n">
        <v>0.8638</v>
      </c>
      <c r="S731" s="12" t="n">
        <v>0.4379</v>
      </c>
      <c r="T731" s="3" t="n">
        <v>0.1803</v>
      </c>
      <c r="U731" s="12" t="n">
        <v>0.4438</v>
      </c>
      <c r="V731" s="12" t="n">
        <v>0.4138</v>
      </c>
      <c r="W731" s="12" t="n">
        <v>0.5107</v>
      </c>
      <c r="X731" s="3" t="n">
        <v>0.4422</v>
      </c>
      <c r="Y731" s="3" t="n">
        <v>0.7068</v>
      </c>
      <c r="Z731" s="14" t="n">
        <f aca="false">Assumptions!$B$3*R731+Assumptions!$B$4*S731+IF(AA731=1,Assumptions!$B$11,Assumptions!$B$5)*X731+IF(AA731=1,Assumptions!$B$12,Assumptions!$B$6)*T731+Assumptions!$B$7*U731+Assumptions!$B$8*V731+Assumptions!$B$9*Y731</f>
        <v>0.543239</v>
      </c>
      <c r="AA731" s="3" t="n">
        <v>0</v>
      </c>
    </row>
    <row r="732" customFormat="false" ht="15" hidden="false" customHeight="false" outlineLevel="0" collapsed="false">
      <c r="A732" s="3" t="s">
        <v>917</v>
      </c>
      <c r="B732" s="3" t="n">
        <v>390</v>
      </c>
      <c r="C732" s="11" t="str">
        <f aca="false">IF(M732&gt;=Assumptions!$B$17,"S+",IF(M732&gt;=Assumptions!$B$18,"S",IF(M732&gt;=Assumptions!$B$19,"A",IF(M732&gt;=Assumptions!$B$20,"B",IF(M732&gt;=Assumptions!$B$21,"C",IF(M732&gt;=Assumptions!$B$22,"D","F"))))))</f>
        <v>D</v>
      </c>
      <c r="D732" s="3" t="s">
        <v>186</v>
      </c>
      <c r="E732" s="3" t="n">
        <v>3</v>
      </c>
      <c r="F732" s="12" t="n">
        <v>0.5739</v>
      </c>
      <c r="G732" s="12" t="n">
        <v>1</v>
      </c>
      <c r="H732" s="12" t="n">
        <v>0.75</v>
      </c>
      <c r="I732" s="12" t="n">
        <v>0.8733</v>
      </c>
      <c r="J732" s="12" t="n">
        <v>0.354</v>
      </c>
      <c r="K732" s="12" t="n">
        <v>0.4836</v>
      </c>
      <c r="L732" s="3" t="n">
        <v>3.94</v>
      </c>
      <c r="M732" s="12" t="n">
        <f aca="false">Z732-W732</f>
        <v>0.032583</v>
      </c>
      <c r="N732" s="12" t="n">
        <f aca="false">IFERROR((Z732-J732)/L732,"")</f>
        <v>0.0328890862944162</v>
      </c>
      <c r="O732" s="3" t="n">
        <v>17</v>
      </c>
      <c r="P732" s="13" t="b">
        <f aca="false">FALSE()</f>
        <v>0</v>
      </c>
      <c r="Q732" s="3" t="s">
        <v>166</v>
      </c>
      <c r="R732" s="12" t="n">
        <v>0.8777</v>
      </c>
      <c r="S732" s="12" t="n">
        <v>0.2727</v>
      </c>
      <c r="T732" s="3" t="n">
        <v>0.0951</v>
      </c>
      <c r="U732" s="12" t="n">
        <v>0.4842</v>
      </c>
      <c r="V732" s="12" t="n">
        <v>0.292</v>
      </c>
      <c r="W732" s="12" t="n">
        <v>0.451</v>
      </c>
      <c r="X732" s="3" t="n">
        <v>0.1948</v>
      </c>
      <c r="Y732" s="3" t="n">
        <v>0.8338</v>
      </c>
      <c r="Z732" s="14" t="n">
        <f aca="false">Assumptions!$B$3*R732+Assumptions!$B$4*S732+IF(AA732=1,Assumptions!$B$11,Assumptions!$B$5)*X732+IF(AA732=1,Assumptions!$B$12,Assumptions!$B$6)*T732+Assumptions!$B$7*U732+Assumptions!$B$8*V732+Assumptions!$B$9*Y732</f>
        <v>0.483583</v>
      </c>
      <c r="AA732" s="3" t="n">
        <v>1</v>
      </c>
    </row>
    <row r="733" customFormat="false" ht="15" hidden="false" customHeight="false" outlineLevel="0" collapsed="false">
      <c r="A733" s="3" t="s">
        <v>918</v>
      </c>
      <c r="B733" s="3" t="n">
        <v>250</v>
      </c>
      <c r="C733" s="11" t="str">
        <f aca="false">IF(M733&gt;=Assumptions!$B$17,"S+",IF(M733&gt;=Assumptions!$B$18,"S",IF(M733&gt;=Assumptions!$B$19,"A",IF(M733&gt;=Assumptions!$B$20,"B",IF(M733&gt;=Assumptions!$B$21,"C",IF(M733&gt;=Assumptions!$B$22,"D","F"))))))</f>
        <v>D</v>
      </c>
      <c r="D733" s="3" t="s">
        <v>169</v>
      </c>
      <c r="E733" s="3" t="n">
        <v>1</v>
      </c>
      <c r="F733" s="12" t="n">
        <v>0.554</v>
      </c>
      <c r="G733" s="12" t="n">
        <v>0.85</v>
      </c>
      <c r="H733" s="12" t="n">
        <v>0.4226</v>
      </c>
      <c r="I733" s="12" t="n">
        <v>0.7053</v>
      </c>
      <c r="J733" s="12" t="n">
        <v>0.2963</v>
      </c>
      <c r="K733" s="12" t="n">
        <v>0.4685</v>
      </c>
      <c r="L733" s="3" t="n">
        <v>6.63</v>
      </c>
      <c r="M733" s="12" t="n">
        <f aca="false">Z733-W733</f>
        <v>0.032426</v>
      </c>
      <c r="N733" s="12" t="n">
        <f aca="false">IFERROR((Z733-J733)/L733,"")</f>
        <v>0.0259767722473605</v>
      </c>
      <c r="O733" s="3" t="n">
        <v>19</v>
      </c>
      <c r="P733" s="13" t="b">
        <f aca="false">FALSE()</f>
        <v>0</v>
      </c>
      <c r="Q733" s="3" t="s">
        <v>166</v>
      </c>
      <c r="R733" s="12" t="n">
        <v>0.3869</v>
      </c>
      <c r="S733" s="12" t="n">
        <v>0.4419</v>
      </c>
      <c r="T733" s="3" t="n">
        <v>0.0395</v>
      </c>
      <c r="U733" s="12" t="n">
        <v>0.4899</v>
      </c>
      <c r="V733" s="12" t="n">
        <v>0.4497</v>
      </c>
      <c r="W733" s="12" t="n">
        <v>0.4361</v>
      </c>
      <c r="X733" s="3" t="n">
        <v>0.5455</v>
      </c>
      <c r="Y733" s="3" t="n">
        <v>0.7069</v>
      </c>
      <c r="Z733" s="14" t="n">
        <f aca="false">Assumptions!$B$3*R733+Assumptions!$B$4*S733+IF(AA733=1,Assumptions!$B$11,Assumptions!$B$5)*X733+IF(AA733=1,Assumptions!$B$12,Assumptions!$B$6)*T733+Assumptions!$B$7*U733+Assumptions!$B$8*V733+Assumptions!$B$9*Y733</f>
        <v>0.468526</v>
      </c>
      <c r="AA733" s="3" t="n">
        <v>1</v>
      </c>
    </row>
    <row r="734" customFormat="false" ht="15" hidden="false" customHeight="false" outlineLevel="0" collapsed="false">
      <c r="A734" s="3" t="s">
        <v>919</v>
      </c>
      <c r="B734" s="3" t="n">
        <v>405</v>
      </c>
      <c r="C734" s="11" t="str">
        <f aca="false">IF(M734&gt;=Assumptions!$B$17,"S+",IF(M734&gt;=Assumptions!$B$18,"S",IF(M734&gt;=Assumptions!$B$19,"A",IF(M734&gt;=Assumptions!$B$20,"B",IF(M734&gt;=Assumptions!$B$21,"C",IF(M734&gt;=Assumptions!$B$22,"D","F"))))))</f>
        <v>D</v>
      </c>
      <c r="D734" s="3" t="s">
        <v>169</v>
      </c>
      <c r="E734" s="3" t="n">
        <v>1</v>
      </c>
      <c r="F734" s="12" t="n">
        <v>0.6271</v>
      </c>
      <c r="G734" s="12" t="n">
        <v>0.6</v>
      </c>
      <c r="H734" s="12" t="n">
        <v>0.5476</v>
      </c>
      <c r="I734" s="12" t="n">
        <v>0.5949</v>
      </c>
      <c r="J734" s="12" t="n">
        <v>0.3576</v>
      </c>
      <c r="K734" s="12" t="n">
        <v>0.5403</v>
      </c>
      <c r="L734" s="3" t="n">
        <v>3.55</v>
      </c>
      <c r="M734" s="12" t="n">
        <f aca="false">Z734-W734</f>
        <v>0.032048</v>
      </c>
      <c r="N734" s="12" t="n">
        <f aca="false">IFERROR((Z734-J734)/L734,"")</f>
        <v>0.0514501408450704</v>
      </c>
      <c r="O734" s="3" t="n">
        <v>19</v>
      </c>
      <c r="P734" s="13" t="b">
        <f aca="false">FALSE()</f>
        <v>0</v>
      </c>
      <c r="Q734" s="3" t="s">
        <v>166</v>
      </c>
      <c r="R734" s="12" t="n">
        <v>0.6109</v>
      </c>
      <c r="S734" s="12" t="n">
        <v>0.6217</v>
      </c>
      <c r="T734" s="3" t="n">
        <v>0.2648</v>
      </c>
      <c r="U734" s="12" t="n">
        <v>0.5101</v>
      </c>
      <c r="V734" s="12" t="n">
        <v>0.4905</v>
      </c>
      <c r="W734" s="12" t="n">
        <v>0.5082</v>
      </c>
      <c r="X734" s="3" t="n">
        <v>0.5998</v>
      </c>
      <c r="Y734" s="3" t="n">
        <v>0.5545</v>
      </c>
      <c r="Z734" s="14" t="n">
        <f aca="false">Assumptions!$B$3*R734+Assumptions!$B$4*S734+IF(AA734=1,Assumptions!$B$11,Assumptions!$B$5)*X734+IF(AA734=1,Assumptions!$B$12,Assumptions!$B$6)*T734+Assumptions!$B$7*U734+Assumptions!$B$8*V734+Assumptions!$B$9*Y734</f>
        <v>0.540248</v>
      </c>
      <c r="AA734" s="3" t="n">
        <v>0</v>
      </c>
    </row>
    <row r="735" customFormat="false" ht="15" hidden="false" customHeight="false" outlineLevel="0" collapsed="false">
      <c r="A735" s="3" t="s">
        <v>920</v>
      </c>
      <c r="B735" s="3" t="n">
        <v>560</v>
      </c>
      <c r="C735" s="11" t="str">
        <f aca="false">IF(M735&gt;=Assumptions!$B$17,"S+",IF(M735&gt;=Assumptions!$B$18,"S",IF(M735&gt;=Assumptions!$B$19,"A",IF(M735&gt;=Assumptions!$B$20,"B",IF(M735&gt;=Assumptions!$B$21,"C",IF(M735&gt;=Assumptions!$B$22,"D","F"))))))</f>
        <v>D</v>
      </c>
      <c r="D735" s="3" t="s">
        <v>253</v>
      </c>
      <c r="E735" s="3" t="n">
        <v>9</v>
      </c>
      <c r="F735" s="12" t="n">
        <v>0.9718</v>
      </c>
      <c r="G735" s="12" t="n">
        <v>0.6</v>
      </c>
      <c r="H735" s="12" t="n">
        <v>0.75</v>
      </c>
      <c r="I735" s="12" t="n">
        <v>0.749</v>
      </c>
      <c r="J735" s="12" t="n">
        <v>0.4049</v>
      </c>
      <c r="K735" s="12" t="n">
        <v>0.5613</v>
      </c>
      <c r="L735" s="3" t="n">
        <v>4</v>
      </c>
      <c r="M735" s="12" t="n">
        <f aca="false">Z735-W735</f>
        <v>0.031475</v>
      </c>
      <c r="N735" s="12" t="n">
        <f aca="false">IFERROR((Z735-J735)/L735,"")</f>
        <v>0.03909375</v>
      </c>
      <c r="O735" s="3" t="n">
        <v>11</v>
      </c>
      <c r="P735" s="13" t="b">
        <f aca="false">FALSE()</f>
        <v>0</v>
      </c>
      <c r="Q735" s="3" t="s">
        <v>166</v>
      </c>
      <c r="R735" s="12" t="n">
        <v>0.8062</v>
      </c>
      <c r="S735" s="12" t="n">
        <v>0.6096</v>
      </c>
      <c r="T735" s="3" t="n">
        <v>0.0528</v>
      </c>
      <c r="U735" s="12" t="n">
        <v>0.3566</v>
      </c>
      <c r="V735" s="12" t="n">
        <v>0.4231</v>
      </c>
      <c r="W735" s="12" t="n">
        <v>0.5298</v>
      </c>
      <c r="X735" s="3" t="n">
        <v>0.6046</v>
      </c>
      <c r="Y735" s="3" t="n">
        <v>0.7495</v>
      </c>
      <c r="Z735" s="14" t="n">
        <f aca="false">Assumptions!$B$3*R735+Assumptions!$B$4*S735+IF(AA735=1,Assumptions!$B$11,Assumptions!$B$5)*X735+IF(AA735=1,Assumptions!$B$12,Assumptions!$B$6)*T735+Assumptions!$B$7*U735+Assumptions!$B$8*V735+Assumptions!$B$9*Y735</f>
        <v>0.561275</v>
      </c>
      <c r="AA735" s="3" t="n">
        <v>0</v>
      </c>
    </row>
    <row r="736" customFormat="false" ht="15" hidden="false" customHeight="false" outlineLevel="0" collapsed="false">
      <c r="A736" s="3" t="s">
        <v>921</v>
      </c>
      <c r="B736" s="3" t="n">
        <v>500</v>
      </c>
      <c r="C736" s="11" t="str">
        <f aca="false">IF(M736&gt;=Assumptions!$B$17,"S+",IF(M736&gt;=Assumptions!$B$18,"S",IF(M736&gt;=Assumptions!$B$19,"A",IF(M736&gt;=Assumptions!$B$20,"B",IF(M736&gt;=Assumptions!$B$21,"C",IF(M736&gt;=Assumptions!$B$22,"D","F"))))))</f>
        <v>D</v>
      </c>
      <c r="D736" s="3" t="s">
        <v>218</v>
      </c>
      <c r="E736" s="3" t="n">
        <v>4</v>
      </c>
      <c r="F736" s="12" t="n">
        <v>0.9451</v>
      </c>
      <c r="G736" s="12" t="n">
        <v>0.8</v>
      </c>
      <c r="H736" s="12" t="n">
        <v>0.75</v>
      </c>
      <c r="I736" s="12" t="n">
        <v>0.8364</v>
      </c>
      <c r="J736" s="12" t="n">
        <v>0.3944</v>
      </c>
      <c r="K736" s="12" t="n">
        <v>0.544</v>
      </c>
      <c r="L736" s="3" t="n">
        <v>3.88</v>
      </c>
      <c r="M736" s="12" t="n">
        <f aca="false">Z736-W736</f>
        <v>0.0314300000000001</v>
      </c>
      <c r="N736" s="12" t="n">
        <f aca="false">IFERROR((Z736-J736)/L736,"")</f>
        <v>0.0385644329896907</v>
      </c>
      <c r="O736" s="3" t="n">
        <v>16</v>
      </c>
      <c r="P736" s="13" t="b">
        <f aca="false">FALSE()</f>
        <v>0</v>
      </c>
      <c r="Q736" s="3" t="s">
        <v>166</v>
      </c>
      <c r="R736" s="12" t="n">
        <v>0.8262</v>
      </c>
      <c r="S736" s="12" t="n">
        <v>0.5831</v>
      </c>
      <c r="T736" s="3" t="n">
        <v>0.1412</v>
      </c>
      <c r="U736" s="12" t="n">
        <v>0.2452</v>
      </c>
      <c r="V736" s="12" t="n">
        <v>0.4637</v>
      </c>
      <c r="W736" s="12" t="n">
        <v>0.5126</v>
      </c>
      <c r="X736" s="3" t="n">
        <v>0.4347</v>
      </c>
      <c r="Y736" s="3" t="n">
        <v>0.7973</v>
      </c>
      <c r="Z736" s="14" t="n">
        <f aca="false">Assumptions!$B$3*R736+Assumptions!$B$4*S736+IF(AA736=1,Assumptions!$B$11,Assumptions!$B$5)*X736+IF(AA736=1,Assumptions!$B$12,Assumptions!$B$6)*T736+Assumptions!$B$7*U736+Assumptions!$B$8*V736+Assumptions!$B$9*Y736</f>
        <v>0.54403</v>
      </c>
      <c r="AA736" s="3" t="n">
        <v>0</v>
      </c>
    </row>
    <row r="737" customFormat="false" ht="15" hidden="false" customHeight="false" outlineLevel="0" collapsed="false">
      <c r="A737" s="3" t="s">
        <v>922</v>
      </c>
      <c r="B737" s="3" t="n">
        <v>570</v>
      </c>
      <c r="C737" s="11" t="str">
        <f aca="false">IF(M737&gt;=Assumptions!$B$17,"S+",IF(M737&gt;=Assumptions!$B$18,"S",IF(M737&gt;=Assumptions!$B$19,"A",IF(M737&gt;=Assumptions!$B$20,"B",IF(M737&gt;=Assumptions!$B$21,"C",IF(M737&gt;=Assumptions!$B$22,"D","F"))))))</f>
        <v>D</v>
      </c>
      <c r="D737" s="3" t="s">
        <v>253</v>
      </c>
      <c r="E737" s="3" t="n">
        <v>1</v>
      </c>
      <c r="F737" s="12" t="n">
        <v>0.9641</v>
      </c>
      <c r="G737" s="12" t="n">
        <v>0.2</v>
      </c>
      <c r="H737" s="12" t="n">
        <v>0.75</v>
      </c>
      <c r="I737" s="12" t="n">
        <v>0.5545</v>
      </c>
      <c r="J737" s="12" t="n">
        <v>0.3856</v>
      </c>
      <c r="K737" s="12" t="n">
        <v>0.568</v>
      </c>
      <c r="L737" s="3" t="n">
        <v>3.47</v>
      </c>
      <c r="M737" s="12" t="n">
        <f aca="false">Z737-W737</f>
        <v>0.0312770000000001</v>
      </c>
      <c r="N737" s="12" t="n">
        <f aca="false">IFERROR((Z737-J737)/L737,"")</f>
        <v>0.0525582132564842</v>
      </c>
      <c r="O737" s="3" t="n">
        <v>19</v>
      </c>
      <c r="P737" s="13" t="b">
        <f aca="false">FALSE()</f>
        <v>0</v>
      </c>
      <c r="Q737" s="3" t="s">
        <v>166</v>
      </c>
      <c r="R737" s="12" t="n">
        <v>0.8127</v>
      </c>
      <c r="S737" s="12" t="n">
        <v>0.4913</v>
      </c>
      <c r="T737" s="3" t="n">
        <v>0.5984</v>
      </c>
      <c r="U737" s="12" t="n">
        <v>0.3441</v>
      </c>
      <c r="V737" s="12" t="n">
        <v>0.4106</v>
      </c>
      <c r="W737" s="12" t="n">
        <v>0.5367</v>
      </c>
      <c r="X737" s="3" t="n">
        <v>0.4996</v>
      </c>
      <c r="Y737" s="3" t="n">
        <v>0.5166</v>
      </c>
      <c r="Z737" s="14" t="n">
        <f aca="false">Assumptions!$B$3*R737+Assumptions!$B$4*S737+IF(AA737=1,Assumptions!$B$11,Assumptions!$B$5)*X737+IF(AA737=1,Assumptions!$B$12,Assumptions!$B$6)*T737+Assumptions!$B$7*U737+Assumptions!$B$8*V737+Assumptions!$B$9*Y737</f>
        <v>0.567977</v>
      </c>
      <c r="AA737" s="3" t="n">
        <v>0</v>
      </c>
    </row>
    <row r="738" customFormat="false" ht="15" hidden="false" customHeight="false" outlineLevel="0" collapsed="false">
      <c r="A738" s="3" t="s">
        <v>923</v>
      </c>
      <c r="B738" s="3" t="n">
        <v>480</v>
      </c>
      <c r="C738" s="11" t="str">
        <f aca="false">IF(M738&gt;=Assumptions!$B$17,"S+",IF(M738&gt;=Assumptions!$B$18,"S",IF(M738&gt;=Assumptions!$B$19,"A",IF(M738&gt;=Assumptions!$B$20,"B",IF(M738&gt;=Assumptions!$B$21,"C",IF(M738&gt;=Assumptions!$B$22,"D","F"))))))</f>
        <v>D</v>
      </c>
      <c r="D738" s="3" t="s">
        <v>253</v>
      </c>
      <c r="E738" s="3" t="n">
        <v>3</v>
      </c>
      <c r="F738" s="12" t="n">
        <v>0.9547</v>
      </c>
      <c r="G738" s="12" t="n">
        <v>0.4</v>
      </c>
      <c r="H738" s="12" t="n">
        <v>0.75</v>
      </c>
      <c r="I738" s="12" t="n">
        <v>0.6475</v>
      </c>
      <c r="J738" s="12" t="n">
        <v>0.3594</v>
      </c>
      <c r="K738" s="12" t="n">
        <v>0.5481</v>
      </c>
      <c r="L738" s="3" t="n">
        <v>4.82</v>
      </c>
      <c r="M738" s="12" t="n">
        <f aca="false">Z738-W738</f>
        <v>0.031057</v>
      </c>
      <c r="N738" s="12" t="n">
        <f aca="false">IFERROR((Z738-J738)/L738,"")</f>
        <v>0.0391404564315353</v>
      </c>
      <c r="O738" s="3" t="n">
        <v>17</v>
      </c>
      <c r="P738" s="13" t="b">
        <f aca="false">FALSE()</f>
        <v>0</v>
      </c>
      <c r="Q738" s="3" t="s">
        <v>166</v>
      </c>
      <c r="R738" s="12" t="n">
        <v>0.7877</v>
      </c>
      <c r="S738" s="12" t="n">
        <v>0.511</v>
      </c>
      <c r="T738" s="3" t="n">
        <v>0.3056</v>
      </c>
      <c r="U738" s="12" t="n">
        <v>0.5521</v>
      </c>
      <c r="V738" s="12" t="n">
        <v>0.3231</v>
      </c>
      <c r="W738" s="12" t="n">
        <v>0.517</v>
      </c>
      <c r="X738" s="3" t="n">
        <v>0.4827</v>
      </c>
      <c r="Y738" s="3" t="n">
        <v>0.6195</v>
      </c>
      <c r="Z738" s="14" t="n">
        <f aca="false">Assumptions!$B$3*R738+Assumptions!$B$4*S738+IF(AA738=1,Assumptions!$B$11,Assumptions!$B$5)*X738+IF(AA738=1,Assumptions!$B$12,Assumptions!$B$6)*T738+Assumptions!$B$7*U738+Assumptions!$B$8*V738+Assumptions!$B$9*Y738</f>
        <v>0.548057</v>
      </c>
      <c r="AA738" s="3" t="n">
        <v>0</v>
      </c>
    </row>
    <row r="739" customFormat="false" ht="15" hidden="false" customHeight="false" outlineLevel="0" collapsed="false">
      <c r="A739" s="3" t="s">
        <v>924</v>
      </c>
      <c r="B739" s="3" t="n">
        <v>475</v>
      </c>
      <c r="C739" s="11" t="str">
        <f aca="false">IF(M739&gt;=Assumptions!$B$17,"S+",IF(M739&gt;=Assumptions!$B$18,"S",IF(M739&gt;=Assumptions!$B$19,"A",IF(M739&gt;=Assumptions!$B$20,"B",IF(M739&gt;=Assumptions!$B$21,"C",IF(M739&gt;=Assumptions!$B$22,"D","F"))))))</f>
        <v>D</v>
      </c>
      <c r="D739" s="3" t="s">
        <v>218</v>
      </c>
      <c r="E739" s="3" t="n">
        <v>3</v>
      </c>
      <c r="F739" s="12" t="n">
        <v>0.9538</v>
      </c>
      <c r="G739" s="12" t="n">
        <v>1</v>
      </c>
      <c r="H739" s="12" t="n">
        <v>0.75</v>
      </c>
      <c r="I739" s="12" t="n">
        <v>0.9352</v>
      </c>
      <c r="J739" s="12" t="n">
        <v>0.355</v>
      </c>
      <c r="K739" s="12" t="n">
        <v>0.5454</v>
      </c>
      <c r="L739" s="3" t="n">
        <v>4.82</v>
      </c>
      <c r="M739" s="12" t="n">
        <f aca="false">Z739-W739</f>
        <v>0.031125</v>
      </c>
      <c r="N739" s="12" t="n">
        <f aca="false">IFERROR((Z739-J739)/L739,"")</f>
        <v>0.0395072614107884</v>
      </c>
      <c r="O739" s="3" t="n">
        <v>17</v>
      </c>
      <c r="P739" s="13" t="b">
        <f aca="false">FALSE()</f>
        <v>0</v>
      </c>
      <c r="Q739" s="3" t="s">
        <v>166</v>
      </c>
      <c r="R739" s="12" t="n">
        <v>0.7531</v>
      </c>
      <c r="S739" s="12" t="n">
        <v>0.5286</v>
      </c>
      <c r="T739" s="3" t="n">
        <v>0.3018</v>
      </c>
      <c r="U739" s="12" t="n">
        <v>0.4072</v>
      </c>
      <c r="V739" s="12" t="n">
        <v>0.4913</v>
      </c>
      <c r="W739" s="12" t="n">
        <v>0.5143</v>
      </c>
      <c r="X739" s="3" t="n">
        <v>0.3695</v>
      </c>
      <c r="Y739" s="3" t="n">
        <v>0.8023</v>
      </c>
      <c r="Z739" s="14" t="n">
        <f aca="false">Assumptions!$B$3*R739+Assumptions!$B$4*S739+IF(AA739=1,Assumptions!$B$11,Assumptions!$B$5)*X739+IF(AA739=1,Assumptions!$B$12,Assumptions!$B$6)*T739+Assumptions!$B$7*U739+Assumptions!$B$8*V739+Assumptions!$B$9*Y739</f>
        <v>0.545425</v>
      </c>
      <c r="AA739" s="3" t="n">
        <v>0</v>
      </c>
    </row>
    <row r="740" customFormat="false" ht="15" hidden="false" customHeight="false" outlineLevel="0" collapsed="false">
      <c r="A740" s="3" t="s">
        <v>925</v>
      </c>
      <c r="B740" s="3" t="n">
        <v>455</v>
      </c>
      <c r="C740" s="11" t="str">
        <f aca="false">IF(M740&gt;=Assumptions!$B$17,"S+",IF(M740&gt;=Assumptions!$B$18,"S",IF(M740&gt;=Assumptions!$B$19,"A",IF(M740&gt;=Assumptions!$B$20,"B",IF(M740&gt;=Assumptions!$B$21,"C",IF(M740&gt;=Assumptions!$B$22,"D","F"))))))</f>
        <v>D</v>
      </c>
      <c r="D740" s="3" t="s">
        <v>218</v>
      </c>
      <c r="E740" s="3" t="n">
        <v>3</v>
      </c>
      <c r="F740" s="12" t="n">
        <v>0.7201</v>
      </c>
      <c r="G740" s="12" t="n">
        <v>1</v>
      </c>
      <c r="H740" s="12" t="n">
        <v>0.75</v>
      </c>
      <c r="I740" s="12" t="n">
        <v>0.8604</v>
      </c>
      <c r="J740" s="12" t="n">
        <v>0.3796</v>
      </c>
      <c r="K740" s="12" t="n">
        <v>0.5507</v>
      </c>
      <c r="L740" s="3" t="n">
        <v>4.47</v>
      </c>
      <c r="M740" s="12" t="n">
        <f aca="false">Z740-W740</f>
        <v>0.0305759999999999</v>
      </c>
      <c r="N740" s="12" t="n">
        <f aca="false">IFERROR((Z740-J740)/L740,"")</f>
        <v>0.0382720357941834</v>
      </c>
      <c r="O740" s="3" t="n">
        <v>17</v>
      </c>
      <c r="P740" s="13" t="b">
        <f aca="false">FALSE()</f>
        <v>0</v>
      </c>
      <c r="Q740" s="3" t="s">
        <v>201</v>
      </c>
      <c r="R740" s="12" t="n">
        <v>0.7741</v>
      </c>
      <c r="S740" s="12" t="n">
        <v>0.5454</v>
      </c>
      <c r="T740" s="3" t="n">
        <v>0.3015</v>
      </c>
      <c r="U740" s="12" t="n">
        <v>0.4117</v>
      </c>
      <c r="V740" s="12" t="n">
        <v>0.4638</v>
      </c>
      <c r="W740" s="12" t="n">
        <v>0.5201</v>
      </c>
      <c r="X740" s="3" t="n">
        <v>0.3737</v>
      </c>
      <c r="Y740" s="3" t="n">
        <v>0.7944</v>
      </c>
      <c r="Z740" s="14" t="n">
        <f aca="false">Assumptions!$B$3*R740+Assumptions!$B$4*S740+IF(AA740=1,Assumptions!$B$11,Assumptions!$B$5)*X740+IF(AA740=1,Assumptions!$B$12,Assumptions!$B$6)*T740+Assumptions!$B$7*U740+Assumptions!$B$8*V740+Assumptions!$B$9*Y740</f>
        <v>0.550676</v>
      </c>
      <c r="AA740" s="3" t="n">
        <v>0</v>
      </c>
    </row>
    <row r="741" customFormat="false" ht="15" hidden="false" customHeight="false" outlineLevel="0" collapsed="false">
      <c r="A741" s="3" t="s">
        <v>926</v>
      </c>
      <c r="B741" s="3" t="n">
        <v>498</v>
      </c>
      <c r="C741" s="11" t="str">
        <f aca="false">IF(M741&gt;=Assumptions!$B$17,"S+",IF(M741&gt;=Assumptions!$B$18,"S",IF(M741&gt;=Assumptions!$B$19,"A",IF(M741&gt;=Assumptions!$B$20,"B",IF(M741&gt;=Assumptions!$B$21,"C",IF(M741&gt;=Assumptions!$B$22,"D","F"))))))</f>
        <v>D</v>
      </c>
      <c r="D741" s="3" t="s">
        <v>197</v>
      </c>
      <c r="E741" s="3" t="n">
        <v>6</v>
      </c>
      <c r="F741" s="12" t="n">
        <v>0.8161</v>
      </c>
      <c r="G741" s="12" t="n">
        <v>0.4</v>
      </c>
      <c r="H741" s="12" t="n">
        <v>0.75</v>
      </c>
      <c r="I741" s="12" t="n">
        <v>0.6281</v>
      </c>
      <c r="J741" s="12" t="n">
        <v>0.281</v>
      </c>
      <c r="K741" s="12" t="n">
        <v>0.5194</v>
      </c>
      <c r="L741" s="3" t="n">
        <v>5</v>
      </c>
      <c r="M741" s="12" t="n">
        <f aca="false">Z741-W741</f>
        <v>0.030393</v>
      </c>
      <c r="N741" s="12" t="n">
        <f aca="false">IFERROR((Z741-J741)/L741,"")</f>
        <v>0.0476786</v>
      </c>
      <c r="O741" s="3" t="n">
        <v>14</v>
      </c>
      <c r="P741" s="13" t="b">
        <f aca="false">FALSE()</f>
        <v>0</v>
      </c>
      <c r="Q741" s="3" t="s">
        <v>166</v>
      </c>
      <c r="R741" s="12" t="n">
        <v>0.8136</v>
      </c>
      <c r="S741" s="12" t="n">
        <v>0.4238</v>
      </c>
      <c r="T741" s="3" t="n">
        <v>0.3594</v>
      </c>
      <c r="U741" s="12" t="n">
        <v>0.3736</v>
      </c>
      <c r="V741" s="12" t="n">
        <v>0.4841</v>
      </c>
      <c r="W741" s="12" t="n">
        <v>0.489</v>
      </c>
      <c r="X741" s="3" t="n">
        <v>0.2968</v>
      </c>
      <c r="Y741" s="3" t="n">
        <v>0.6306</v>
      </c>
      <c r="Z741" s="14" t="n">
        <f aca="false">Assumptions!$B$3*R741+Assumptions!$B$4*S741+IF(AA741=1,Assumptions!$B$11,Assumptions!$B$5)*X741+IF(AA741=1,Assumptions!$B$12,Assumptions!$B$6)*T741+Assumptions!$B$7*U741+Assumptions!$B$8*V741+Assumptions!$B$9*Y741</f>
        <v>0.519393</v>
      </c>
      <c r="AA741" s="3" t="n">
        <v>0</v>
      </c>
    </row>
    <row r="742" customFormat="false" ht="15" hidden="false" customHeight="false" outlineLevel="0" collapsed="false">
      <c r="A742" s="3" t="s">
        <v>927</v>
      </c>
      <c r="B742" s="3" t="n">
        <v>495</v>
      </c>
      <c r="C742" s="11" t="str">
        <f aca="false">IF(M742&gt;=Assumptions!$B$17,"S+",IF(M742&gt;=Assumptions!$B$18,"S",IF(M742&gt;=Assumptions!$B$19,"A",IF(M742&gt;=Assumptions!$B$20,"B",IF(M742&gt;=Assumptions!$B$21,"C",IF(M742&gt;=Assumptions!$B$22,"D","F"))))))</f>
        <v>D</v>
      </c>
      <c r="D742" s="3" t="s">
        <v>218</v>
      </c>
      <c r="E742" s="3" t="n">
        <v>1</v>
      </c>
      <c r="F742" s="12" t="n">
        <v>0.9654</v>
      </c>
      <c r="G742" s="12" t="n">
        <v>0.4</v>
      </c>
      <c r="H742" s="12" t="n">
        <v>0.75</v>
      </c>
      <c r="I742" s="12" t="n">
        <v>0.6509</v>
      </c>
      <c r="J742" s="12" t="n">
        <v>0.3772</v>
      </c>
      <c r="K742" s="12" t="n">
        <v>0.5249</v>
      </c>
      <c r="L742" s="3" t="n">
        <v>3.55</v>
      </c>
      <c r="M742" s="12" t="n">
        <f aca="false">Z742-W742</f>
        <v>0.030345</v>
      </c>
      <c r="N742" s="12" t="n">
        <f aca="false">IFERROR((Z742-J742)/L742,"")</f>
        <v>0.0415901408450704</v>
      </c>
      <c r="O742" s="3" t="n">
        <v>19</v>
      </c>
      <c r="P742" s="13" t="b">
        <f aca="false">FALSE()</f>
        <v>0</v>
      </c>
      <c r="Q742" s="3" t="s">
        <v>201</v>
      </c>
      <c r="R742" s="12" t="n">
        <v>0.7854</v>
      </c>
      <c r="S742" s="12" t="n">
        <v>0.7092</v>
      </c>
      <c r="T742" s="3" t="n">
        <v>0.1119</v>
      </c>
      <c r="U742" s="12" t="n">
        <v>0.1984</v>
      </c>
      <c r="V742" s="12" t="n">
        <v>0.5277</v>
      </c>
      <c r="W742" s="12" t="n">
        <v>0.4945</v>
      </c>
      <c r="X742" s="3" t="n">
        <v>0.3981</v>
      </c>
      <c r="Y742" s="3" t="n">
        <v>0.5925</v>
      </c>
      <c r="Z742" s="14" t="n">
        <f aca="false">Assumptions!$B$3*R742+Assumptions!$B$4*S742+IF(AA742=1,Assumptions!$B$11,Assumptions!$B$5)*X742+IF(AA742=1,Assumptions!$B$12,Assumptions!$B$6)*T742+Assumptions!$B$7*U742+Assumptions!$B$8*V742+Assumptions!$B$9*Y742</f>
        <v>0.524845</v>
      </c>
      <c r="AA742" s="3" t="n">
        <v>0</v>
      </c>
    </row>
    <row r="743" customFormat="false" ht="15" hidden="false" customHeight="false" outlineLevel="0" collapsed="false">
      <c r="A743" s="3" t="s">
        <v>928</v>
      </c>
      <c r="B743" s="3" t="n">
        <v>475</v>
      </c>
      <c r="C743" s="11" t="str">
        <f aca="false">IF(M743&gt;=Assumptions!$B$17,"S+",IF(M743&gt;=Assumptions!$B$18,"S",IF(M743&gt;=Assumptions!$B$19,"A",IF(M743&gt;=Assumptions!$B$20,"B",IF(M743&gt;=Assumptions!$B$21,"C",IF(M743&gt;=Assumptions!$B$22,"D","F"))))))</f>
        <v>D</v>
      </c>
      <c r="D743" s="3" t="s">
        <v>253</v>
      </c>
      <c r="E743" s="3" t="n">
        <v>3</v>
      </c>
      <c r="F743" s="12" t="n">
        <v>0.7101</v>
      </c>
      <c r="G743" s="12" t="n">
        <v>0.6</v>
      </c>
      <c r="H743" s="12" t="n">
        <v>0.75</v>
      </c>
      <c r="I743" s="12" t="n">
        <v>0.6652</v>
      </c>
      <c r="J743" s="12" t="n">
        <v>0.3283</v>
      </c>
      <c r="K743" s="12" t="n">
        <v>0.5645</v>
      </c>
      <c r="L743" s="3" t="n">
        <v>5.56</v>
      </c>
      <c r="M743" s="12" t="n">
        <f aca="false">Z743-W743</f>
        <v>0.03023</v>
      </c>
      <c r="N743" s="12" t="n">
        <f aca="false">IFERROR((Z743-J743)/L743,"")</f>
        <v>0.0424874100719425</v>
      </c>
      <c r="O743" s="3" t="n">
        <v>17</v>
      </c>
      <c r="P743" s="13" t="b">
        <f aca="false">FALSE()</f>
        <v>0</v>
      </c>
      <c r="Q743" s="3" t="s">
        <v>166</v>
      </c>
      <c r="R743" s="12" t="n">
        <v>0.6822</v>
      </c>
      <c r="S743" s="12" t="n">
        <v>0.5464</v>
      </c>
      <c r="T743" s="3" t="n">
        <v>0.3964</v>
      </c>
      <c r="U743" s="12" t="n">
        <v>0.4977</v>
      </c>
      <c r="V743" s="12" t="n">
        <v>0.4694</v>
      </c>
      <c r="W743" s="12" t="n">
        <v>0.5343</v>
      </c>
      <c r="X743" s="3" t="n">
        <v>0.5911</v>
      </c>
      <c r="Y743" s="3" t="n">
        <v>0.6165</v>
      </c>
      <c r="Z743" s="14" t="n">
        <f aca="false">Assumptions!$B$3*R743+Assumptions!$B$4*S743+IF(AA743=1,Assumptions!$B$11,Assumptions!$B$5)*X743+IF(AA743=1,Assumptions!$B$12,Assumptions!$B$6)*T743+Assumptions!$B$7*U743+Assumptions!$B$8*V743+Assumptions!$B$9*Y743</f>
        <v>0.56453</v>
      </c>
      <c r="AA743" s="3" t="n">
        <v>0</v>
      </c>
    </row>
    <row r="744" customFormat="false" ht="15" hidden="false" customHeight="false" outlineLevel="0" collapsed="false">
      <c r="A744" s="3" t="s">
        <v>929</v>
      </c>
      <c r="B744" s="3" t="n">
        <v>498</v>
      </c>
      <c r="C744" s="11" t="str">
        <f aca="false">IF(M744&gt;=Assumptions!$B$17,"S+",IF(M744&gt;=Assumptions!$B$18,"S",IF(M744&gt;=Assumptions!$B$19,"A",IF(M744&gt;=Assumptions!$B$20,"B",IF(M744&gt;=Assumptions!$B$21,"C",IF(M744&gt;=Assumptions!$B$22,"D","F"))))))</f>
        <v>D</v>
      </c>
      <c r="D744" s="3" t="s">
        <v>197</v>
      </c>
      <c r="E744" s="3" t="n">
        <v>6</v>
      </c>
      <c r="F744" s="12" t="n">
        <v>0.8161</v>
      </c>
      <c r="G744" s="12" t="n">
        <v>0.6</v>
      </c>
      <c r="H744" s="12" t="n">
        <v>0.75</v>
      </c>
      <c r="I744" s="12" t="n">
        <v>0.7121</v>
      </c>
      <c r="J744" s="12" t="n">
        <v>0.3054</v>
      </c>
      <c r="K744" s="12" t="n">
        <v>0.5189</v>
      </c>
      <c r="L744" s="3" t="n">
        <v>5</v>
      </c>
      <c r="M744" s="12" t="n">
        <f aca="false">Z744-W744</f>
        <v>0.02986</v>
      </c>
      <c r="N744" s="12" t="n">
        <f aca="false">IFERROR((Z744-J744)/L744,"")</f>
        <v>0.042692</v>
      </c>
      <c r="O744" s="3" t="n">
        <v>14</v>
      </c>
      <c r="P744" s="13" t="b">
        <f aca="false">FALSE()</f>
        <v>0</v>
      </c>
      <c r="Q744" s="3" t="s">
        <v>166</v>
      </c>
      <c r="R744" s="12" t="n">
        <v>0.8671</v>
      </c>
      <c r="S744" s="12" t="n">
        <v>0.2889</v>
      </c>
      <c r="T744" s="3" t="n">
        <v>0.4189</v>
      </c>
      <c r="U744" s="12" t="n">
        <v>0.4121</v>
      </c>
      <c r="V744" s="12" t="n">
        <v>0.4527</v>
      </c>
      <c r="W744" s="12" t="n">
        <v>0.489</v>
      </c>
      <c r="X744" s="3" t="n">
        <v>0.2334</v>
      </c>
      <c r="Y744" s="3" t="n">
        <v>0.7146</v>
      </c>
      <c r="Z744" s="14" t="n">
        <f aca="false">Assumptions!$B$3*R744+Assumptions!$B$4*S744+IF(AA744=1,Assumptions!$B$11,Assumptions!$B$5)*X744+IF(AA744=1,Assumptions!$B$12,Assumptions!$B$6)*T744+Assumptions!$B$7*U744+Assumptions!$B$8*V744+Assumptions!$B$9*Y744</f>
        <v>0.51886</v>
      </c>
      <c r="AA744" s="3" t="n">
        <v>0</v>
      </c>
    </row>
    <row r="745" customFormat="false" ht="15" hidden="false" customHeight="false" outlineLevel="0" collapsed="false">
      <c r="A745" s="3" t="s">
        <v>930</v>
      </c>
      <c r="B745" s="3" t="n">
        <v>510</v>
      </c>
      <c r="C745" s="11" t="str">
        <f aca="false">IF(M745&gt;=Assumptions!$B$17,"S+",IF(M745&gt;=Assumptions!$B$18,"S",IF(M745&gt;=Assumptions!$B$19,"A",IF(M745&gt;=Assumptions!$B$20,"B",IF(M745&gt;=Assumptions!$B$21,"C",IF(M745&gt;=Assumptions!$B$22,"D","F"))))))</f>
        <v>D</v>
      </c>
      <c r="D745" s="3" t="s">
        <v>253</v>
      </c>
      <c r="E745" s="3" t="n">
        <v>3</v>
      </c>
      <c r="F745" s="12" t="n">
        <v>0.9378</v>
      </c>
      <c r="G745" s="12" t="n">
        <v>0.6</v>
      </c>
      <c r="H745" s="12" t="n">
        <v>0.75</v>
      </c>
      <c r="I745" s="12" t="n">
        <v>0.7381</v>
      </c>
      <c r="J745" s="12" t="n">
        <v>0.3495</v>
      </c>
      <c r="K745" s="12" t="n">
        <v>0.5437</v>
      </c>
      <c r="L745" s="3" t="n">
        <v>3.65</v>
      </c>
      <c r="M745" s="12" t="n">
        <f aca="false">Z745-W745</f>
        <v>0.0297639999999999</v>
      </c>
      <c r="N745" s="12" t="n">
        <f aca="false">IFERROR((Z745-J745)/L745,"")</f>
        <v>0.0531956164383562</v>
      </c>
      <c r="O745" s="3" t="n">
        <v>17</v>
      </c>
      <c r="P745" s="13" t="b">
        <f aca="false">FALSE()</f>
        <v>0</v>
      </c>
      <c r="Q745" s="3" t="s">
        <v>166</v>
      </c>
      <c r="R745" s="12" t="n">
        <v>0.7444</v>
      </c>
      <c r="S745" s="12" t="n">
        <v>0.5802</v>
      </c>
      <c r="T745" s="3" t="n">
        <v>0.1188</v>
      </c>
      <c r="U745" s="12" t="n">
        <v>0.4344</v>
      </c>
      <c r="V745" s="12" t="n">
        <v>0.4082</v>
      </c>
      <c r="W745" s="12" t="n">
        <v>0.5139</v>
      </c>
      <c r="X745" s="3" t="n">
        <v>0.5627</v>
      </c>
      <c r="Y745" s="3" t="n">
        <v>0.7046</v>
      </c>
      <c r="Z745" s="14" t="n">
        <f aca="false">Assumptions!$B$3*R745+Assumptions!$B$4*S745+IF(AA745=1,Assumptions!$B$11,Assumptions!$B$5)*X745+IF(AA745=1,Assumptions!$B$12,Assumptions!$B$6)*T745+Assumptions!$B$7*U745+Assumptions!$B$8*V745+Assumptions!$B$9*Y745</f>
        <v>0.543664</v>
      </c>
      <c r="AA745" s="3" t="n">
        <v>0</v>
      </c>
    </row>
    <row r="746" customFormat="false" ht="15" hidden="false" customHeight="false" outlineLevel="0" collapsed="false">
      <c r="A746" s="3" t="s">
        <v>931</v>
      </c>
      <c r="B746" s="3" t="n">
        <v>310</v>
      </c>
      <c r="C746" s="11" t="str">
        <f aca="false">IF(M746&gt;=Assumptions!$B$17,"S+",IF(M746&gt;=Assumptions!$B$18,"S",IF(M746&gt;=Assumptions!$B$19,"A",IF(M746&gt;=Assumptions!$B$20,"B",IF(M746&gt;=Assumptions!$B$21,"C",IF(M746&gt;=Assumptions!$B$22,"D","F"))))))</f>
        <v>D</v>
      </c>
      <c r="D746" s="3" t="s">
        <v>206</v>
      </c>
      <c r="E746" s="3" t="n">
        <v>1</v>
      </c>
      <c r="F746" s="12" t="n">
        <v>0.5728</v>
      </c>
      <c r="G746" s="12" t="n">
        <v>0.64</v>
      </c>
      <c r="H746" s="12" t="n">
        <v>0.496</v>
      </c>
      <c r="I746" s="12" t="n">
        <v>0.5852</v>
      </c>
      <c r="J746" s="12" t="n">
        <v>0.2597</v>
      </c>
      <c r="K746" s="12" t="n">
        <v>0.4303</v>
      </c>
      <c r="L746" s="3" t="n">
        <v>6.55</v>
      </c>
      <c r="M746" s="12" t="n">
        <f aca="false">Z746-W746</f>
        <v>0.029798</v>
      </c>
      <c r="N746" s="12" t="n">
        <f aca="false">IFERROR((Z746-J746)/L746,"")</f>
        <v>0.0260454961832061</v>
      </c>
      <c r="O746" s="3" t="n">
        <v>19</v>
      </c>
      <c r="P746" s="13" t="b">
        <f aca="false">FALSE()</f>
        <v>0</v>
      </c>
      <c r="Q746" s="3" t="s">
        <v>166</v>
      </c>
      <c r="R746" s="12" t="n">
        <v>0.5595</v>
      </c>
      <c r="S746" s="12" t="n">
        <v>0.49</v>
      </c>
      <c r="T746" s="3" t="n">
        <v>0.0759</v>
      </c>
      <c r="U746" s="12" t="n">
        <v>0.17</v>
      </c>
      <c r="V746" s="12" t="n">
        <v>0.4614</v>
      </c>
      <c r="W746" s="12" t="n">
        <v>0.4005</v>
      </c>
      <c r="X746" s="3" t="n">
        <v>0.3452</v>
      </c>
      <c r="Y746" s="3" t="n">
        <v>0.5769</v>
      </c>
      <c r="Z746" s="14" t="n">
        <f aca="false">Assumptions!$B$3*R746+Assumptions!$B$4*S746+IF(AA746=1,Assumptions!$B$11,Assumptions!$B$5)*X746+IF(AA746=1,Assumptions!$B$12,Assumptions!$B$6)*T746+Assumptions!$B$7*U746+Assumptions!$B$8*V746+Assumptions!$B$9*Y746</f>
        <v>0.430298</v>
      </c>
      <c r="AA746" s="3" t="n">
        <v>1</v>
      </c>
    </row>
    <row r="747" customFormat="false" ht="15" hidden="false" customHeight="false" outlineLevel="0" collapsed="false">
      <c r="A747" s="3" t="s">
        <v>932</v>
      </c>
      <c r="B747" s="3" t="n">
        <v>465</v>
      </c>
      <c r="C747" s="11" t="str">
        <f aca="false">IF(M747&gt;=Assumptions!$B$17,"S+",IF(M747&gt;=Assumptions!$B$18,"S",IF(M747&gt;=Assumptions!$B$19,"A",IF(M747&gt;=Assumptions!$B$20,"B",IF(M747&gt;=Assumptions!$B$21,"C",IF(M747&gt;=Assumptions!$B$22,"D","F"))))))</f>
        <v>D</v>
      </c>
      <c r="D747" s="3" t="s">
        <v>190</v>
      </c>
      <c r="E747" s="3" t="n">
        <v>1</v>
      </c>
      <c r="F747" s="12" t="n">
        <v>0.8584</v>
      </c>
      <c r="G747" s="12" t="n">
        <v>0.4</v>
      </c>
      <c r="H747" s="12" t="n">
        <v>0.75</v>
      </c>
      <c r="I747" s="12" t="n">
        <v>0.6442</v>
      </c>
      <c r="J747" s="12" t="n">
        <v>0.3542</v>
      </c>
      <c r="K747" s="12" t="n">
        <v>0.5221</v>
      </c>
      <c r="L747" s="3" t="n">
        <v>3.61</v>
      </c>
      <c r="M747" s="12" t="n">
        <f aca="false">Z747-W747</f>
        <v>0.0296979999999999</v>
      </c>
      <c r="N747" s="12" t="n">
        <f aca="false">IFERROR((Z747-J747)/L747,"")</f>
        <v>0.0465091412742382</v>
      </c>
      <c r="O747" s="3" t="n">
        <v>19</v>
      </c>
      <c r="P747" s="13" t="b">
        <f aca="false">FALSE()</f>
        <v>0</v>
      </c>
      <c r="Q747" s="3" t="s">
        <v>166</v>
      </c>
      <c r="R747" s="12" t="n">
        <v>0.8246</v>
      </c>
      <c r="S747" s="12" t="n">
        <v>0.5561</v>
      </c>
      <c r="T747" s="3" t="n">
        <v>0.464</v>
      </c>
      <c r="U747" s="12" t="n">
        <v>0.2146</v>
      </c>
      <c r="V747" s="12" t="n">
        <v>0.4647</v>
      </c>
      <c r="W747" s="12" t="n">
        <v>0.4924</v>
      </c>
      <c r="X747" s="3" t="n">
        <v>0.24</v>
      </c>
      <c r="Y747" s="3" t="n">
        <v>0.5763</v>
      </c>
      <c r="Z747" s="14" t="n">
        <f aca="false">Assumptions!$B$3*R747+Assumptions!$B$4*S747+IF(AA747=1,Assumptions!$B$11,Assumptions!$B$5)*X747+IF(AA747=1,Assumptions!$B$12,Assumptions!$B$6)*T747+Assumptions!$B$7*U747+Assumptions!$B$8*V747+Assumptions!$B$9*Y747</f>
        <v>0.522098</v>
      </c>
      <c r="AA747" s="3" t="n">
        <v>0</v>
      </c>
    </row>
    <row r="748" customFormat="false" ht="15" hidden="false" customHeight="false" outlineLevel="0" collapsed="false">
      <c r="A748" s="3" t="s">
        <v>933</v>
      </c>
      <c r="B748" s="3" t="n">
        <v>490</v>
      </c>
      <c r="C748" s="11" t="str">
        <f aca="false">IF(M748&gt;=Assumptions!$B$17,"S+",IF(M748&gt;=Assumptions!$B$18,"S",IF(M748&gt;=Assumptions!$B$19,"A",IF(M748&gt;=Assumptions!$B$20,"B",IF(M748&gt;=Assumptions!$B$21,"C",IF(M748&gt;=Assumptions!$B$22,"D","F"))))))</f>
        <v>D</v>
      </c>
      <c r="D748" s="3" t="s">
        <v>218</v>
      </c>
      <c r="E748" s="3" t="n">
        <v>7</v>
      </c>
      <c r="F748" s="12" t="n">
        <v>0.7947</v>
      </c>
      <c r="G748" s="12" t="n">
        <v>0.6</v>
      </c>
      <c r="H748" s="12" t="n">
        <v>0.75</v>
      </c>
      <c r="I748" s="12" t="n">
        <v>0.6923</v>
      </c>
      <c r="J748" s="12" t="n">
        <v>0.3504</v>
      </c>
      <c r="K748" s="12" t="n">
        <v>0.5402</v>
      </c>
      <c r="L748" s="3" t="n">
        <v>4</v>
      </c>
      <c r="M748" s="12" t="n">
        <f aca="false">Z748-W748</f>
        <v>0.0294549999999999</v>
      </c>
      <c r="N748" s="12" t="n">
        <f aca="false">IFERROR((Z748-J748)/L748,"")</f>
        <v>0.04743875</v>
      </c>
      <c r="O748" s="3" t="n">
        <v>13</v>
      </c>
      <c r="P748" s="13" t="b">
        <f aca="false">FALSE()</f>
        <v>0</v>
      </c>
      <c r="Q748" s="3" t="s">
        <v>166</v>
      </c>
      <c r="R748" s="12" t="n">
        <v>0.8993</v>
      </c>
      <c r="S748" s="12" t="n">
        <v>0.3804</v>
      </c>
      <c r="T748" s="3" t="n">
        <v>0.3209</v>
      </c>
      <c r="U748" s="12" t="n">
        <v>0.426</v>
      </c>
      <c r="V748" s="12" t="n">
        <v>0.4349</v>
      </c>
      <c r="W748" s="12" t="n">
        <v>0.5107</v>
      </c>
      <c r="X748" s="3" t="n">
        <v>0.318</v>
      </c>
      <c r="Y748" s="3" t="n">
        <v>0.6945</v>
      </c>
      <c r="Z748" s="14" t="n">
        <f aca="false">Assumptions!$B$3*R748+Assumptions!$B$4*S748+IF(AA748=1,Assumptions!$B$11,Assumptions!$B$5)*X748+IF(AA748=1,Assumptions!$B$12,Assumptions!$B$6)*T748+Assumptions!$B$7*U748+Assumptions!$B$8*V748+Assumptions!$B$9*Y748</f>
        <v>0.540155</v>
      </c>
      <c r="AA748" s="3" t="n">
        <v>0</v>
      </c>
    </row>
    <row r="749" customFormat="false" ht="15" hidden="false" customHeight="false" outlineLevel="0" collapsed="false">
      <c r="A749" s="3" t="s">
        <v>934</v>
      </c>
      <c r="B749" s="3" t="n">
        <v>409</v>
      </c>
      <c r="C749" s="11" t="str">
        <f aca="false">IF(M749&gt;=Assumptions!$B$17,"S+",IF(M749&gt;=Assumptions!$B$18,"S",IF(M749&gt;=Assumptions!$B$19,"A",IF(M749&gt;=Assumptions!$B$20,"B",IF(M749&gt;=Assumptions!$B$21,"C",IF(M749&gt;=Assumptions!$B$22,"D","F"))))))</f>
        <v>D</v>
      </c>
      <c r="D749" s="3" t="s">
        <v>180</v>
      </c>
      <c r="E749" s="3" t="n">
        <v>2</v>
      </c>
      <c r="F749" s="12" t="n">
        <v>0.4219</v>
      </c>
      <c r="G749" s="12" t="n">
        <v>0.85</v>
      </c>
      <c r="H749" s="12" t="n">
        <v>0.496</v>
      </c>
      <c r="I749" s="12" t="n">
        <v>0.6936</v>
      </c>
      <c r="J749" s="12" t="n">
        <v>0.384</v>
      </c>
      <c r="K749" s="12" t="n">
        <v>0.5321</v>
      </c>
      <c r="L749" s="3" t="n">
        <v>4.72</v>
      </c>
      <c r="M749" s="12" t="n">
        <f aca="false">Z749-W749</f>
        <v>0.029232</v>
      </c>
      <c r="N749" s="12" t="n">
        <f aca="false">IFERROR((Z749-J749)/L749,"")</f>
        <v>0.0313627118644068</v>
      </c>
      <c r="O749" s="3" t="n">
        <v>18</v>
      </c>
      <c r="P749" s="13" t="b">
        <f aca="false">FALSE()</f>
        <v>0</v>
      </c>
      <c r="Q749" s="3" t="s">
        <v>166</v>
      </c>
      <c r="R749" s="12" t="n">
        <v>0.6988</v>
      </c>
      <c r="S749" s="12" t="n">
        <v>0.4807</v>
      </c>
      <c r="T749" s="3" t="n">
        <v>0.296</v>
      </c>
      <c r="U749" s="12" t="n">
        <v>0.2991</v>
      </c>
      <c r="V749" s="12" t="n">
        <v>0.4731</v>
      </c>
      <c r="W749" s="12" t="n">
        <v>0.5028</v>
      </c>
      <c r="X749" s="3" t="n">
        <v>0.5142</v>
      </c>
      <c r="Y749" s="3" t="n">
        <v>0.6104</v>
      </c>
      <c r="Z749" s="14" t="n">
        <f aca="false">Assumptions!$B$3*R749+Assumptions!$B$4*S749+IF(AA749=1,Assumptions!$B$11,Assumptions!$B$5)*X749+IF(AA749=1,Assumptions!$B$12,Assumptions!$B$6)*T749+Assumptions!$B$7*U749+Assumptions!$B$8*V749+Assumptions!$B$9*Y749</f>
        <v>0.532032</v>
      </c>
      <c r="AA749" s="3" t="n">
        <v>1</v>
      </c>
    </row>
    <row r="750" customFormat="false" ht="15" hidden="false" customHeight="false" outlineLevel="0" collapsed="false">
      <c r="A750" s="3" t="s">
        <v>935</v>
      </c>
      <c r="B750" s="3" t="n">
        <v>500</v>
      </c>
      <c r="C750" s="11" t="str">
        <f aca="false">IF(M750&gt;=Assumptions!$B$17,"S+",IF(M750&gt;=Assumptions!$B$18,"S",IF(M750&gt;=Assumptions!$B$19,"A",IF(M750&gt;=Assumptions!$B$20,"B",IF(M750&gt;=Assumptions!$B$21,"C",IF(M750&gt;=Assumptions!$B$22,"D","F"))))))</f>
        <v>D</v>
      </c>
      <c r="D750" s="3" t="s">
        <v>218</v>
      </c>
      <c r="E750" s="3" t="n">
        <v>3</v>
      </c>
      <c r="F750" s="12" t="n">
        <v>0.509</v>
      </c>
      <c r="G750" s="12" t="n">
        <v>0.6</v>
      </c>
      <c r="H750" s="12" t="n">
        <v>0.75</v>
      </c>
      <c r="I750" s="12" t="n">
        <v>0.6009</v>
      </c>
      <c r="J750" s="12" t="n">
        <v>0.3371</v>
      </c>
      <c r="K750" s="12" t="n">
        <v>0.5349</v>
      </c>
      <c r="L750" s="3" t="n">
        <v>3.5</v>
      </c>
      <c r="M750" s="12" t="n">
        <f aca="false">Z750-W750</f>
        <v>0.029245</v>
      </c>
      <c r="N750" s="12" t="n">
        <f aca="false">IFERROR((Z750-J750)/L750,"")</f>
        <v>0.0565271428571429</v>
      </c>
      <c r="O750" s="3" t="n">
        <v>17</v>
      </c>
      <c r="P750" s="13" t="b">
        <f aca="false">FALSE()</f>
        <v>0</v>
      </c>
      <c r="Q750" s="3" t="s">
        <v>166</v>
      </c>
      <c r="R750" s="12" t="n">
        <v>0.6621</v>
      </c>
      <c r="S750" s="12" t="n">
        <v>0.7429</v>
      </c>
      <c r="T750" s="3" t="n">
        <v>0.4398</v>
      </c>
      <c r="U750" s="12" t="n">
        <v>0.1946</v>
      </c>
      <c r="V750" s="12" t="n">
        <v>0.4584</v>
      </c>
      <c r="W750" s="12" t="n">
        <v>0.5057</v>
      </c>
      <c r="X750" s="3" t="n">
        <v>0.4749</v>
      </c>
      <c r="Y750" s="3" t="n">
        <v>0.5272</v>
      </c>
      <c r="Z750" s="14" t="n">
        <f aca="false">Assumptions!$B$3*R750+Assumptions!$B$4*S750+IF(AA750=1,Assumptions!$B$11,Assumptions!$B$5)*X750+IF(AA750=1,Assumptions!$B$12,Assumptions!$B$6)*T750+Assumptions!$B$7*U750+Assumptions!$B$8*V750+Assumptions!$B$9*Y750</f>
        <v>0.534945</v>
      </c>
      <c r="AA750" s="3" t="n">
        <v>0</v>
      </c>
    </row>
    <row r="751" customFormat="false" ht="15" hidden="false" customHeight="false" outlineLevel="0" collapsed="false">
      <c r="A751" s="3" t="s">
        <v>936</v>
      </c>
      <c r="B751" s="3" t="n">
        <v>580</v>
      </c>
      <c r="C751" s="11" t="str">
        <f aca="false">IF(M751&gt;=Assumptions!$B$17,"S+",IF(M751&gt;=Assumptions!$B$18,"S",IF(M751&gt;=Assumptions!$B$19,"A",IF(M751&gt;=Assumptions!$B$20,"B",IF(M751&gt;=Assumptions!$B$21,"C",IF(M751&gt;=Assumptions!$B$22,"D","F"))))))</f>
        <v>D</v>
      </c>
      <c r="D751" s="3" t="s">
        <v>253</v>
      </c>
      <c r="E751" s="3" t="n">
        <v>9</v>
      </c>
      <c r="F751" s="12" t="n">
        <v>0.8751</v>
      </c>
      <c r="G751" s="12" t="n">
        <v>0.4</v>
      </c>
      <c r="H751" s="12" t="n">
        <v>0.75</v>
      </c>
      <c r="I751" s="12" t="n">
        <v>0.622</v>
      </c>
      <c r="J751" s="12" t="n">
        <v>0.3749</v>
      </c>
      <c r="K751" s="12" t="n">
        <v>0.5577</v>
      </c>
      <c r="L751" s="3" t="n">
        <v>4</v>
      </c>
      <c r="M751" s="12" t="n">
        <f aca="false">Z751-W751</f>
        <v>0.0279349999999999</v>
      </c>
      <c r="N751" s="12" t="n">
        <f aca="false">IFERROR((Z751-J751)/L751,"")</f>
        <v>0.04570875</v>
      </c>
      <c r="O751" s="3" t="n">
        <v>11</v>
      </c>
      <c r="P751" s="13" t="b">
        <f aca="false">FALSE()</f>
        <v>0</v>
      </c>
      <c r="Q751" s="3" t="s">
        <v>166</v>
      </c>
      <c r="R751" s="12" t="n">
        <v>0.8564</v>
      </c>
      <c r="S751" s="12" t="n">
        <v>0.5308</v>
      </c>
      <c r="T751" s="3" t="n">
        <v>0.2519</v>
      </c>
      <c r="U751" s="12" t="n">
        <v>0.4335</v>
      </c>
      <c r="V751" s="12" t="n">
        <v>0.4881</v>
      </c>
      <c r="W751" s="12" t="n">
        <v>0.5298</v>
      </c>
      <c r="X751" s="3" t="n">
        <v>0.4117</v>
      </c>
      <c r="Y751" s="3" t="n">
        <v>0.6231</v>
      </c>
      <c r="Z751" s="14" t="n">
        <f aca="false">Assumptions!$B$3*R751+Assumptions!$B$4*S751+IF(AA751=1,Assumptions!$B$11,Assumptions!$B$5)*X751+IF(AA751=1,Assumptions!$B$12,Assumptions!$B$6)*T751+Assumptions!$B$7*U751+Assumptions!$B$8*V751+Assumptions!$B$9*Y751</f>
        <v>0.557735</v>
      </c>
      <c r="AA751" s="3" t="n">
        <v>0</v>
      </c>
    </row>
    <row r="752" customFormat="false" ht="15" hidden="false" customHeight="false" outlineLevel="0" collapsed="false">
      <c r="A752" s="3" t="s">
        <v>937</v>
      </c>
      <c r="B752" s="3" t="n">
        <v>520</v>
      </c>
      <c r="C752" s="11" t="str">
        <f aca="false">IF(M752&gt;=Assumptions!$B$17,"S+",IF(M752&gt;=Assumptions!$B$18,"S",IF(M752&gt;=Assumptions!$B$19,"A",IF(M752&gt;=Assumptions!$B$20,"B",IF(M752&gt;=Assumptions!$B$21,"C",IF(M752&gt;=Assumptions!$B$22,"D","F"))))))</f>
        <v>D</v>
      </c>
      <c r="D752" s="3" t="s">
        <v>218</v>
      </c>
      <c r="E752" s="3" t="n">
        <v>7</v>
      </c>
      <c r="F752" s="12" t="n">
        <v>0.6027</v>
      </c>
      <c r="G752" s="12" t="n">
        <v>1</v>
      </c>
      <c r="H752" s="12" t="n">
        <v>0.75</v>
      </c>
      <c r="I752" s="12" t="n">
        <v>0.8229</v>
      </c>
      <c r="J752" s="12" t="n">
        <v>0.4027</v>
      </c>
      <c r="K752" s="12" t="n">
        <v>0.5384</v>
      </c>
      <c r="L752" s="3" t="n">
        <v>5</v>
      </c>
      <c r="M752" s="12" t="n">
        <f aca="false">Z752-W752</f>
        <v>0.0276579999999999</v>
      </c>
      <c r="N752" s="12" t="n">
        <f aca="false">IFERROR((Z752-J752)/L752,"")</f>
        <v>0.0271316</v>
      </c>
      <c r="O752" s="3" t="n">
        <v>13</v>
      </c>
      <c r="P752" s="13" t="b">
        <f aca="false">FALSE()</f>
        <v>0</v>
      </c>
      <c r="Q752" s="3" t="s">
        <v>166</v>
      </c>
      <c r="R752" s="12" t="n">
        <v>0.8659</v>
      </c>
      <c r="S752" s="12" t="n">
        <v>0.3854</v>
      </c>
      <c r="T752" s="3" t="n">
        <v>0.3803</v>
      </c>
      <c r="U752" s="12" t="n">
        <v>0.4023</v>
      </c>
      <c r="V752" s="12" t="n">
        <v>0.3732</v>
      </c>
      <c r="W752" s="12" t="n">
        <v>0.5107</v>
      </c>
      <c r="X752" s="3" t="n">
        <v>0.3056</v>
      </c>
      <c r="Y752" s="3" t="n">
        <v>0.796</v>
      </c>
      <c r="Z752" s="14" t="n">
        <f aca="false">Assumptions!$B$3*R752+Assumptions!$B$4*S752+IF(AA752=1,Assumptions!$B$11,Assumptions!$B$5)*X752+IF(AA752=1,Assumptions!$B$12,Assumptions!$B$6)*T752+Assumptions!$B$7*U752+Assumptions!$B$8*V752+Assumptions!$B$9*Y752</f>
        <v>0.538358</v>
      </c>
      <c r="AA752" s="3" t="n">
        <v>0</v>
      </c>
    </row>
    <row r="753" customFormat="false" ht="15" hidden="false" customHeight="false" outlineLevel="0" collapsed="false">
      <c r="A753" s="3" t="s">
        <v>938</v>
      </c>
      <c r="B753" s="3" t="n">
        <v>325</v>
      </c>
      <c r="C753" s="11" t="str">
        <f aca="false">IF(M753&gt;=Assumptions!$B$17,"S+",IF(M753&gt;=Assumptions!$B$18,"S",IF(M753&gt;=Assumptions!$B$19,"A",IF(M753&gt;=Assumptions!$B$20,"B",IF(M753&gt;=Assumptions!$B$21,"C",IF(M753&gt;=Assumptions!$B$22,"D","F"))))))</f>
        <v>D</v>
      </c>
      <c r="D753" s="3" t="s">
        <v>175</v>
      </c>
      <c r="E753" s="3" t="n">
        <v>1</v>
      </c>
      <c r="F753" s="12" t="n">
        <v>0.6735</v>
      </c>
      <c r="G753" s="12" t="n">
        <v>0.6</v>
      </c>
      <c r="H753" s="12" t="n">
        <v>0.75</v>
      </c>
      <c r="I753" s="12" t="n">
        <v>0.641</v>
      </c>
      <c r="J753" s="12" t="n">
        <v>0.2955</v>
      </c>
      <c r="K753" s="12" t="n">
        <v>0.4986</v>
      </c>
      <c r="L753" s="3" t="n">
        <v>5.71</v>
      </c>
      <c r="M753" s="12" t="n">
        <f aca="false">Z753-W753</f>
        <v>0.0277260000000001</v>
      </c>
      <c r="N753" s="12" t="n">
        <f aca="false">IFERROR((Z753-J753)/L753,"")</f>
        <v>0.0355737302977233</v>
      </c>
      <c r="O753" s="3" t="n">
        <v>19</v>
      </c>
      <c r="P753" s="13" t="b">
        <f aca="false">FALSE()</f>
        <v>0</v>
      </c>
      <c r="Q753" s="3" t="s">
        <v>166</v>
      </c>
      <c r="R753" s="12" t="n">
        <v>0.6814</v>
      </c>
      <c r="S753" s="12" t="n">
        <v>0.3673</v>
      </c>
      <c r="T753" s="3" t="n">
        <v>0.1662</v>
      </c>
      <c r="U753" s="12" t="n">
        <v>0.664</v>
      </c>
      <c r="V753" s="12" t="n">
        <v>0.4025</v>
      </c>
      <c r="W753" s="12" t="n">
        <v>0.4709</v>
      </c>
      <c r="X753" s="3" t="n">
        <v>0.4723</v>
      </c>
      <c r="Y753" s="3" t="n">
        <v>0.6018</v>
      </c>
      <c r="Z753" s="14" t="n">
        <f aca="false">Assumptions!$B$3*R753+Assumptions!$B$4*S753+IF(AA753=1,Assumptions!$B$11,Assumptions!$B$5)*X753+IF(AA753=1,Assumptions!$B$12,Assumptions!$B$6)*T753+Assumptions!$B$7*U753+Assumptions!$B$8*V753+Assumptions!$B$9*Y753</f>
        <v>0.498626</v>
      </c>
      <c r="AA753" s="3" t="n">
        <v>0</v>
      </c>
    </row>
    <row r="754" customFormat="false" ht="15" hidden="false" customHeight="false" outlineLevel="0" collapsed="false">
      <c r="A754" s="3" t="s">
        <v>939</v>
      </c>
      <c r="B754" s="3" t="n">
        <v>470</v>
      </c>
      <c r="C754" s="11" t="str">
        <f aca="false">IF(M754&gt;=Assumptions!$B$17,"S+",IF(M754&gt;=Assumptions!$B$18,"S",IF(M754&gt;=Assumptions!$B$19,"A",IF(M754&gt;=Assumptions!$B$20,"B",IF(M754&gt;=Assumptions!$B$21,"C",IF(M754&gt;=Assumptions!$B$22,"D","F"))))))</f>
        <v>D</v>
      </c>
      <c r="D754" s="3" t="s">
        <v>218</v>
      </c>
      <c r="E754" s="3" t="n">
        <v>3</v>
      </c>
      <c r="F754" s="12" t="n">
        <v>0.7541</v>
      </c>
      <c r="G754" s="12" t="n">
        <v>0.6</v>
      </c>
      <c r="H754" s="12" t="n">
        <v>0.75</v>
      </c>
      <c r="I754" s="12" t="n">
        <v>0.6793</v>
      </c>
      <c r="J754" s="12" t="n">
        <v>0.2994</v>
      </c>
      <c r="K754" s="12" t="n">
        <v>0.5479</v>
      </c>
      <c r="L754" s="3" t="n">
        <v>5.65</v>
      </c>
      <c r="M754" s="12" t="n">
        <f aca="false">Z754-W754</f>
        <v>0.027554</v>
      </c>
      <c r="N754" s="12" t="n">
        <f aca="false">IFERROR((Z754-J754)/L754,"")</f>
        <v>0.0439741592920354</v>
      </c>
      <c r="O754" s="3" t="n">
        <v>17</v>
      </c>
      <c r="P754" s="13" t="b">
        <f aca="false">FALSE()</f>
        <v>0</v>
      </c>
      <c r="Q754" s="3" t="s">
        <v>166</v>
      </c>
      <c r="R754" s="12" t="n">
        <v>0.738</v>
      </c>
      <c r="S754" s="12" t="n">
        <v>0.572</v>
      </c>
      <c r="T754" s="3" t="n">
        <v>0.1587</v>
      </c>
      <c r="U754" s="12" t="n">
        <v>0.4344</v>
      </c>
      <c r="V754" s="12" t="n">
        <v>0.3802</v>
      </c>
      <c r="W754" s="12" t="n">
        <v>0.5203</v>
      </c>
      <c r="X754" s="3" t="n">
        <v>0.6503</v>
      </c>
      <c r="Y754" s="3" t="n">
        <v>0.6182</v>
      </c>
      <c r="Z754" s="14" t="n">
        <f aca="false">Assumptions!$B$3*R754+Assumptions!$B$4*S754+IF(AA754=1,Assumptions!$B$11,Assumptions!$B$5)*X754+IF(AA754=1,Assumptions!$B$12,Assumptions!$B$6)*T754+Assumptions!$B$7*U754+Assumptions!$B$8*V754+Assumptions!$B$9*Y754</f>
        <v>0.547854</v>
      </c>
      <c r="AA754" s="3" t="n">
        <v>0</v>
      </c>
    </row>
    <row r="755" customFormat="false" ht="15" hidden="false" customHeight="false" outlineLevel="0" collapsed="false">
      <c r="A755" s="3" t="s">
        <v>940</v>
      </c>
      <c r="B755" s="3" t="n">
        <v>330</v>
      </c>
      <c r="C755" s="11" t="str">
        <f aca="false">IF(M755&gt;=Assumptions!$B$17,"S+",IF(M755&gt;=Assumptions!$B$18,"S",IF(M755&gt;=Assumptions!$B$19,"A",IF(M755&gt;=Assumptions!$B$20,"B",IF(M755&gt;=Assumptions!$B$21,"C",IF(M755&gt;=Assumptions!$B$22,"D","F"))))))</f>
        <v>D</v>
      </c>
      <c r="D755" s="3" t="s">
        <v>173</v>
      </c>
      <c r="E755" s="3" t="n">
        <v>3</v>
      </c>
      <c r="F755" s="12" t="n">
        <v>0.6014</v>
      </c>
      <c r="G755" s="12" t="n">
        <v>0.45</v>
      </c>
      <c r="H755" s="12" t="n">
        <v>0.75</v>
      </c>
      <c r="I755" s="12" t="n">
        <v>0.5373</v>
      </c>
      <c r="J755" s="12" t="n">
        <v>0.2907</v>
      </c>
      <c r="K755" s="12" t="n">
        <v>0.4779</v>
      </c>
      <c r="L755" s="3" t="n">
        <v>5.85</v>
      </c>
      <c r="M755" s="12" t="n">
        <f aca="false">Z755-W755</f>
        <v>0.027428</v>
      </c>
      <c r="N755" s="12" t="n">
        <f aca="false">IFERROR((Z755-J755)/L755,"")</f>
        <v>0.0320047863247863</v>
      </c>
      <c r="O755" s="3" t="n">
        <v>17</v>
      </c>
      <c r="P755" s="13" t="b">
        <f aca="false">FALSE()</f>
        <v>0</v>
      </c>
      <c r="Q755" s="3" t="s">
        <v>166</v>
      </c>
      <c r="R755" s="12" t="n">
        <v>0.5609</v>
      </c>
      <c r="S755" s="12" t="n">
        <v>0.3936</v>
      </c>
      <c r="T755" s="3" t="n">
        <v>0.3917</v>
      </c>
      <c r="U755" s="12" t="n">
        <v>0.4072</v>
      </c>
      <c r="V755" s="12" t="n">
        <v>0.4782</v>
      </c>
      <c r="W755" s="12" t="n">
        <v>0.4505</v>
      </c>
      <c r="X755" s="3" t="n">
        <v>0.4656</v>
      </c>
      <c r="Y755" s="3" t="n">
        <v>0.5232</v>
      </c>
      <c r="Z755" s="14" t="n">
        <f aca="false">Assumptions!$B$3*R755+Assumptions!$B$4*S755+IF(AA755=1,Assumptions!$B$11,Assumptions!$B$5)*X755+IF(AA755=1,Assumptions!$B$12,Assumptions!$B$6)*T755+Assumptions!$B$7*U755+Assumptions!$B$8*V755+Assumptions!$B$9*Y755</f>
        <v>0.477928</v>
      </c>
      <c r="AA755" s="3" t="n">
        <v>1</v>
      </c>
    </row>
    <row r="756" customFormat="false" ht="15" hidden="false" customHeight="false" outlineLevel="0" collapsed="false">
      <c r="A756" s="3" t="s">
        <v>941</v>
      </c>
      <c r="B756" s="3" t="n">
        <v>371</v>
      </c>
      <c r="C756" s="11" t="str">
        <f aca="false">IF(M756&gt;=Assumptions!$B$17,"S+",IF(M756&gt;=Assumptions!$B$18,"S",IF(M756&gt;=Assumptions!$B$19,"A",IF(M756&gt;=Assumptions!$B$20,"B",IF(M756&gt;=Assumptions!$B$21,"C",IF(M756&gt;=Assumptions!$B$22,"D","F"))))))</f>
        <v>D</v>
      </c>
      <c r="D756" s="3" t="s">
        <v>180</v>
      </c>
      <c r="E756" s="3" t="n">
        <v>2</v>
      </c>
      <c r="F756" s="12" t="n">
        <v>0.6987</v>
      </c>
      <c r="G756" s="12" t="n">
        <v>0.85</v>
      </c>
      <c r="H756" s="12" t="n">
        <v>0.5298</v>
      </c>
      <c r="I756" s="12" t="n">
        <v>0.7557</v>
      </c>
      <c r="J756" s="12" t="n">
        <v>0.3998</v>
      </c>
      <c r="K756" s="12" t="n">
        <v>0.515</v>
      </c>
      <c r="L756" s="3" t="n">
        <v>3.67</v>
      </c>
      <c r="M756" s="12" t="n">
        <f aca="false">Z756-W756</f>
        <v>0.027254</v>
      </c>
      <c r="N756" s="12" t="n">
        <f aca="false">IFERROR((Z756-J756)/L756,"")</f>
        <v>0.0313771117166213</v>
      </c>
      <c r="O756" s="3" t="n">
        <v>18</v>
      </c>
      <c r="P756" s="13" t="b">
        <f aca="false">FALSE()</f>
        <v>0</v>
      </c>
      <c r="Q756" s="3" t="s">
        <v>166</v>
      </c>
      <c r="R756" s="12" t="n">
        <v>0.6396</v>
      </c>
      <c r="S756" s="12" t="n">
        <v>0.5021</v>
      </c>
      <c r="T756" s="3" t="n">
        <v>0.1486</v>
      </c>
      <c r="U756" s="12" t="n">
        <v>0.3889</v>
      </c>
      <c r="V756" s="12" t="n">
        <v>0.5367</v>
      </c>
      <c r="W756" s="12" t="n">
        <v>0.4877</v>
      </c>
      <c r="X756" s="3" t="n">
        <v>0.3973</v>
      </c>
      <c r="Y756" s="3" t="n">
        <v>0.7412</v>
      </c>
      <c r="Z756" s="14" t="n">
        <f aca="false">Assumptions!$B$3*R756+Assumptions!$B$4*S756+IF(AA756=1,Assumptions!$B$11,Assumptions!$B$5)*X756+IF(AA756=1,Assumptions!$B$12,Assumptions!$B$6)*T756+Assumptions!$B$7*U756+Assumptions!$B$8*V756+Assumptions!$B$9*Y756</f>
        <v>0.514954</v>
      </c>
      <c r="AA756" s="3" t="n">
        <v>1</v>
      </c>
    </row>
    <row r="757" customFormat="false" ht="15" hidden="false" customHeight="false" outlineLevel="0" collapsed="false">
      <c r="A757" s="3" t="s">
        <v>942</v>
      </c>
      <c r="B757" s="3" t="n">
        <v>430</v>
      </c>
      <c r="C757" s="11" t="str">
        <f aca="false">IF(M757&gt;=Assumptions!$B$17,"S+",IF(M757&gt;=Assumptions!$B$18,"S",IF(M757&gt;=Assumptions!$B$19,"A",IF(M757&gt;=Assumptions!$B$20,"B",IF(M757&gt;=Assumptions!$B$21,"C",IF(M757&gt;=Assumptions!$B$22,"D","F"))))))</f>
        <v>D</v>
      </c>
      <c r="D757" s="3" t="s">
        <v>190</v>
      </c>
      <c r="E757" s="3" t="n">
        <v>3</v>
      </c>
      <c r="F757" s="12" t="n">
        <v>0.8916</v>
      </c>
      <c r="G757" s="12" t="n">
        <v>0.6</v>
      </c>
      <c r="H757" s="12" t="n">
        <v>0.75</v>
      </c>
      <c r="I757" s="12" t="n">
        <v>0.7408</v>
      </c>
      <c r="J757" s="12" t="n">
        <v>0.3058</v>
      </c>
      <c r="K757" s="12" t="n">
        <v>0.5212</v>
      </c>
      <c r="L757" s="3" t="n">
        <v>5.82</v>
      </c>
      <c r="M757" s="12" t="n">
        <f aca="false">Z757-W757</f>
        <v>0.027232</v>
      </c>
      <c r="N757" s="12" t="n">
        <f aca="false">IFERROR((Z757-J757)/L757,"")</f>
        <v>0.0370158075601375</v>
      </c>
      <c r="O757" s="3" t="n">
        <v>17</v>
      </c>
      <c r="P757" s="13" t="b">
        <f aca="false">FALSE()</f>
        <v>0</v>
      </c>
      <c r="Q757" s="3" t="s">
        <v>166</v>
      </c>
      <c r="R757" s="12" t="n">
        <v>0.806</v>
      </c>
      <c r="S757" s="12" t="n">
        <v>0.211</v>
      </c>
      <c r="T757" s="3" t="n">
        <v>0.649</v>
      </c>
      <c r="U757" s="12" t="n">
        <v>0.3982</v>
      </c>
      <c r="V757" s="12" t="n">
        <v>0.282</v>
      </c>
      <c r="W757" s="12" t="n">
        <v>0.494</v>
      </c>
      <c r="X757" s="3" t="n">
        <v>0.3552</v>
      </c>
      <c r="Y757" s="3" t="n">
        <v>0.7447</v>
      </c>
      <c r="Z757" s="14" t="n">
        <f aca="false">Assumptions!$B$3*R757+Assumptions!$B$4*S757+IF(AA757=1,Assumptions!$B$11,Assumptions!$B$5)*X757+IF(AA757=1,Assumptions!$B$12,Assumptions!$B$6)*T757+Assumptions!$B$7*U757+Assumptions!$B$8*V757+Assumptions!$B$9*Y757</f>
        <v>0.521232</v>
      </c>
      <c r="AA757" s="3" t="n">
        <v>0</v>
      </c>
    </row>
    <row r="758" customFormat="false" ht="15" hidden="false" customHeight="false" outlineLevel="0" collapsed="false">
      <c r="A758" s="3" t="s">
        <v>943</v>
      </c>
      <c r="B758" s="3" t="n">
        <v>210</v>
      </c>
      <c r="C758" s="11" t="str">
        <f aca="false">IF(M758&gt;=Assumptions!$B$17,"S+",IF(M758&gt;=Assumptions!$B$18,"S",IF(M758&gt;=Assumptions!$B$19,"A",IF(M758&gt;=Assumptions!$B$20,"B",IF(M758&gt;=Assumptions!$B$21,"C",IF(M758&gt;=Assumptions!$B$22,"D","F"))))))</f>
        <v>D</v>
      </c>
      <c r="D758" s="3" t="s">
        <v>206</v>
      </c>
      <c r="E758" s="3" t="n">
        <v>1</v>
      </c>
      <c r="F758" s="12" t="n">
        <v>0.5013</v>
      </c>
      <c r="G758" s="12" t="n">
        <v>0.76</v>
      </c>
      <c r="H758" s="12" t="n">
        <v>0.5139</v>
      </c>
      <c r="I758" s="12" t="n">
        <v>0.626</v>
      </c>
      <c r="J758" s="12" t="n">
        <v>0.2407</v>
      </c>
      <c r="K758" s="12" t="n">
        <v>0.4429</v>
      </c>
      <c r="L758" s="3" t="n">
        <v>6.76</v>
      </c>
      <c r="M758" s="12" t="n">
        <f aca="false">Z758-W758</f>
        <v>0.027102</v>
      </c>
      <c r="N758" s="12" t="n">
        <f aca="false">IFERROR((Z758-J758)/L758,"")</f>
        <v>0.0299115384615385</v>
      </c>
      <c r="O758" s="3" t="n">
        <v>19</v>
      </c>
      <c r="P758" s="13" t="b">
        <f aca="false">FALSE()</f>
        <v>0</v>
      </c>
      <c r="Q758" s="3" t="s">
        <v>166</v>
      </c>
      <c r="R758" s="12" t="n">
        <v>0.5872</v>
      </c>
      <c r="S758" s="12" t="n">
        <v>0.3692</v>
      </c>
      <c r="T758" s="3" t="n">
        <v>0.0216</v>
      </c>
      <c r="U758" s="12" t="n">
        <v>0.3239</v>
      </c>
      <c r="V758" s="12" t="n">
        <v>0.5104</v>
      </c>
      <c r="W758" s="12" t="n">
        <v>0.4158</v>
      </c>
      <c r="X758" s="3" t="n">
        <v>0.3783</v>
      </c>
      <c r="Y758" s="3" t="n">
        <v>0.5466</v>
      </c>
      <c r="Z758" s="14" t="n">
        <f aca="false">Assumptions!$B$3*R758+Assumptions!$B$4*S758+IF(AA758=1,Assumptions!$B$11,Assumptions!$B$5)*X758+IF(AA758=1,Assumptions!$B$12,Assumptions!$B$6)*T758+Assumptions!$B$7*U758+Assumptions!$B$8*V758+Assumptions!$B$9*Y758</f>
        <v>0.442902</v>
      </c>
      <c r="AA758" s="3" t="n">
        <v>1</v>
      </c>
    </row>
    <row r="759" customFormat="false" ht="15" hidden="false" customHeight="false" outlineLevel="0" collapsed="false">
      <c r="A759" s="3" t="s">
        <v>944</v>
      </c>
      <c r="B759" s="3" t="n">
        <v>525</v>
      </c>
      <c r="C759" s="11" t="str">
        <f aca="false">IF(M759&gt;=Assumptions!$B$17,"S+",IF(M759&gt;=Assumptions!$B$18,"S",IF(M759&gt;=Assumptions!$B$19,"A",IF(M759&gt;=Assumptions!$B$20,"B",IF(M759&gt;=Assumptions!$B$21,"C",IF(M759&gt;=Assumptions!$B$22,"D","F"))))))</f>
        <v>D</v>
      </c>
      <c r="D759" s="3" t="s">
        <v>218</v>
      </c>
      <c r="E759" s="3" t="n">
        <v>4</v>
      </c>
      <c r="F759" s="12" t="n">
        <v>0.831</v>
      </c>
      <c r="G759" s="12" t="n">
        <v>0.4</v>
      </c>
      <c r="H759" s="12" t="n">
        <v>0.75</v>
      </c>
      <c r="I759" s="12" t="n">
        <v>0.6079</v>
      </c>
      <c r="J759" s="12" t="n">
        <v>0.3477</v>
      </c>
      <c r="K759" s="12" t="n">
        <v>0.525</v>
      </c>
      <c r="L759" s="3" t="n">
        <v>3.81</v>
      </c>
      <c r="M759" s="12" t="n">
        <f aca="false">Z759-W759</f>
        <v>0.0268160000000001</v>
      </c>
      <c r="N759" s="12" t="n">
        <f aca="false">IFERROR((Z759-J759)/L759,"")</f>
        <v>0.0465396325459318</v>
      </c>
      <c r="O759" s="3" t="n">
        <v>16</v>
      </c>
      <c r="P759" s="13" t="b">
        <f aca="false">FALSE()</f>
        <v>0</v>
      </c>
      <c r="Q759" s="3" t="s">
        <v>166</v>
      </c>
      <c r="R759" s="12" t="n">
        <v>0.7602</v>
      </c>
      <c r="S759" s="12" t="n">
        <v>0.5851</v>
      </c>
      <c r="T759" s="3" t="n">
        <v>0.2518</v>
      </c>
      <c r="U759" s="12" t="n">
        <v>0.226</v>
      </c>
      <c r="V759" s="12" t="n">
        <v>0.4485</v>
      </c>
      <c r="W759" s="12" t="n">
        <v>0.4982</v>
      </c>
      <c r="X759" s="3" t="n">
        <v>0.4848</v>
      </c>
      <c r="Y759" s="3" t="n">
        <v>0.5988</v>
      </c>
      <c r="Z759" s="14" t="n">
        <f aca="false">Assumptions!$B$3*R759+Assumptions!$B$4*S759+IF(AA759=1,Assumptions!$B$11,Assumptions!$B$5)*X759+IF(AA759=1,Assumptions!$B$12,Assumptions!$B$6)*T759+Assumptions!$B$7*U759+Assumptions!$B$8*V759+Assumptions!$B$9*Y759</f>
        <v>0.525016</v>
      </c>
      <c r="AA759" s="3" t="n">
        <v>0</v>
      </c>
    </row>
    <row r="760" customFormat="false" ht="15" hidden="false" customHeight="false" outlineLevel="0" collapsed="false">
      <c r="A760" s="3" t="s">
        <v>945</v>
      </c>
      <c r="B760" s="3" t="n">
        <v>513</v>
      </c>
      <c r="C760" s="11" t="str">
        <f aca="false">IF(M760&gt;=Assumptions!$B$17,"S+",IF(M760&gt;=Assumptions!$B$18,"S",IF(M760&gt;=Assumptions!$B$19,"A",IF(M760&gt;=Assumptions!$B$20,"B",IF(M760&gt;=Assumptions!$B$21,"C",IF(M760&gt;=Assumptions!$B$22,"D","F"))))))</f>
        <v>D</v>
      </c>
      <c r="D760" s="3" t="s">
        <v>253</v>
      </c>
      <c r="E760" s="3" t="n">
        <v>2</v>
      </c>
      <c r="F760" s="12" t="n">
        <v>0.9161</v>
      </c>
      <c r="G760" s="12" t="n">
        <v>0.6</v>
      </c>
      <c r="H760" s="12" t="n">
        <v>0.75</v>
      </c>
      <c r="I760" s="12" t="n">
        <v>0.7312</v>
      </c>
      <c r="J760" s="12" t="n">
        <v>0.3957</v>
      </c>
      <c r="K760" s="12" t="n">
        <v>0.5547</v>
      </c>
      <c r="L760" s="3" t="n">
        <v>3.72</v>
      </c>
      <c r="M760" s="12" t="n">
        <f aca="false">Z760-W760</f>
        <v>0.0268839999999999</v>
      </c>
      <c r="N760" s="12" t="n">
        <f aca="false">IFERROR((Z760-J760)/L760,"")</f>
        <v>0.0427376344086021</v>
      </c>
      <c r="O760" s="3" t="n">
        <v>18</v>
      </c>
      <c r="P760" s="13" t="b">
        <f aca="false">FALSE()</f>
        <v>0</v>
      </c>
      <c r="Q760" s="3" t="s">
        <v>166</v>
      </c>
      <c r="R760" s="12" t="n">
        <v>0.7871</v>
      </c>
      <c r="S760" s="12" t="n">
        <v>0.6667</v>
      </c>
      <c r="T760" s="3" t="n">
        <v>0.3071</v>
      </c>
      <c r="U760" s="12" t="n">
        <v>0.3461</v>
      </c>
      <c r="V760" s="12" t="n">
        <v>0.4923</v>
      </c>
      <c r="W760" s="12" t="n">
        <v>0.5278</v>
      </c>
      <c r="X760" s="3" t="n">
        <v>0.3743</v>
      </c>
      <c r="Y760" s="3" t="n">
        <v>0.6453</v>
      </c>
      <c r="Z760" s="14" t="n">
        <f aca="false">Assumptions!$B$3*R760+Assumptions!$B$4*S760+IF(AA760=1,Assumptions!$B$11,Assumptions!$B$5)*X760+IF(AA760=1,Assumptions!$B$12,Assumptions!$B$6)*T760+Assumptions!$B$7*U760+Assumptions!$B$8*V760+Assumptions!$B$9*Y760</f>
        <v>0.554684</v>
      </c>
      <c r="AA760" s="3" t="n">
        <v>0</v>
      </c>
    </row>
    <row r="761" customFormat="false" ht="15" hidden="false" customHeight="false" outlineLevel="0" collapsed="false">
      <c r="A761" s="3" t="s">
        <v>946</v>
      </c>
      <c r="B761" s="3" t="n">
        <v>498</v>
      </c>
      <c r="C761" s="11" t="str">
        <f aca="false">IF(M761&gt;=Assumptions!$B$17,"S+",IF(M761&gt;=Assumptions!$B$18,"S",IF(M761&gt;=Assumptions!$B$19,"A",IF(M761&gt;=Assumptions!$B$20,"B",IF(M761&gt;=Assumptions!$B$21,"C",IF(M761&gt;=Assumptions!$B$22,"D","F"))))))</f>
        <v>D</v>
      </c>
      <c r="D761" s="3" t="s">
        <v>197</v>
      </c>
      <c r="E761" s="3" t="n">
        <v>6</v>
      </c>
      <c r="F761" s="12" t="n">
        <v>0.8161</v>
      </c>
      <c r="G761" s="12" t="n">
        <v>0.4</v>
      </c>
      <c r="H761" s="12" t="n">
        <v>0.75</v>
      </c>
      <c r="I761" s="12" t="n">
        <v>0.6281</v>
      </c>
      <c r="J761" s="12" t="n">
        <v>0.2653</v>
      </c>
      <c r="K761" s="12" t="n">
        <v>0.5156</v>
      </c>
      <c r="L761" s="3" t="n">
        <v>5</v>
      </c>
      <c r="M761" s="12" t="n">
        <f aca="false">Z761-W761</f>
        <v>0.026603</v>
      </c>
      <c r="N761" s="12" t="n">
        <f aca="false">IFERROR((Z761-J761)/L761,"")</f>
        <v>0.0500606</v>
      </c>
      <c r="O761" s="3" t="n">
        <v>14</v>
      </c>
      <c r="P761" s="13" t="b">
        <f aca="false">FALSE()</f>
        <v>0</v>
      </c>
      <c r="Q761" s="3" t="s">
        <v>166</v>
      </c>
      <c r="R761" s="12" t="n">
        <v>0.8142</v>
      </c>
      <c r="S761" s="12" t="n">
        <v>0.413</v>
      </c>
      <c r="T761" s="3" t="n">
        <v>0.3665</v>
      </c>
      <c r="U761" s="12" t="n">
        <v>0.2583</v>
      </c>
      <c r="V761" s="12" t="n">
        <v>0.4809</v>
      </c>
      <c r="W761" s="12" t="n">
        <v>0.489</v>
      </c>
      <c r="X761" s="3" t="n">
        <v>0.3512</v>
      </c>
      <c r="Y761" s="3" t="n">
        <v>0.6306</v>
      </c>
      <c r="Z761" s="14" t="n">
        <f aca="false">Assumptions!$B$3*R761+Assumptions!$B$4*S761+IF(AA761=1,Assumptions!$B$11,Assumptions!$B$5)*X761+IF(AA761=1,Assumptions!$B$12,Assumptions!$B$6)*T761+Assumptions!$B$7*U761+Assumptions!$B$8*V761+Assumptions!$B$9*Y761</f>
        <v>0.515603</v>
      </c>
      <c r="AA761" s="3" t="n">
        <v>0</v>
      </c>
    </row>
    <row r="762" customFormat="false" ht="15" hidden="false" customHeight="false" outlineLevel="0" collapsed="false">
      <c r="A762" s="3" t="s">
        <v>947</v>
      </c>
      <c r="B762" s="3" t="n">
        <v>370</v>
      </c>
      <c r="C762" s="11" t="str">
        <f aca="false">IF(M762&gt;=Assumptions!$B$17,"S+",IF(M762&gt;=Assumptions!$B$18,"S",IF(M762&gt;=Assumptions!$B$19,"A",IF(M762&gt;=Assumptions!$B$20,"B",IF(M762&gt;=Assumptions!$B$21,"C",IF(M762&gt;=Assumptions!$B$22,"D","F"))))))</f>
        <v>D</v>
      </c>
      <c r="D762" s="3" t="s">
        <v>203</v>
      </c>
      <c r="E762" s="3" t="n">
        <v>4</v>
      </c>
      <c r="F762" s="12" t="n">
        <v>0.5893</v>
      </c>
      <c r="G762" s="12" t="n">
        <v>1</v>
      </c>
      <c r="H762" s="12" t="n">
        <v>0.75</v>
      </c>
      <c r="I762" s="12" t="n">
        <v>0.8268</v>
      </c>
      <c r="J762" s="12" t="n">
        <v>0.3501</v>
      </c>
      <c r="K762" s="12" t="n">
        <v>0.4991</v>
      </c>
      <c r="L762" s="3" t="n">
        <v>3.75</v>
      </c>
      <c r="M762" s="12" t="n">
        <f aca="false">Z762-W762</f>
        <v>0.0259579999999999</v>
      </c>
      <c r="N762" s="12" t="n">
        <f aca="false">IFERROR((Z762-J762)/L762,"")</f>
        <v>0.0397221333333333</v>
      </c>
      <c r="O762" s="3" t="n">
        <v>16</v>
      </c>
      <c r="P762" s="13" t="b">
        <f aca="false">FALSE()</f>
        <v>0</v>
      </c>
      <c r="Q762" s="3" t="s">
        <v>166</v>
      </c>
      <c r="R762" s="12" t="n">
        <v>0.5963</v>
      </c>
      <c r="S762" s="12" t="n">
        <v>0.3911</v>
      </c>
      <c r="T762" s="3" t="n">
        <v>0.2219</v>
      </c>
      <c r="U762" s="12" t="n">
        <v>0.4327</v>
      </c>
      <c r="V762" s="12" t="n">
        <v>0.5251</v>
      </c>
      <c r="W762" s="12" t="n">
        <v>0.4731</v>
      </c>
      <c r="X762" s="3" t="n">
        <v>0.4861</v>
      </c>
      <c r="Y762" s="3" t="n">
        <v>0.7992</v>
      </c>
      <c r="Z762" s="14" t="n">
        <f aca="false">Assumptions!$B$3*R762+Assumptions!$B$4*S762+IF(AA762=1,Assumptions!$B$11,Assumptions!$B$5)*X762+IF(AA762=1,Assumptions!$B$12,Assumptions!$B$6)*T762+Assumptions!$B$7*U762+Assumptions!$B$8*V762+Assumptions!$B$9*Y762</f>
        <v>0.499058</v>
      </c>
      <c r="AA762" s="3" t="n">
        <v>0</v>
      </c>
    </row>
    <row r="763" customFormat="false" ht="15" hidden="false" customHeight="false" outlineLevel="0" collapsed="false">
      <c r="A763" s="3" t="s">
        <v>948</v>
      </c>
      <c r="B763" s="3" t="n">
        <v>510</v>
      </c>
      <c r="C763" s="11" t="str">
        <f aca="false">IF(M763&gt;=Assumptions!$B$17,"S+",IF(M763&gt;=Assumptions!$B$18,"S",IF(M763&gt;=Assumptions!$B$19,"A",IF(M763&gt;=Assumptions!$B$20,"B",IF(M763&gt;=Assumptions!$B$21,"C",IF(M763&gt;=Assumptions!$B$22,"D","F"))))))</f>
        <v>D</v>
      </c>
      <c r="D763" s="3" t="s">
        <v>228</v>
      </c>
      <c r="E763" s="3" t="n">
        <v>3</v>
      </c>
      <c r="F763" s="12" t="n">
        <v>0.86</v>
      </c>
      <c r="G763" s="12" t="n">
        <v>0.2</v>
      </c>
      <c r="H763" s="12" t="n">
        <v>0.75</v>
      </c>
      <c r="I763" s="12" t="n">
        <v>0.5212</v>
      </c>
      <c r="J763" s="12" t="n">
        <v>0.3538</v>
      </c>
      <c r="K763" s="12" t="n">
        <v>0.5136</v>
      </c>
      <c r="L763" s="3" t="n">
        <v>3.85</v>
      </c>
      <c r="M763" s="12" t="n">
        <f aca="false">Z763-W763</f>
        <v>0.025807</v>
      </c>
      <c r="N763" s="12" t="n">
        <f aca="false">IFERROR((Z763-J763)/L763,"")</f>
        <v>0.0415083116883117</v>
      </c>
      <c r="O763" s="3" t="n">
        <v>17</v>
      </c>
      <c r="P763" s="13" t="b">
        <f aca="false">FALSE()</f>
        <v>0</v>
      </c>
      <c r="Q763" s="3" t="s">
        <v>166</v>
      </c>
      <c r="R763" s="12" t="n">
        <v>0.748</v>
      </c>
      <c r="S763" s="12" t="n">
        <v>0.5988</v>
      </c>
      <c r="T763" s="3" t="n">
        <v>0.2813</v>
      </c>
      <c r="U763" s="12" t="n">
        <v>0.3077</v>
      </c>
      <c r="V763" s="12" t="n">
        <v>0.4913</v>
      </c>
      <c r="W763" s="12" t="n">
        <v>0.4878</v>
      </c>
      <c r="X763" s="3" t="n">
        <v>0.3803</v>
      </c>
      <c r="Y763" s="3" t="n">
        <v>0.4989</v>
      </c>
      <c r="Z763" s="14" t="n">
        <f aca="false">Assumptions!$B$3*R763+Assumptions!$B$4*S763+IF(AA763=1,Assumptions!$B$11,Assumptions!$B$5)*X763+IF(AA763=1,Assumptions!$B$12,Assumptions!$B$6)*T763+Assumptions!$B$7*U763+Assumptions!$B$8*V763+Assumptions!$B$9*Y763</f>
        <v>0.513607</v>
      </c>
      <c r="AA763" s="3" t="n">
        <v>0</v>
      </c>
    </row>
    <row r="764" customFormat="false" ht="15" hidden="false" customHeight="false" outlineLevel="0" collapsed="false">
      <c r="A764" s="3" t="s">
        <v>949</v>
      </c>
      <c r="B764" s="3" t="n">
        <v>330</v>
      </c>
      <c r="C764" s="11" t="str">
        <f aca="false">IF(M764&gt;=Assumptions!$B$17,"S+",IF(M764&gt;=Assumptions!$B$18,"S",IF(M764&gt;=Assumptions!$B$19,"A",IF(M764&gt;=Assumptions!$B$20,"B",IF(M764&gt;=Assumptions!$B$21,"C",IF(M764&gt;=Assumptions!$B$22,"D","F"))))))</f>
        <v>D</v>
      </c>
      <c r="D764" s="3" t="s">
        <v>175</v>
      </c>
      <c r="E764" s="3" t="n">
        <v>1</v>
      </c>
      <c r="F764" s="12" t="n">
        <v>0.7131</v>
      </c>
      <c r="G764" s="12" t="n">
        <v>0.45</v>
      </c>
      <c r="H764" s="12" t="n">
        <v>0.75</v>
      </c>
      <c r="I764" s="12" t="n">
        <v>0.5495</v>
      </c>
      <c r="J764" s="12" t="n">
        <v>0.3054</v>
      </c>
      <c r="K764" s="12" t="n">
        <v>0.4653</v>
      </c>
      <c r="L764" s="3" t="n">
        <v>5.76</v>
      </c>
      <c r="M764" s="12" t="n">
        <f aca="false">Z764-W764</f>
        <v>0.025386</v>
      </c>
      <c r="N764" s="12" t="n">
        <f aca="false">IFERROR((Z764-J764)/L764,"")</f>
        <v>0.0277579861111111</v>
      </c>
      <c r="O764" s="3" t="n">
        <v>19</v>
      </c>
      <c r="P764" s="13" t="b">
        <f aca="false">FALSE()</f>
        <v>0</v>
      </c>
      <c r="Q764" s="3" t="s">
        <v>166</v>
      </c>
      <c r="R764" s="12" t="n">
        <v>0.6924</v>
      </c>
      <c r="S764" s="12" t="n">
        <v>0.4559</v>
      </c>
      <c r="T764" s="3" t="n">
        <v>0.0949</v>
      </c>
      <c r="U764" s="12" t="n">
        <v>0.3036</v>
      </c>
      <c r="V764" s="12" t="n">
        <v>0.4809</v>
      </c>
      <c r="W764" s="12" t="n">
        <v>0.4399</v>
      </c>
      <c r="X764" s="3" t="n">
        <v>0.4245</v>
      </c>
      <c r="Y764" s="3" t="n">
        <v>0.5431</v>
      </c>
      <c r="Z764" s="14" t="n">
        <f aca="false">Assumptions!$B$3*R764+Assumptions!$B$4*S764+IF(AA764=1,Assumptions!$B$11,Assumptions!$B$5)*X764+IF(AA764=1,Assumptions!$B$12,Assumptions!$B$6)*T764+Assumptions!$B$7*U764+Assumptions!$B$8*V764+Assumptions!$B$9*Y764</f>
        <v>0.465286</v>
      </c>
      <c r="AA764" s="3" t="n">
        <v>0</v>
      </c>
    </row>
    <row r="765" customFormat="false" ht="15" hidden="false" customHeight="false" outlineLevel="0" collapsed="false">
      <c r="A765" s="3" t="s">
        <v>950</v>
      </c>
      <c r="B765" s="3" t="n">
        <v>411</v>
      </c>
      <c r="C765" s="11" t="str">
        <f aca="false">IF(M765&gt;=Assumptions!$B$17,"S+",IF(M765&gt;=Assumptions!$B$18,"S",IF(M765&gt;=Assumptions!$B$19,"A",IF(M765&gt;=Assumptions!$B$20,"B",IF(M765&gt;=Assumptions!$B$21,"C",IF(M765&gt;=Assumptions!$B$22,"D","F"))))))</f>
        <v>D</v>
      </c>
      <c r="D765" s="3" t="s">
        <v>206</v>
      </c>
      <c r="E765" s="3" t="n">
        <v>2</v>
      </c>
      <c r="F765" s="12" t="n">
        <v>0.7272</v>
      </c>
      <c r="G765" s="12" t="n">
        <v>0.64</v>
      </c>
      <c r="H765" s="12" t="n">
        <v>0.496</v>
      </c>
      <c r="I765" s="12" t="n">
        <v>0.6284</v>
      </c>
      <c r="J765" s="12" t="n">
        <v>0.3115</v>
      </c>
      <c r="K765" s="12" t="n">
        <v>0.4603</v>
      </c>
      <c r="L765" s="3" t="n">
        <v>4.64</v>
      </c>
      <c r="M765" s="12" t="n">
        <f aca="false">Z765-W765</f>
        <v>0.025011</v>
      </c>
      <c r="N765" s="12" t="n">
        <f aca="false">IFERROR((Z765-J765)/L765,"")</f>
        <v>0.0320713362068966</v>
      </c>
      <c r="O765" s="3" t="n">
        <v>18</v>
      </c>
      <c r="P765" s="13" t="b">
        <f aca="false">FALSE()</f>
        <v>0</v>
      </c>
      <c r="Q765" s="3" t="s">
        <v>166</v>
      </c>
      <c r="R765" s="12" t="n">
        <v>0.6563</v>
      </c>
      <c r="S765" s="12" t="n">
        <v>0.5456</v>
      </c>
      <c r="T765" s="3" t="n">
        <v>0.1628</v>
      </c>
      <c r="U765" s="12" t="n">
        <v>0.235</v>
      </c>
      <c r="V765" s="12" t="n">
        <v>0.4731</v>
      </c>
      <c r="W765" s="12" t="n">
        <v>0.4353</v>
      </c>
      <c r="X765" s="3" t="n">
        <v>0.2835</v>
      </c>
      <c r="Y765" s="3" t="n">
        <v>0.5774</v>
      </c>
      <c r="Z765" s="14" t="n">
        <f aca="false">Assumptions!$B$3*R765+Assumptions!$B$4*S765+IF(AA765=1,Assumptions!$B$11,Assumptions!$B$5)*X765+IF(AA765=1,Assumptions!$B$12,Assumptions!$B$6)*T765+Assumptions!$B$7*U765+Assumptions!$B$8*V765+Assumptions!$B$9*Y765</f>
        <v>0.460311</v>
      </c>
      <c r="AA765" s="3" t="n">
        <v>1</v>
      </c>
    </row>
    <row r="766" customFormat="false" ht="15" hidden="false" customHeight="false" outlineLevel="0" collapsed="false">
      <c r="A766" s="3" t="s">
        <v>951</v>
      </c>
      <c r="B766" s="3" t="n">
        <v>495</v>
      </c>
      <c r="C766" s="11" t="str">
        <f aca="false">IF(M766&gt;=Assumptions!$B$17,"S+",IF(M766&gt;=Assumptions!$B$18,"S",IF(M766&gt;=Assumptions!$B$19,"A",IF(M766&gt;=Assumptions!$B$20,"B",IF(M766&gt;=Assumptions!$B$21,"C",IF(M766&gt;=Assumptions!$B$22,"D","F"))))))</f>
        <v>D</v>
      </c>
      <c r="D766" s="3" t="s">
        <v>253</v>
      </c>
      <c r="E766" s="3" t="n">
        <v>1</v>
      </c>
      <c r="F766" s="12" t="n">
        <v>0.924</v>
      </c>
      <c r="G766" s="12" t="n">
        <v>0.4</v>
      </c>
      <c r="H766" s="12" t="n">
        <v>0.75</v>
      </c>
      <c r="I766" s="12" t="n">
        <v>0.6377</v>
      </c>
      <c r="J766" s="12" t="n">
        <v>0.3816</v>
      </c>
      <c r="K766" s="12" t="n">
        <v>0.5472</v>
      </c>
      <c r="L766" s="3" t="n">
        <v>5.34</v>
      </c>
      <c r="M766" s="12" t="n">
        <f aca="false">Z766-W766</f>
        <v>0.02508</v>
      </c>
      <c r="N766" s="12" t="n">
        <f aca="false">IFERROR((Z766-J766)/L766,"")</f>
        <v>0.0310074906367041</v>
      </c>
      <c r="O766" s="3" t="n">
        <v>19</v>
      </c>
      <c r="P766" s="13" t="b">
        <f aca="false">FALSE()</f>
        <v>0</v>
      </c>
      <c r="Q766" s="3" t="s">
        <v>166</v>
      </c>
      <c r="R766" s="12" t="n">
        <v>0.7491</v>
      </c>
      <c r="S766" s="12" t="n">
        <v>0.6662</v>
      </c>
      <c r="T766" s="3" t="n">
        <v>0.402</v>
      </c>
      <c r="U766" s="12" t="n">
        <v>0.3522</v>
      </c>
      <c r="V766" s="12" t="n">
        <v>0.52</v>
      </c>
      <c r="W766" s="12" t="n">
        <v>0.5221</v>
      </c>
      <c r="X766" s="3" t="n">
        <v>0.3409</v>
      </c>
      <c r="Y766" s="3" t="n">
        <v>0.5728</v>
      </c>
      <c r="Z766" s="14" t="n">
        <f aca="false">Assumptions!$B$3*R766+Assumptions!$B$4*S766+IF(AA766=1,Assumptions!$B$11,Assumptions!$B$5)*X766+IF(AA766=1,Assumptions!$B$12,Assumptions!$B$6)*T766+Assumptions!$B$7*U766+Assumptions!$B$8*V766+Assumptions!$B$9*Y766</f>
        <v>0.54718</v>
      </c>
      <c r="AA766" s="3" t="n">
        <v>0</v>
      </c>
    </row>
    <row r="767" customFormat="false" ht="15" hidden="false" customHeight="false" outlineLevel="0" collapsed="false">
      <c r="A767" s="3" t="s">
        <v>952</v>
      </c>
      <c r="B767" s="3" t="n">
        <v>550</v>
      </c>
      <c r="C767" s="11" t="str">
        <f aca="false">IF(M767&gt;=Assumptions!$B$17,"S+",IF(M767&gt;=Assumptions!$B$18,"S",IF(M767&gt;=Assumptions!$B$19,"A",IF(M767&gt;=Assumptions!$B$20,"B",IF(M767&gt;=Assumptions!$B$21,"C",IF(M767&gt;=Assumptions!$B$22,"D","F"))))))</f>
        <v>D</v>
      </c>
      <c r="D767" s="3" t="s">
        <v>218</v>
      </c>
      <c r="E767" s="3" t="n">
        <v>9</v>
      </c>
      <c r="F767" s="12" t="n">
        <v>0.9373</v>
      </c>
      <c r="G767" s="12" t="n">
        <v>0.6</v>
      </c>
      <c r="H767" s="12" t="n">
        <v>0.75</v>
      </c>
      <c r="I767" s="12" t="n">
        <v>0.7379</v>
      </c>
      <c r="J767" s="12" t="n">
        <v>0.343</v>
      </c>
      <c r="K767" s="12" t="n">
        <v>0.5355</v>
      </c>
      <c r="L767" s="3" t="n">
        <v>4</v>
      </c>
      <c r="M767" s="12" t="n">
        <f aca="false">Z767-W767</f>
        <v>0.0248419999999999</v>
      </c>
      <c r="N767" s="12" t="n">
        <f aca="false">IFERROR((Z767-J767)/L767,"")</f>
        <v>0.0481105</v>
      </c>
      <c r="O767" s="3" t="n">
        <v>11</v>
      </c>
      <c r="P767" s="13" t="b">
        <f aca="false">FALSE()</f>
        <v>0</v>
      </c>
      <c r="Q767" s="3" t="s">
        <v>166</v>
      </c>
      <c r="R767" s="12" t="n">
        <v>0.844</v>
      </c>
      <c r="S767" s="12" t="n">
        <v>0.5086</v>
      </c>
      <c r="T767" s="3" t="n">
        <v>0.0408</v>
      </c>
      <c r="U767" s="12" t="n">
        <v>0.4335</v>
      </c>
      <c r="V767" s="12" t="n">
        <v>0.4408</v>
      </c>
      <c r="W767" s="12" t="n">
        <v>0.5106</v>
      </c>
      <c r="X767" s="3" t="n">
        <v>0.4318</v>
      </c>
      <c r="Y767" s="3" t="n">
        <v>0.7389</v>
      </c>
      <c r="Z767" s="14" t="n">
        <f aca="false">Assumptions!$B$3*R767+Assumptions!$B$4*S767+IF(AA767=1,Assumptions!$B$11,Assumptions!$B$5)*X767+IF(AA767=1,Assumptions!$B$12,Assumptions!$B$6)*T767+Assumptions!$B$7*U767+Assumptions!$B$8*V767+Assumptions!$B$9*Y767</f>
        <v>0.535442</v>
      </c>
      <c r="AA767" s="3" t="n">
        <v>0</v>
      </c>
    </row>
    <row r="768" customFormat="false" ht="15" hidden="false" customHeight="false" outlineLevel="0" collapsed="false">
      <c r="A768" s="3" t="s">
        <v>953</v>
      </c>
      <c r="B768" s="3" t="n">
        <v>485</v>
      </c>
      <c r="C768" s="11" t="str">
        <f aca="false">IF(M768&gt;=Assumptions!$B$17,"S+",IF(M768&gt;=Assumptions!$B$18,"S",IF(M768&gt;=Assumptions!$B$19,"A",IF(M768&gt;=Assumptions!$B$20,"B",IF(M768&gt;=Assumptions!$B$21,"C",IF(M768&gt;=Assumptions!$B$22,"D","F"))))))</f>
        <v>D</v>
      </c>
      <c r="D768" s="3" t="s">
        <v>197</v>
      </c>
      <c r="E768" s="3" t="n">
        <v>2</v>
      </c>
      <c r="F768" s="12" t="n">
        <v>0.8601</v>
      </c>
      <c r="G768" s="12" t="n">
        <v>0.8</v>
      </c>
      <c r="H768" s="12" t="n">
        <v>0.75</v>
      </c>
      <c r="I768" s="12" t="n">
        <v>0.8128</v>
      </c>
      <c r="J768" s="12" t="n">
        <v>0.3908</v>
      </c>
      <c r="K768" s="12" t="n">
        <v>0.5203</v>
      </c>
      <c r="L768" s="3" t="n">
        <v>4.81</v>
      </c>
      <c r="M768" s="12" t="n">
        <f aca="false">Z768-W768</f>
        <v>0.024818</v>
      </c>
      <c r="N768" s="12" t="n">
        <f aca="false">IFERROR((Z768-J768)/L768,"")</f>
        <v>0.0269268191268191</v>
      </c>
      <c r="O768" s="3" t="n">
        <v>18</v>
      </c>
      <c r="P768" s="13" t="b">
        <f aca="false">FALSE()</f>
        <v>0</v>
      </c>
      <c r="Q768" s="3" t="s">
        <v>166</v>
      </c>
      <c r="R768" s="12" t="n">
        <v>0.6767</v>
      </c>
      <c r="S768" s="12" t="n">
        <v>0.4818</v>
      </c>
      <c r="T768" s="3" t="n">
        <v>0.5758</v>
      </c>
      <c r="U768" s="12" t="n">
        <v>0.2735</v>
      </c>
      <c r="V768" s="12" t="n">
        <v>0.4556</v>
      </c>
      <c r="W768" s="12" t="n">
        <v>0.4955</v>
      </c>
      <c r="X768" s="3" t="n">
        <v>0.2824</v>
      </c>
      <c r="Y768" s="3" t="n">
        <v>0.8036</v>
      </c>
      <c r="Z768" s="14" t="n">
        <f aca="false">Assumptions!$B$3*R768+Assumptions!$B$4*S768+IF(AA768=1,Assumptions!$B$11,Assumptions!$B$5)*X768+IF(AA768=1,Assumptions!$B$12,Assumptions!$B$6)*T768+Assumptions!$B$7*U768+Assumptions!$B$8*V768+Assumptions!$B$9*Y768</f>
        <v>0.520318</v>
      </c>
      <c r="AA768" s="3" t="n">
        <v>0</v>
      </c>
    </row>
    <row r="769" customFormat="false" ht="15" hidden="false" customHeight="false" outlineLevel="0" collapsed="false">
      <c r="A769" s="3" t="s">
        <v>954</v>
      </c>
      <c r="B769" s="3" t="n">
        <v>365</v>
      </c>
      <c r="C769" s="11" t="str">
        <f aca="false">IF(M769&gt;=Assumptions!$B$17,"S+",IF(M769&gt;=Assumptions!$B$18,"S",IF(M769&gt;=Assumptions!$B$19,"A",IF(M769&gt;=Assumptions!$B$20,"B",IF(M769&gt;=Assumptions!$B$21,"C",IF(M769&gt;=Assumptions!$B$22,"D","F"))))))</f>
        <v>D</v>
      </c>
      <c r="D769" s="3" t="s">
        <v>186</v>
      </c>
      <c r="E769" s="3" t="n">
        <v>2</v>
      </c>
      <c r="F769" s="12" t="n">
        <v>0.5825</v>
      </c>
      <c r="G769" s="12" t="n">
        <v>0.45</v>
      </c>
      <c r="H769" s="12" t="n">
        <v>0.75</v>
      </c>
      <c r="I769" s="12" t="n">
        <v>0.5339</v>
      </c>
      <c r="J769" s="12" t="n">
        <v>0.2589</v>
      </c>
      <c r="K769" s="12" t="n">
        <v>0.4962</v>
      </c>
      <c r="L769" s="3" t="n">
        <v>3.75</v>
      </c>
      <c r="M769" s="12" t="n">
        <f aca="false">Z769-W769</f>
        <v>0.0241300000000001</v>
      </c>
      <c r="N769" s="12" t="n">
        <f aca="false">IFERROR((Z769-J769)/L769,"")</f>
        <v>0.0632613333333334</v>
      </c>
      <c r="O769" s="3" t="n">
        <v>18</v>
      </c>
      <c r="P769" s="13" t="b">
        <f aca="false">FALSE()</f>
        <v>0</v>
      </c>
      <c r="Q769" s="3" t="s">
        <v>166</v>
      </c>
      <c r="R769" s="12" t="n">
        <v>0.5519</v>
      </c>
      <c r="S769" s="12" t="n">
        <v>0.5547</v>
      </c>
      <c r="T769" s="3" t="n">
        <v>0.1653</v>
      </c>
      <c r="U769" s="12" t="n">
        <v>0.265</v>
      </c>
      <c r="V769" s="12" t="n">
        <v>0.5101</v>
      </c>
      <c r="W769" s="12" t="n">
        <v>0.472</v>
      </c>
      <c r="X769" s="3" t="n">
        <v>0.5662</v>
      </c>
      <c r="Y769" s="3" t="n">
        <v>0.4432</v>
      </c>
      <c r="Z769" s="14" t="n">
        <f aca="false">Assumptions!$B$3*R769+Assumptions!$B$4*S769+IF(AA769=1,Assumptions!$B$11,Assumptions!$B$5)*X769+IF(AA769=1,Assumptions!$B$12,Assumptions!$B$6)*T769+Assumptions!$B$7*U769+Assumptions!$B$8*V769+Assumptions!$B$9*Y769</f>
        <v>0.49613</v>
      </c>
      <c r="AA769" s="3" t="n">
        <v>1</v>
      </c>
    </row>
    <row r="770" customFormat="false" ht="15" hidden="false" customHeight="false" outlineLevel="0" collapsed="false">
      <c r="A770" s="3" t="s">
        <v>955</v>
      </c>
      <c r="B770" s="3" t="n">
        <v>390</v>
      </c>
      <c r="C770" s="11" t="str">
        <f aca="false">IF(M770&gt;=Assumptions!$B$17,"S+",IF(M770&gt;=Assumptions!$B$18,"S",IF(M770&gt;=Assumptions!$B$19,"A",IF(M770&gt;=Assumptions!$B$20,"B",IF(M770&gt;=Assumptions!$B$21,"C",IF(M770&gt;=Assumptions!$B$22,"D","F"))))))</f>
        <v>D</v>
      </c>
      <c r="D770" s="3" t="s">
        <v>197</v>
      </c>
      <c r="E770" s="3" t="n">
        <v>4</v>
      </c>
      <c r="F770" s="12" t="n">
        <v>0.4805</v>
      </c>
      <c r="G770" s="12" t="n">
        <v>0.8</v>
      </c>
      <c r="H770" s="12" t="n">
        <v>0.75</v>
      </c>
      <c r="I770" s="12" t="n">
        <v>0.6686</v>
      </c>
      <c r="J770" s="12" t="n">
        <v>0.31</v>
      </c>
      <c r="K770" s="12" t="n">
        <v>0.5111</v>
      </c>
      <c r="L770" s="3" t="n">
        <v>4.88</v>
      </c>
      <c r="M770" s="12" t="n">
        <f aca="false">Z770-W770</f>
        <v>0.024109</v>
      </c>
      <c r="N770" s="12" t="n">
        <f aca="false">IFERROR((Z770-J770)/L770,"")</f>
        <v>0.0412108606557377</v>
      </c>
      <c r="O770" s="3" t="n">
        <v>16</v>
      </c>
      <c r="P770" s="13" t="b">
        <f aca="false">FALSE()</f>
        <v>0</v>
      </c>
      <c r="Q770" s="3" t="s">
        <v>166</v>
      </c>
      <c r="R770" s="12" t="n">
        <v>0.6199</v>
      </c>
      <c r="S770" s="12" t="n">
        <v>0.5236</v>
      </c>
      <c r="T770" s="3" t="n">
        <v>0.1412</v>
      </c>
      <c r="U770" s="12" t="n">
        <v>0.3221</v>
      </c>
      <c r="V770" s="12" t="n">
        <v>0.4651</v>
      </c>
      <c r="W770" s="12" t="n">
        <v>0.487</v>
      </c>
      <c r="X770" s="3" t="n">
        <v>0.669</v>
      </c>
      <c r="Y770" s="3" t="n">
        <v>0.6404</v>
      </c>
      <c r="Z770" s="14" t="n">
        <f aca="false">Assumptions!$B$3*R770+Assumptions!$B$4*S770+IF(AA770=1,Assumptions!$B$11,Assumptions!$B$5)*X770+IF(AA770=1,Assumptions!$B$12,Assumptions!$B$6)*T770+Assumptions!$B$7*U770+Assumptions!$B$8*V770+Assumptions!$B$9*Y770</f>
        <v>0.511109</v>
      </c>
      <c r="AA770" s="3" t="n">
        <v>0</v>
      </c>
    </row>
    <row r="771" customFormat="false" ht="15" hidden="false" customHeight="false" outlineLevel="0" collapsed="false">
      <c r="A771" s="3" t="s">
        <v>956</v>
      </c>
      <c r="B771" s="3" t="n">
        <v>420</v>
      </c>
      <c r="C771" s="11" t="str">
        <f aca="false">IF(M771&gt;=Assumptions!$B$17,"S+",IF(M771&gt;=Assumptions!$B$18,"S",IF(M771&gt;=Assumptions!$B$19,"A",IF(M771&gt;=Assumptions!$B$20,"B",IF(M771&gt;=Assumptions!$B$21,"C",IF(M771&gt;=Assumptions!$B$22,"D","F"))))))</f>
        <v>D</v>
      </c>
      <c r="D771" s="3" t="s">
        <v>218</v>
      </c>
      <c r="E771" s="3" t="n">
        <v>2</v>
      </c>
      <c r="F771" s="12" t="n">
        <v>0.5322</v>
      </c>
      <c r="G771" s="12" t="n">
        <v>1</v>
      </c>
      <c r="H771" s="12" t="n">
        <v>0.75</v>
      </c>
      <c r="I771" s="12" t="n">
        <v>0.8003</v>
      </c>
      <c r="J771" s="12" t="n">
        <v>0.3595</v>
      </c>
      <c r="K771" s="12" t="n">
        <v>0.5301</v>
      </c>
      <c r="L771" s="3" t="n">
        <v>4.67</v>
      </c>
      <c r="M771" s="12" t="n">
        <f aca="false">Z771-W771</f>
        <v>0.0238530000000001</v>
      </c>
      <c r="N771" s="12" t="n">
        <f aca="false">IFERROR((Z771-J771)/L771,"")</f>
        <v>0.0365423982869379</v>
      </c>
      <c r="O771" s="3" t="n">
        <v>18</v>
      </c>
      <c r="P771" s="13" t="b">
        <f aca="false">FALSE()</f>
        <v>0</v>
      </c>
      <c r="Q771" s="3" t="s">
        <v>166</v>
      </c>
      <c r="R771" s="12" t="n">
        <v>0.7063</v>
      </c>
      <c r="S771" s="12" t="n">
        <v>0.5105</v>
      </c>
      <c r="T771" s="3" t="n">
        <v>0.1675</v>
      </c>
      <c r="U771" s="12" t="n">
        <v>0.4145</v>
      </c>
      <c r="V771" s="12" t="n">
        <v>0.4286</v>
      </c>
      <c r="W771" s="12" t="n">
        <v>0.5063</v>
      </c>
      <c r="X771" s="3" t="n">
        <v>0.5509</v>
      </c>
      <c r="Y771" s="3" t="n">
        <v>0.731</v>
      </c>
      <c r="Z771" s="14" t="n">
        <f aca="false">Assumptions!$B$3*R771+Assumptions!$B$4*S771+IF(AA771=1,Assumptions!$B$11,Assumptions!$B$5)*X771+IF(AA771=1,Assumptions!$B$12,Assumptions!$B$6)*T771+Assumptions!$B$7*U771+Assumptions!$B$8*V771+Assumptions!$B$9*Y771</f>
        <v>0.530153</v>
      </c>
      <c r="AA771" s="3" t="n">
        <v>0</v>
      </c>
    </row>
    <row r="772" customFormat="false" ht="15" hidden="false" customHeight="false" outlineLevel="0" collapsed="false">
      <c r="A772" s="3" t="s">
        <v>957</v>
      </c>
      <c r="B772" s="3" t="n">
        <v>502</v>
      </c>
      <c r="C772" s="11" t="str">
        <f aca="false">IF(M772&gt;=Assumptions!$B$17,"S+",IF(M772&gt;=Assumptions!$B$18,"S",IF(M772&gt;=Assumptions!$B$19,"A",IF(M772&gt;=Assumptions!$B$20,"B",IF(M772&gt;=Assumptions!$B$21,"C",IF(M772&gt;=Assumptions!$B$22,"D","F"))))))</f>
        <v>D</v>
      </c>
      <c r="D772" s="3" t="s">
        <v>253</v>
      </c>
      <c r="E772" s="3" t="n">
        <v>2</v>
      </c>
      <c r="F772" s="12" t="n">
        <v>0.8979</v>
      </c>
      <c r="G772" s="12" t="n">
        <v>0.8</v>
      </c>
      <c r="H772" s="12" t="n">
        <v>0.75</v>
      </c>
      <c r="I772" s="12" t="n">
        <v>0.8213</v>
      </c>
      <c r="J772" s="12" t="n">
        <v>0.4017</v>
      </c>
      <c r="K772" s="12" t="n">
        <v>0.5468</v>
      </c>
      <c r="L772" s="3" t="n">
        <v>4.5</v>
      </c>
      <c r="M772" s="12" t="n">
        <f aca="false">Z772-W772</f>
        <v>0.0232220000000001</v>
      </c>
      <c r="N772" s="12" t="n">
        <f aca="false">IFERROR((Z772-J772)/L772,"")</f>
        <v>0.0322493333333333</v>
      </c>
      <c r="O772" s="3" t="n">
        <v>18</v>
      </c>
      <c r="P772" s="13" t="b">
        <f aca="false">FALSE()</f>
        <v>0</v>
      </c>
      <c r="Q772" s="3" t="s">
        <v>201</v>
      </c>
      <c r="R772" s="12" t="n">
        <v>0.8164</v>
      </c>
      <c r="S772" s="12" t="n">
        <v>0.5087</v>
      </c>
      <c r="T772" s="3" t="n">
        <v>0.3453</v>
      </c>
      <c r="U772" s="12" t="n">
        <v>0.2479</v>
      </c>
      <c r="V772" s="12" t="n">
        <v>0.4857</v>
      </c>
      <c r="W772" s="12" t="n">
        <v>0.5236</v>
      </c>
      <c r="X772" s="3" t="n">
        <v>0.397</v>
      </c>
      <c r="Y772" s="3" t="n">
        <v>0.7508</v>
      </c>
      <c r="Z772" s="14" t="n">
        <f aca="false">Assumptions!$B$3*R772+Assumptions!$B$4*S772+IF(AA772=1,Assumptions!$B$11,Assumptions!$B$5)*X772+IF(AA772=1,Assumptions!$B$12,Assumptions!$B$6)*T772+Assumptions!$B$7*U772+Assumptions!$B$8*V772+Assumptions!$B$9*Y772</f>
        <v>0.546822</v>
      </c>
      <c r="AA772" s="3" t="n">
        <v>0</v>
      </c>
    </row>
    <row r="773" customFormat="false" ht="15" hidden="false" customHeight="false" outlineLevel="0" collapsed="false">
      <c r="A773" s="3" t="s">
        <v>958</v>
      </c>
      <c r="B773" s="3" t="n">
        <v>502</v>
      </c>
      <c r="C773" s="11" t="str">
        <f aca="false">IF(M773&gt;=Assumptions!$B$17,"S+",IF(M773&gt;=Assumptions!$B$18,"S",IF(M773&gt;=Assumptions!$B$19,"A",IF(M773&gt;=Assumptions!$B$20,"B",IF(M773&gt;=Assumptions!$B$21,"C",IF(M773&gt;=Assumptions!$B$22,"D","F"))))))</f>
        <v>D</v>
      </c>
      <c r="D773" s="3" t="s">
        <v>253</v>
      </c>
      <c r="E773" s="3" t="n">
        <v>2</v>
      </c>
      <c r="F773" s="12" t="n">
        <v>0.8979</v>
      </c>
      <c r="G773" s="12" t="n">
        <v>0.8</v>
      </c>
      <c r="H773" s="12" t="n">
        <v>0.75</v>
      </c>
      <c r="I773" s="12" t="n">
        <v>0.8213</v>
      </c>
      <c r="J773" s="12" t="n">
        <v>0.4017</v>
      </c>
      <c r="K773" s="12" t="n">
        <v>0.5468</v>
      </c>
      <c r="L773" s="3" t="n">
        <v>4.5</v>
      </c>
      <c r="M773" s="12" t="n">
        <f aca="false">Z773-W773</f>
        <v>0.0232220000000001</v>
      </c>
      <c r="N773" s="12" t="n">
        <f aca="false">IFERROR((Z773-J773)/L773,"")</f>
        <v>0.0322493333333333</v>
      </c>
      <c r="O773" s="3" t="n">
        <v>18</v>
      </c>
      <c r="P773" s="13" t="b">
        <f aca="false">FALSE()</f>
        <v>0</v>
      </c>
      <c r="Q773" s="3" t="s">
        <v>201</v>
      </c>
      <c r="R773" s="12" t="n">
        <v>0.8164</v>
      </c>
      <c r="S773" s="12" t="n">
        <v>0.5087</v>
      </c>
      <c r="T773" s="3" t="n">
        <v>0.3453</v>
      </c>
      <c r="U773" s="12" t="n">
        <v>0.2479</v>
      </c>
      <c r="V773" s="12" t="n">
        <v>0.4857</v>
      </c>
      <c r="W773" s="12" t="n">
        <v>0.5236</v>
      </c>
      <c r="X773" s="3" t="n">
        <v>0.397</v>
      </c>
      <c r="Y773" s="3" t="n">
        <v>0.7508</v>
      </c>
      <c r="Z773" s="14" t="n">
        <f aca="false">Assumptions!$B$3*R773+Assumptions!$B$4*S773+IF(AA773=1,Assumptions!$B$11,Assumptions!$B$5)*X773+IF(AA773=1,Assumptions!$B$12,Assumptions!$B$6)*T773+Assumptions!$B$7*U773+Assumptions!$B$8*V773+Assumptions!$B$9*Y773</f>
        <v>0.546822</v>
      </c>
      <c r="AA773" s="3" t="n">
        <v>0</v>
      </c>
    </row>
    <row r="774" customFormat="false" ht="15" hidden="false" customHeight="false" outlineLevel="0" collapsed="false">
      <c r="A774" s="3" t="s">
        <v>959</v>
      </c>
      <c r="B774" s="3" t="n">
        <v>460</v>
      </c>
      <c r="C774" s="11" t="str">
        <f aca="false">IF(M774&gt;=Assumptions!$B$17,"S+",IF(M774&gt;=Assumptions!$B$18,"S",IF(M774&gt;=Assumptions!$B$19,"A",IF(M774&gt;=Assumptions!$B$20,"B",IF(M774&gt;=Assumptions!$B$21,"C",IF(M774&gt;=Assumptions!$B$22,"D","F"))))))</f>
        <v>D</v>
      </c>
      <c r="D774" s="3" t="s">
        <v>190</v>
      </c>
      <c r="E774" s="3" t="n">
        <v>2</v>
      </c>
      <c r="F774" s="12" t="n">
        <v>0.6119</v>
      </c>
      <c r="G774" s="12" t="n">
        <v>0.8</v>
      </c>
      <c r="H774" s="12" t="n">
        <v>0.75</v>
      </c>
      <c r="I774" s="12" t="n">
        <v>0.7185</v>
      </c>
      <c r="J774" s="12" t="n">
        <v>0.3744</v>
      </c>
      <c r="K774" s="12" t="n">
        <v>0.5172</v>
      </c>
      <c r="L774" s="3" t="n">
        <v>6.31</v>
      </c>
      <c r="M774" s="12" t="n">
        <f aca="false">Z774-W774</f>
        <v>0.0229559999999999</v>
      </c>
      <c r="N774" s="12" t="n">
        <f aca="false">IFERROR((Z774-J774)/L774,"")</f>
        <v>0.0226396196513471</v>
      </c>
      <c r="O774" s="3" t="n">
        <v>18</v>
      </c>
      <c r="P774" s="13" t="b">
        <f aca="false">FALSE()</f>
        <v>0</v>
      </c>
      <c r="Q774" s="3" t="s">
        <v>166</v>
      </c>
      <c r="R774" s="12" t="n">
        <v>0.738</v>
      </c>
      <c r="S774" s="12" t="n">
        <v>0.4658</v>
      </c>
      <c r="T774" s="3" t="n">
        <v>0.2443</v>
      </c>
      <c r="U774" s="12" t="n">
        <v>0.4786</v>
      </c>
      <c r="V774" s="12" t="n">
        <v>0.4458</v>
      </c>
      <c r="W774" s="12" t="n">
        <v>0.4943</v>
      </c>
      <c r="X774" s="3" t="n">
        <v>0.3637</v>
      </c>
      <c r="Y774" s="3" t="n">
        <v>0.711</v>
      </c>
      <c r="Z774" s="14" t="n">
        <f aca="false">Assumptions!$B$3*R774+Assumptions!$B$4*S774+IF(AA774=1,Assumptions!$B$11,Assumptions!$B$5)*X774+IF(AA774=1,Assumptions!$B$12,Assumptions!$B$6)*T774+Assumptions!$B$7*U774+Assumptions!$B$8*V774+Assumptions!$B$9*Y774</f>
        <v>0.517256</v>
      </c>
      <c r="AA774" s="3" t="n">
        <v>0</v>
      </c>
    </row>
    <row r="775" customFormat="false" ht="15" hidden="false" customHeight="false" outlineLevel="0" collapsed="false">
      <c r="A775" s="3" t="s">
        <v>960</v>
      </c>
      <c r="B775" s="3" t="n">
        <v>420</v>
      </c>
      <c r="C775" s="11" t="str">
        <f aca="false">IF(M775&gt;=Assumptions!$B$17,"S+",IF(M775&gt;=Assumptions!$B$18,"S",IF(M775&gt;=Assumptions!$B$19,"A",IF(M775&gt;=Assumptions!$B$20,"B",IF(M775&gt;=Assumptions!$B$21,"C",IF(M775&gt;=Assumptions!$B$22,"D","F"))))))</f>
        <v>D</v>
      </c>
      <c r="D775" s="3" t="s">
        <v>190</v>
      </c>
      <c r="E775" s="3" t="n">
        <v>1</v>
      </c>
      <c r="F775" s="12" t="n">
        <v>0.6055</v>
      </c>
      <c r="G775" s="12" t="n">
        <v>0.4</v>
      </c>
      <c r="H775" s="12" t="n">
        <v>0.75</v>
      </c>
      <c r="I775" s="12" t="n">
        <v>0.5481</v>
      </c>
      <c r="J775" s="12" t="n">
        <v>0.3353</v>
      </c>
      <c r="K775" s="12" t="n">
        <v>0.5</v>
      </c>
      <c r="L775" s="3" t="n">
        <v>3.32</v>
      </c>
      <c r="M775" s="12" t="n">
        <f aca="false">Z775-W775</f>
        <v>0.022762</v>
      </c>
      <c r="N775" s="12" t="n">
        <f aca="false">IFERROR((Z775-J775)/L775,"")</f>
        <v>0.0495969879518072</v>
      </c>
      <c r="O775" s="3" t="n">
        <v>19</v>
      </c>
      <c r="P775" s="13" t="b">
        <f aca="false">FALSE()</f>
        <v>0</v>
      </c>
      <c r="Q775" s="3" t="s">
        <v>166</v>
      </c>
      <c r="R775" s="12" t="n">
        <v>0.5888</v>
      </c>
      <c r="S775" s="12" t="n">
        <v>0.561</v>
      </c>
      <c r="T775" s="3" t="n">
        <v>0.3272</v>
      </c>
      <c r="U775" s="12" t="n">
        <v>0.3158</v>
      </c>
      <c r="V775" s="12" t="n">
        <v>0.5054</v>
      </c>
      <c r="W775" s="12" t="n">
        <v>0.4772</v>
      </c>
      <c r="X775" s="3" t="n">
        <v>0.5336</v>
      </c>
      <c r="Y775" s="3" t="n">
        <v>0.5091</v>
      </c>
      <c r="Z775" s="14" t="n">
        <f aca="false">Assumptions!$B$3*R775+Assumptions!$B$4*S775+IF(AA775=1,Assumptions!$B$11,Assumptions!$B$5)*X775+IF(AA775=1,Assumptions!$B$12,Assumptions!$B$6)*T775+Assumptions!$B$7*U775+Assumptions!$B$8*V775+Assumptions!$B$9*Y775</f>
        <v>0.499962</v>
      </c>
      <c r="AA775" s="3" t="n">
        <v>0</v>
      </c>
    </row>
    <row r="776" customFormat="false" ht="15" hidden="false" customHeight="false" outlineLevel="0" collapsed="false">
      <c r="A776" s="3" t="s">
        <v>961</v>
      </c>
      <c r="B776" s="3" t="n">
        <v>456</v>
      </c>
      <c r="C776" s="11" t="str">
        <f aca="false">IF(M776&gt;=Assumptions!$B$17,"S+",IF(M776&gt;=Assumptions!$B$18,"S",IF(M776&gt;=Assumptions!$B$19,"A",IF(M776&gt;=Assumptions!$B$20,"B",IF(M776&gt;=Assumptions!$B$21,"C",IF(M776&gt;=Assumptions!$B$22,"D","F"))))))</f>
        <v>D</v>
      </c>
      <c r="D776" s="3" t="s">
        <v>190</v>
      </c>
      <c r="E776" s="3" t="n">
        <v>1</v>
      </c>
      <c r="F776" s="12" t="n">
        <v>0.9016</v>
      </c>
      <c r="G776" s="12" t="n">
        <v>0.8</v>
      </c>
      <c r="H776" s="12" t="n">
        <v>0.75</v>
      </c>
      <c r="I776" s="12" t="n">
        <v>0.8286</v>
      </c>
      <c r="J776" s="12" t="n">
        <v>0.3903</v>
      </c>
      <c r="K776" s="12" t="n">
        <v>0.5213</v>
      </c>
      <c r="L776" s="3" t="n">
        <v>3.76</v>
      </c>
      <c r="M776" s="12" t="n">
        <f aca="false">Z776-W776</f>
        <v>0.021427</v>
      </c>
      <c r="N776" s="12" t="n">
        <f aca="false">IFERROR((Z776-J776)/L776,"")</f>
        <v>0.0348476063829787</v>
      </c>
      <c r="O776" s="3" t="n">
        <v>19</v>
      </c>
      <c r="P776" s="13" t="b">
        <f aca="false">FALSE()</f>
        <v>0</v>
      </c>
      <c r="Q776" s="3" t="s">
        <v>201</v>
      </c>
      <c r="R776" s="12" t="n">
        <v>0.7141</v>
      </c>
      <c r="S776" s="12" t="n">
        <v>0.2451</v>
      </c>
      <c r="T776" s="3" t="n">
        <v>0.9747</v>
      </c>
      <c r="U776" s="12" t="n">
        <v>0.4211</v>
      </c>
      <c r="V776" s="12" t="n">
        <v>0.4038</v>
      </c>
      <c r="W776" s="12" t="n">
        <v>0.4999</v>
      </c>
      <c r="X776" s="3" t="n">
        <v>0.1289</v>
      </c>
      <c r="Y776" s="3" t="n">
        <v>0.7478</v>
      </c>
      <c r="Z776" s="14" t="n">
        <f aca="false">Assumptions!$B$3*R776+Assumptions!$B$4*S776+IF(AA776=1,Assumptions!$B$11,Assumptions!$B$5)*X776+IF(AA776=1,Assumptions!$B$12,Assumptions!$B$6)*T776+Assumptions!$B$7*U776+Assumptions!$B$8*V776+Assumptions!$B$9*Y776</f>
        <v>0.521327</v>
      </c>
      <c r="AA776" s="3" t="n">
        <v>0</v>
      </c>
    </row>
    <row r="777" customFormat="false" ht="15" hidden="false" customHeight="false" outlineLevel="0" collapsed="false">
      <c r="A777" s="3" t="s">
        <v>962</v>
      </c>
      <c r="B777" s="3" t="n">
        <v>400</v>
      </c>
      <c r="C777" s="11" t="str">
        <f aca="false">IF(M777&gt;=Assumptions!$B$17,"S+",IF(M777&gt;=Assumptions!$B$18,"S",IF(M777&gt;=Assumptions!$B$19,"A",IF(M777&gt;=Assumptions!$B$20,"B",IF(M777&gt;=Assumptions!$B$21,"C",IF(M777&gt;=Assumptions!$B$22,"D","F"))))))</f>
        <v>D</v>
      </c>
      <c r="D777" s="3" t="s">
        <v>175</v>
      </c>
      <c r="E777" s="3" t="n">
        <v>1</v>
      </c>
      <c r="F777" s="12" t="n">
        <v>0.6621</v>
      </c>
      <c r="G777" s="12" t="n">
        <v>0.45</v>
      </c>
      <c r="H777" s="12" t="n">
        <v>0.75</v>
      </c>
      <c r="I777" s="12" t="n">
        <v>0.5418</v>
      </c>
      <c r="J777" s="12" t="n">
        <v>0.3285</v>
      </c>
      <c r="K777" s="12" t="n">
        <v>0.4565</v>
      </c>
      <c r="L777" s="3" t="n">
        <v>5.61</v>
      </c>
      <c r="M777" s="12" t="n">
        <f aca="false">Z777-W777</f>
        <v>0.021318</v>
      </c>
      <c r="N777" s="12" t="n">
        <f aca="false">IFERROR((Z777-J777)/L777,"")</f>
        <v>0.0228196078431372</v>
      </c>
      <c r="O777" s="3" t="n">
        <v>19</v>
      </c>
      <c r="P777" s="13" t="b">
        <f aca="false">FALSE()</f>
        <v>0</v>
      </c>
      <c r="Q777" s="3" t="s">
        <v>166</v>
      </c>
      <c r="R777" s="12" t="n">
        <v>0.6602</v>
      </c>
      <c r="S777" s="12" t="n">
        <v>0.5479</v>
      </c>
      <c r="T777" s="3" t="n">
        <v>0.2823</v>
      </c>
      <c r="U777" s="12" t="n">
        <v>0.2429</v>
      </c>
      <c r="V777" s="12" t="n">
        <v>0.4905</v>
      </c>
      <c r="W777" s="12" t="n">
        <v>0.4352</v>
      </c>
      <c r="X777" s="3" t="n">
        <v>0.2675</v>
      </c>
      <c r="Y777" s="3" t="n">
        <v>0.4776</v>
      </c>
      <c r="Z777" s="14" t="n">
        <f aca="false">Assumptions!$B$3*R777+Assumptions!$B$4*S777+IF(AA777=1,Assumptions!$B$11,Assumptions!$B$5)*X777+IF(AA777=1,Assumptions!$B$12,Assumptions!$B$6)*T777+Assumptions!$B$7*U777+Assumptions!$B$8*V777+Assumptions!$B$9*Y777</f>
        <v>0.456518</v>
      </c>
      <c r="AA777" s="3" t="n">
        <v>0</v>
      </c>
    </row>
    <row r="778" customFormat="false" ht="15" hidden="false" customHeight="false" outlineLevel="0" collapsed="false">
      <c r="A778" s="3" t="s">
        <v>963</v>
      </c>
      <c r="B778" s="3" t="n">
        <v>390</v>
      </c>
      <c r="C778" s="11" t="str">
        <f aca="false">IF(M778&gt;=Assumptions!$B$17,"S+",IF(M778&gt;=Assumptions!$B$18,"S",IF(M778&gt;=Assumptions!$B$19,"A",IF(M778&gt;=Assumptions!$B$20,"B",IF(M778&gt;=Assumptions!$B$21,"C",IF(M778&gt;=Assumptions!$B$22,"D","F"))))))</f>
        <v>D</v>
      </c>
      <c r="D778" s="3" t="s">
        <v>197</v>
      </c>
      <c r="E778" s="3" t="n">
        <v>1</v>
      </c>
      <c r="F778" s="12" t="n">
        <v>0.8762</v>
      </c>
      <c r="G778" s="12" t="n">
        <v>1</v>
      </c>
      <c r="H778" s="12" t="n">
        <v>0.75</v>
      </c>
      <c r="I778" s="12" t="n">
        <v>0.903</v>
      </c>
      <c r="J778" s="12" t="n">
        <v>0.3941</v>
      </c>
      <c r="K778" s="12" t="n">
        <v>0.5307</v>
      </c>
      <c r="L778" s="3" t="n">
        <v>5.39</v>
      </c>
      <c r="M778" s="12" t="n">
        <f aca="false">Z778-W778</f>
        <v>0.021031</v>
      </c>
      <c r="N778" s="12" t="n">
        <f aca="false">IFERROR((Z778-J778)/L778,"")</f>
        <v>0.0253489795918367</v>
      </c>
      <c r="O778" s="3" t="n">
        <v>19</v>
      </c>
      <c r="P778" s="13" t="b">
        <f aca="false">FALSE()</f>
        <v>0</v>
      </c>
      <c r="Q778" s="3" t="s">
        <v>166</v>
      </c>
      <c r="R778" s="12" t="n">
        <v>0.7631</v>
      </c>
      <c r="S778" s="12" t="n">
        <v>0.4021</v>
      </c>
      <c r="T778" s="3" t="n">
        <v>0.5076</v>
      </c>
      <c r="U778" s="12" t="n">
        <v>0.4494</v>
      </c>
      <c r="V778" s="12" t="n">
        <v>0.5324</v>
      </c>
      <c r="W778" s="12" t="n">
        <v>0.5097</v>
      </c>
      <c r="X778" s="3" t="n">
        <v>0.1524</v>
      </c>
      <c r="Y778" s="3" t="n">
        <v>0.8321</v>
      </c>
      <c r="Z778" s="14" t="n">
        <f aca="false">Assumptions!$B$3*R778+Assumptions!$B$4*S778+IF(AA778=1,Assumptions!$B$11,Assumptions!$B$5)*X778+IF(AA778=1,Assumptions!$B$12,Assumptions!$B$6)*T778+Assumptions!$B$7*U778+Assumptions!$B$8*V778+Assumptions!$B$9*Y778</f>
        <v>0.530731</v>
      </c>
      <c r="AA778" s="3" t="n">
        <v>0</v>
      </c>
    </row>
    <row r="779" customFormat="false" ht="15" hidden="false" customHeight="false" outlineLevel="0" collapsed="false">
      <c r="A779" s="3" t="s">
        <v>964</v>
      </c>
      <c r="B779" s="3" t="n">
        <v>487</v>
      </c>
      <c r="C779" s="11" t="str">
        <f aca="false">IF(M779&gt;=Assumptions!$B$17,"S+",IF(M779&gt;=Assumptions!$B$18,"S",IF(M779&gt;=Assumptions!$B$19,"A",IF(M779&gt;=Assumptions!$B$20,"B",IF(M779&gt;=Assumptions!$B$21,"C",IF(M779&gt;=Assumptions!$B$22,"D","F"))))))</f>
        <v>D</v>
      </c>
      <c r="D779" s="3" t="s">
        <v>218</v>
      </c>
      <c r="E779" s="3" t="n">
        <v>3</v>
      </c>
      <c r="F779" s="12" t="n">
        <v>0.8664</v>
      </c>
      <c r="G779" s="12" t="n">
        <v>0.4</v>
      </c>
      <c r="H779" s="12" t="n">
        <v>0.75</v>
      </c>
      <c r="I779" s="12" t="n">
        <v>0.6192</v>
      </c>
      <c r="J779" s="12" t="n">
        <v>0.3891</v>
      </c>
      <c r="K779" s="12" t="n">
        <v>0.5238</v>
      </c>
      <c r="L779" s="3" t="n">
        <v>3.88</v>
      </c>
      <c r="M779" s="12" t="n">
        <f aca="false">Z779-W779</f>
        <v>0.0205390000000001</v>
      </c>
      <c r="N779" s="12" t="n">
        <f aca="false">IFERROR((Z779-J779)/L779,"")</f>
        <v>0.0347265463917526</v>
      </c>
      <c r="O779" s="3" t="n">
        <v>17</v>
      </c>
      <c r="P779" s="13" t="b">
        <f aca="false">FALSE()</f>
        <v>0</v>
      </c>
      <c r="Q779" s="3" t="s">
        <v>166</v>
      </c>
      <c r="R779" s="12" t="n">
        <v>0.8361</v>
      </c>
      <c r="S779" s="12" t="n">
        <v>0.454</v>
      </c>
      <c r="T779" s="3" t="n">
        <v>0.3513</v>
      </c>
      <c r="U779" s="12" t="n">
        <v>0.3303</v>
      </c>
      <c r="V779" s="12" t="n">
        <v>0.3849</v>
      </c>
      <c r="W779" s="12" t="n">
        <v>0.5033</v>
      </c>
      <c r="X779" s="3" t="n">
        <v>0.3758</v>
      </c>
      <c r="Y779" s="3" t="n">
        <v>0.607</v>
      </c>
      <c r="Z779" s="14" t="n">
        <f aca="false">Assumptions!$B$3*R779+Assumptions!$B$4*S779+IF(AA779=1,Assumptions!$B$11,Assumptions!$B$5)*X779+IF(AA779=1,Assumptions!$B$12,Assumptions!$B$6)*T779+Assumptions!$B$7*U779+Assumptions!$B$8*V779+Assumptions!$B$9*Y779</f>
        <v>0.523839</v>
      </c>
      <c r="AA779" s="3" t="n">
        <v>0</v>
      </c>
    </row>
    <row r="780" customFormat="false" ht="15" hidden="false" customHeight="false" outlineLevel="0" collapsed="false">
      <c r="A780" s="3" t="s">
        <v>965</v>
      </c>
      <c r="B780" s="3" t="n">
        <v>360</v>
      </c>
      <c r="C780" s="11" t="str">
        <f aca="false">IF(M780&gt;=Assumptions!$B$17,"S+",IF(M780&gt;=Assumptions!$B$18,"S",IF(M780&gt;=Assumptions!$B$19,"A",IF(M780&gt;=Assumptions!$B$20,"B",IF(M780&gt;=Assumptions!$B$21,"C",IF(M780&gt;=Assumptions!$B$22,"D","F"))))))</f>
        <v>D</v>
      </c>
      <c r="D780" s="3" t="s">
        <v>190</v>
      </c>
      <c r="E780" s="3" t="n">
        <v>3</v>
      </c>
      <c r="F780" s="12" t="n">
        <v>0.7214</v>
      </c>
      <c r="G780" s="12" t="n">
        <v>0.6</v>
      </c>
      <c r="H780" s="12" t="n">
        <v>0.75</v>
      </c>
      <c r="I780" s="12" t="n">
        <v>0.6761</v>
      </c>
      <c r="J780" s="12" t="n">
        <v>0.3472</v>
      </c>
      <c r="K780" s="12" t="n">
        <v>0.5134</v>
      </c>
      <c r="L780" s="3" t="n">
        <v>5.82</v>
      </c>
      <c r="M780" s="12" t="n">
        <f aca="false">Z780-W780</f>
        <v>0.0199479999999999</v>
      </c>
      <c r="N780" s="12" t="n">
        <f aca="false">IFERROR((Z780-J780)/L780,"")</f>
        <v>0.028547766323024</v>
      </c>
      <c r="O780" s="3" t="n">
        <v>17</v>
      </c>
      <c r="P780" s="13" t="b">
        <f aca="false">FALSE()</f>
        <v>0</v>
      </c>
      <c r="Q780" s="3" t="s">
        <v>166</v>
      </c>
      <c r="R780" s="12" t="n">
        <v>0.6192</v>
      </c>
      <c r="S780" s="12" t="n">
        <v>0.3509</v>
      </c>
      <c r="T780" s="3" t="n">
        <v>0.4348</v>
      </c>
      <c r="U780" s="12" t="n">
        <v>0.457</v>
      </c>
      <c r="V780" s="12" t="n">
        <v>0.5071</v>
      </c>
      <c r="W780" s="12" t="n">
        <v>0.4934</v>
      </c>
      <c r="X780" s="3" t="n">
        <v>0.4879</v>
      </c>
      <c r="Y780" s="3" t="n">
        <v>0.68</v>
      </c>
      <c r="Z780" s="14" t="n">
        <f aca="false">Assumptions!$B$3*R780+Assumptions!$B$4*S780+IF(AA780=1,Assumptions!$B$11,Assumptions!$B$5)*X780+IF(AA780=1,Assumptions!$B$12,Assumptions!$B$6)*T780+Assumptions!$B$7*U780+Assumptions!$B$8*V780+Assumptions!$B$9*Y780</f>
        <v>0.513348</v>
      </c>
      <c r="AA780" s="3" t="n">
        <v>0</v>
      </c>
    </row>
    <row r="781" customFormat="false" ht="15" hidden="false" customHeight="false" outlineLevel="0" collapsed="false">
      <c r="A781" s="3" t="s">
        <v>966</v>
      </c>
      <c r="B781" s="3" t="n">
        <v>455</v>
      </c>
      <c r="C781" s="11" t="str">
        <f aca="false">IF(M781&gt;=Assumptions!$B$17,"S+",IF(M781&gt;=Assumptions!$B$18,"S",IF(M781&gt;=Assumptions!$B$19,"A",IF(M781&gt;=Assumptions!$B$20,"B",IF(M781&gt;=Assumptions!$B$21,"C",IF(M781&gt;=Assumptions!$B$22,"D","F"))))))</f>
        <v>D</v>
      </c>
      <c r="D781" s="3" t="s">
        <v>218</v>
      </c>
      <c r="E781" s="3" t="n">
        <v>3</v>
      </c>
      <c r="F781" s="12" t="n">
        <v>0.617</v>
      </c>
      <c r="G781" s="12" t="n">
        <v>1</v>
      </c>
      <c r="H781" s="12" t="n">
        <v>0.75</v>
      </c>
      <c r="I781" s="12" t="n">
        <v>0.8274</v>
      </c>
      <c r="J781" s="12" t="n">
        <v>0.3789</v>
      </c>
      <c r="K781" s="12" t="n">
        <v>0.5159</v>
      </c>
      <c r="L781" s="3" t="n">
        <v>3.88</v>
      </c>
      <c r="M781" s="12" t="n">
        <f aca="false">Z781-W781</f>
        <v>0.019895</v>
      </c>
      <c r="N781" s="12" t="n">
        <f aca="false">IFERROR((Z781-J781)/L781,"")</f>
        <v>0.0353079896907216</v>
      </c>
      <c r="O781" s="3" t="n">
        <v>17</v>
      </c>
      <c r="P781" s="13" t="b">
        <f aca="false">FALSE()</f>
        <v>0</v>
      </c>
      <c r="Q781" s="3" t="s">
        <v>166</v>
      </c>
      <c r="R781" s="12" t="n">
        <v>0.7425</v>
      </c>
      <c r="S781" s="12" t="n">
        <v>0.2908</v>
      </c>
      <c r="T781" s="3" t="n">
        <v>0.7672</v>
      </c>
      <c r="U781" s="12" t="n">
        <v>0.4027</v>
      </c>
      <c r="V781" s="12" t="n">
        <v>0.4857</v>
      </c>
      <c r="W781" s="12" t="n">
        <v>0.496</v>
      </c>
      <c r="X781" s="3" t="n">
        <v>0.0854</v>
      </c>
      <c r="Y781" s="3" t="n">
        <v>0.798</v>
      </c>
      <c r="Z781" s="14" t="n">
        <f aca="false">Assumptions!$B$3*R781+Assumptions!$B$4*S781+IF(AA781=1,Assumptions!$B$11,Assumptions!$B$5)*X781+IF(AA781=1,Assumptions!$B$12,Assumptions!$B$6)*T781+Assumptions!$B$7*U781+Assumptions!$B$8*V781+Assumptions!$B$9*Y781</f>
        <v>0.515895</v>
      </c>
      <c r="AA781" s="3" t="n">
        <v>0</v>
      </c>
    </row>
    <row r="782" customFormat="false" ht="15" hidden="false" customHeight="false" outlineLevel="0" collapsed="false">
      <c r="A782" s="3" t="s">
        <v>967</v>
      </c>
      <c r="B782" s="3" t="n">
        <v>420</v>
      </c>
      <c r="C782" s="11" t="str">
        <f aca="false">IF(M782&gt;=Assumptions!$B$17,"S+",IF(M782&gt;=Assumptions!$B$18,"S",IF(M782&gt;=Assumptions!$B$19,"A",IF(M782&gt;=Assumptions!$B$20,"B",IF(M782&gt;=Assumptions!$B$21,"C",IF(M782&gt;=Assumptions!$B$22,"D","F"))))))</f>
        <v>D</v>
      </c>
      <c r="D782" s="3" t="s">
        <v>218</v>
      </c>
      <c r="E782" s="3" t="n">
        <v>4</v>
      </c>
      <c r="F782" s="12" t="n">
        <v>0.3326</v>
      </c>
      <c r="G782" s="12" t="n">
        <v>1</v>
      </c>
      <c r="H782" s="12" t="n">
        <v>0.75</v>
      </c>
      <c r="I782" s="12" t="n">
        <v>0.7364</v>
      </c>
      <c r="J782" s="12" t="n">
        <v>0.3422</v>
      </c>
      <c r="K782" s="12" t="n">
        <v>0.5392</v>
      </c>
      <c r="L782" s="3" t="n">
        <v>4.25</v>
      </c>
      <c r="M782" s="12" t="n">
        <f aca="false">Z782-W782</f>
        <v>0.019755</v>
      </c>
      <c r="N782" s="12" t="n">
        <f aca="false">IFERROR((Z782-J782)/L782,"")</f>
        <v>0.0463423529411765</v>
      </c>
      <c r="O782" s="3" t="n">
        <v>16</v>
      </c>
      <c r="P782" s="13" t="b">
        <f aca="false">FALSE()</f>
        <v>0</v>
      </c>
      <c r="Q782" s="3" t="s">
        <v>166</v>
      </c>
      <c r="R782" s="12" t="n">
        <v>0.6343</v>
      </c>
      <c r="S782" s="12" t="n">
        <v>0.5659</v>
      </c>
      <c r="T782" s="3" t="n">
        <v>0.5286</v>
      </c>
      <c r="U782" s="12" t="n">
        <v>0.399</v>
      </c>
      <c r="V782" s="12" t="n">
        <v>0.4632</v>
      </c>
      <c r="W782" s="12" t="n">
        <v>0.5194</v>
      </c>
      <c r="X782" s="3" t="n">
        <v>0.3968</v>
      </c>
      <c r="Y782" s="3" t="n">
        <v>0.7158</v>
      </c>
      <c r="Z782" s="14" t="n">
        <f aca="false">Assumptions!$B$3*R782+Assumptions!$B$4*S782+IF(AA782=1,Assumptions!$B$11,Assumptions!$B$5)*X782+IF(AA782=1,Assumptions!$B$12,Assumptions!$B$6)*T782+Assumptions!$B$7*U782+Assumptions!$B$8*V782+Assumptions!$B$9*Y782</f>
        <v>0.539155</v>
      </c>
      <c r="AA782" s="3" t="n">
        <v>0</v>
      </c>
    </row>
    <row r="783" customFormat="false" ht="15" hidden="false" customHeight="false" outlineLevel="0" collapsed="false">
      <c r="A783" s="3" t="s">
        <v>968</v>
      </c>
      <c r="B783" s="3" t="n">
        <v>405</v>
      </c>
      <c r="C783" s="11" t="str">
        <f aca="false">IF(M783&gt;=Assumptions!$B$17,"S+",IF(M783&gt;=Assumptions!$B$18,"S",IF(M783&gt;=Assumptions!$B$19,"A",IF(M783&gt;=Assumptions!$B$20,"B",IF(M783&gt;=Assumptions!$B$21,"C",IF(M783&gt;=Assumptions!$B$22,"D","F"))))))</f>
        <v>D</v>
      </c>
      <c r="D783" s="3" t="s">
        <v>218</v>
      </c>
      <c r="E783" s="3" t="n">
        <v>3</v>
      </c>
      <c r="F783" s="12" t="n">
        <v>0.8648</v>
      </c>
      <c r="G783" s="12" t="n">
        <v>1</v>
      </c>
      <c r="H783" s="12" t="n">
        <v>0.75</v>
      </c>
      <c r="I783" s="12" t="n">
        <v>0.9067</v>
      </c>
      <c r="J783" s="12" t="n">
        <v>0.3707</v>
      </c>
      <c r="K783" s="12" t="n">
        <v>0.5282</v>
      </c>
      <c r="L783" s="3" t="n">
        <v>3.79</v>
      </c>
      <c r="M783" s="12" t="n">
        <f aca="false">Z783-W783</f>
        <v>0.0198020000000001</v>
      </c>
      <c r="N783" s="12" t="n">
        <f aca="false">IFERROR((Z783-J783)/L783,"")</f>
        <v>0.0415572559366755</v>
      </c>
      <c r="O783" s="3" t="n">
        <v>17</v>
      </c>
      <c r="P783" s="13" t="b">
        <f aca="false">FALSE()</f>
        <v>0</v>
      </c>
      <c r="Q783" s="3" t="s">
        <v>166</v>
      </c>
      <c r="R783" s="12" t="n">
        <v>0.7978</v>
      </c>
      <c r="S783" s="12" t="n">
        <v>0.5166</v>
      </c>
      <c r="T783" s="3" t="n">
        <v>0.1237</v>
      </c>
      <c r="U783" s="12" t="n">
        <v>0.4299</v>
      </c>
      <c r="V783" s="12" t="n">
        <v>0.4638</v>
      </c>
      <c r="W783" s="12" t="n">
        <v>0.5084</v>
      </c>
      <c r="X783" s="3" t="n">
        <v>0.3227</v>
      </c>
      <c r="Y783" s="3" t="n">
        <v>0.828</v>
      </c>
      <c r="Z783" s="14" t="n">
        <f aca="false">Assumptions!$B$3*R783+Assumptions!$B$4*S783+IF(AA783=1,Assumptions!$B$11,Assumptions!$B$5)*X783+IF(AA783=1,Assumptions!$B$12,Assumptions!$B$6)*T783+Assumptions!$B$7*U783+Assumptions!$B$8*V783+Assumptions!$B$9*Y783</f>
        <v>0.528202</v>
      </c>
      <c r="AA783" s="3" t="n">
        <v>0</v>
      </c>
    </row>
    <row r="784" customFormat="false" ht="15" hidden="false" customHeight="false" outlineLevel="0" collapsed="false">
      <c r="A784" s="3" t="s">
        <v>969</v>
      </c>
      <c r="B784" s="3" t="n">
        <v>495</v>
      </c>
      <c r="C784" s="11" t="str">
        <f aca="false">IF(M784&gt;=Assumptions!$B$17,"S+",IF(M784&gt;=Assumptions!$B$18,"S",IF(M784&gt;=Assumptions!$B$19,"A",IF(M784&gt;=Assumptions!$B$20,"B",IF(M784&gt;=Assumptions!$B$21,"C",IF(M784&gt;=Assumptions!$B$22,"D","F"))))))</f>
        <v>D</v>
      </c>
      <c r="D784" s="3" t="s">
        <v>218</v>
      </c>
      <c r="E784" s="3" t="n">
        <v>4</v>
      </c>
      <c r="F784" s="12" t="n">
        <v>0.9973</v>
      </c>
      <c r="G784" s="12" t="n">
        <v>1</v>
      </c>
      <c r="H784" s="12" t="n">
        <v>0.75</v>
      </c>
      <c r="I784" s="12" t="n">
        <v>0.9491</v>
      </c>
      <c r="J784" s="12" t="n">
        <v>0.3556</v>
      </c>
      <c r="K784" s="12" t="n">
        <v>0.5335</v>
      </c>
      <c r="L784" s="3" t="n">
        <v>3.88</v>
      </c>
      <c r="M784" s="12" t="n">
        <f aca="false">Z784-W784</f>
        <v>0.019617</v>
      </c>
      <c r="N784" s="12" t="n">
        <f aca="false">IFERROR((Z784-J784)/L784,"")</f>
        <v>0.0458548969072165</v>
      </c>
      <c r="O784" s="3" t="n">
        <v>16</v>
      </c>
      <c r="P784" s="13" t="b">
        <f aca="false">FALSE()</f>
        <v>0</v>
      </c>
      <c r="Q784" s="3" t="s">
        <v>166</v>
      </c>
      <c r="R784" s="12" t="n">
        <v>0.9021</v>
      </c>
      <c r="S784" s="12" t="n">
        <v>0.3578</v>
      </c>
      <c r="T784" s="3" t="n">
        <v>0.1957</v>
      </c>
      <c r="U784" s="12" t="n">
        <v>0.3606</v>
      </c>
      <c r="V784" s="12" t="n">
        <v>0.3871</v>
      </c>
      <c r="W784" s="12" t="n">
        <v>0.5139</v>
      </c>
      <c r="X784" s="3" t="n">
        <v>0.3456</v>
      </c>
      <c r="Y784" s="3" t="n">
        <v>0.8788</v>
      </c>
      <c r="Z784" s="14" t="n">
        <f aca="false">Assumptions!$B$3*R784+Assumptions!$B$4*S784+IF(AA784=1,Assumptions!$B$11,Assumptions!$B$5)*X784+IF(AA784=1,Assumptions!$B$12,Assumptions!$B$6)*T784+Assumptions!$B$7*U784+Assumptions!$B$8*V784+Assumptions!$B$9*Y784</f>
        <v>0.533517</v>
      </c>
      <c r="AA784" s="3" t="n">
        <v>0</v>
      </c>
    </row>
    <row r="785" customFormat="false" ht="15" hidden="false" customHeight="false" outlineLevel="0" collapsed="false">
      <c r="A785" s="3" t="s">
        <v>970</v>
      </c>
      <c r="B785" s="3" t="n">
        <v>440</v>
      </c>
      <c r="C785" s="11" t="str">
        <f aca="false">IF(M785&gt;=Assumptions!$B$17,"S+",IF(M785&gt;=Assumptions!$B$18,"S",IF(M785&gt;=Assumptions!$B$19,"A",IF(M785&gt;=Assumptions!$B$20,"B",IF(M785&gt;=Assumptions!$B$21,"C",IF(M785&gt;=Assumptions!$B$22,"D","F"))))))</f>
        <v>D</v>
      </c>
      <c r="D785" s="3" t="s">
        <v>190</v>
      </c>
      <c r="E785" s="3" t="n">
        <v>2</v>
      </c>
      <c r="F785" s="12" t="n">
        <v>0.7004</v>
      </c>
      <c r="G785" s="12" t="n">
        <v>0.6</v>
      </c>
      <c r="H785" s="12" t="n">
        <v>0.75</v>
      </c>
      <c r="I785" s="12" t="n">
        <v>0.6681</v>
      </c>
      <c r="J785" s="12" t="n">
        <v>0.3389</v>
      </c>
      <c r="K785" s="12" t="n">
        <v>0.5149</v>
      </c>
      <c r="L785" s="3" t="n">
        <v>3.78</v>
      </c>
      <c r="M785" s="12" t="n">
        <f aca="false">Z785-W785</f>
        <v>0.019461</v>
      </c>
      <c r="N785" s="12" t="n">
        <f aca="false">IFERROR((Z785-J785)/L785,"")</f>
        <v>0.0465769841269841</v>
      </c>
      <c r="O785" s="3" t="n">
        <v>18</v>
      </c>
      <c r="P785" s="13" t="b">
        <f aca="false">FALSE()</f>
        <v>0</v>
      </c>
      <c r="Q785" s="3" t="s">
        <v>166</v>
      </c>
      <c r="R785" s="12" t="n">
        <v>0.7538</v>
      </c>
      <c r="S785" s="12" t="n">
        <v>0.4892</v>
      </c>
      <c r="T785" s="3" t="n">
        <v>0.4724</v>
      </c>
      <c r="U785" s="12" t="n">
        <v>0.3034</v>
      </c>
      <c r="V785" s="12" t="n">
        <v>0.4579</v>
      </c>
      <c r="W785" s="12" t="n">
        <v>0.4955</v>
      </c>
      <c r="X785" s="3" t="n">
        <v>0.2761</v>
      </c>
      <c r="Y785" s="3" t="n">
        <v>0.6402</v>
      </c>
      <c r="Z785" s="14" t="n">
        <f aca="false">Assumptions!$B$3*R785+Assumptions!$B$4*S785+IF(AA785=1,Assumptions!$B$11,Assumptions!$B$5)*X785+IF(AA785=1,Assumptions!$B$12,Assumptions!$B$6)*T785+Assumptions!$B$7*U785+Assumptions!$B$8*V785+Assumptions!$B$9*Y785</f>
        <v>0.514961</v>
      </c>
      <c r="AA785" s="3" t="n">
        <v>0</v>
      </c>
    </row>
    <row r="786" customFormat="false" ht="15" hidden="false" customHeight="false" outlineLevel="0" collapsed="false">
      <c r="A786" s="3" t="s">
        <v>971</v>
      </c>
      <c r="B786" s="3" t="n">
        <v>420</v>
      </c>
      <c r="C786" s="11" t="str">
        <f aca="false">IF(M786&gt;=Assumptions!$B$17,"S+",IF(M786&gt;=Assumptions!$B$18,"S",IF(M786&gt;=Assumptions!$B$19,"A",IF(M786&gt;=Assumptions!$B$20,"B",IF(M786&gt;=Assumptions!$B$21,"C",IF(M786&gt;=Assumptions!$B$22,"D","F"))))))</f>
        <v>D</v>
      </c>
      <c r="D786" s="3" t="s">
        <v>197</v>
      </c>
      <c r="E786" s="3" t="n">
        <v>2</v>
      </c>
      <c r="F786" s="12" t="n">
        <v>0.8078</v>
      </c>
      <c r="G786" s="12" t="n">
        <v>0.6</v>
      </c>
      <c r="H786" s="12" t="n">
        <v>0.75</v>
      </c>
      <c r="I786" s="12" t="n">
        <v>0.709</v>
      </c>
      <c r="J786" s="12" t="n">
        <v>0.3628</v>
      </c>
      <c r="K786" s="12" t="n">
        <v>0.5184</v>
      </c>
      <c r="L786" s="3" t="n">
        <v>3.72</v>
      </c>
      <c r="M786" s="12" t="n">
        <f aca="false">Z786-W786</f>
        <v>0.019002</v>
      </c>
      <c r="N786" s="12" t="n">
        <f aca="false">IFERROR((Z786-J786)/L786,"")</f>
        <v>0.0418284946236559</v>
      </c>
      <c r="O786" s="3" t="n">
        <v>18</v>
      </c>
      <c r="P786" s="13" t="b">
        <f aca="false">FALSE()</f>
        <v>0</v>
      </c>
      <c r="Q786" s="3" t="s">
        <v>166</v>
      </c>
      <c r="R786" s="12" t="n">
        <v>0.5833</v>
      </c>
      <c r="S786" s="12" t="n">
        <v>0.4931</v>
      </c>
      <c r="T786" s="3" t="n">
        <v>0.3839</v>
      </c>
      <c r="U786" s="12" t="n">
        <v>0.4701</v>
      </c>
      <c r="V786" s="12" t="n">
        <v>0.4923</v>
      </c>
      <c r="W786" s="12" t="n">
        <v>0.4994</v>
      </c>
      <c r="X786" s="3" t="n">
        <v>0.4883</v>
      </c>
      <c r="Y786" s="3" t="n">
        <v>0.6742</v>
      </c>
      <c r="Z786" s="14" t="n">
        <f aca="false">Assumptions!$B$3*R786+Assumptions!$B$4*S786+IF(AA786=1,Assumptions!$B$11,Assumptions!$B$5)*X786+IF(AA786=1,Assumptions!$B$12,Assumptions!$B$6)*T786+Assumptions!$B$7*U786+Assumptions!$B$8*V786+Assumptions!$B$9*Y786</f>
        <v>0.518402</v>
      </c>
      <c r="AA786" s="3" t="n">
        <v>0</v>
      </c>
    </row>
    <row r="787" customFormat="false" ht="15" hidden="false" customHeight="false" outlineLevel="0" collapsed="false">
      <c r="A787" s="3" t="s">
        <v>972</v>
      </c>
      <c r="B787" s="3" t="n">
        <v>451</v>
      </c>
      <c r="C787" s="11" t="str">
        <f aca="false">IF(M787&gt;=Assumptions!$B$17,"S+",IF(M787&gt;=Assumptions!$B$18,"S",IF(M787&gt;=Assumptions!$B$19,"A",IF(M787&gt;=Assumptions!$B$20,"B",IF(M787&gt;=Assumptions!$B$21,"C",IF(M787&gt;=Assumptions!$B$22,"D","F"))))))</f>
        <v>D</v>
      </c>
      <c r="D787" s="3" t="s">
        <v>190</v>
      </c>
      <c r="E787" s="3" t="n">
        <v>3</v>
      </c>
      <c r="F787" s="12" t="n">
        <v>0.8783</v>
      </c>
      <c r="G787" s="12" t="n">
        <v>0.6</v>
      </c>
      <c r="H787" s="12" t="n">
        <v>0.75</v>
      </c>
      <c r="I787" s="12" t="n">
        <v>0.7357</v>
      </c>
      <c r="J787" s="12" t="n">
        <v>0.3522</v>
      </c>
      <c r="K787" s="12" t="n">
        <v>0.5041</v>
      </c>
      <c r="L787" s="3" t="n">
        <v>5.97</v>
      </c>
      <c r="M787" s="12" t="n">
        <f aca="false">Z787-W787</f>
        <v>0.0189139999999999</v>
      </c>
      <c r="N787" s="12" t="n">
        <f aca="false">IFERROR((Z787-J787)/L787,"")</f>
        <v>0.0254462311557789</v>
      </c>
      <c r="O787" s="3" t="n">
        <v>17</v>
      </c>
      <c r="P787" s="13" t="b">
        <f aca="false">FALSE()</f>
        <v>0</v>
      </c>
      <c r="Q787" s="3" t="s">
        <v>166</v>
      </c>
      <c r="R787" s="12" t="n">
        <v>0.7664</v>
      </c>
      <c r="S787" s="12" t="n">
        <v>0.3445</v>
      </c>
      <c r="T787" s="3" t="n">
        <v>0.4516</v>
      </c>
      <c r="U787" s="12" t="n">
        <v>0.4344</v>
      </c>
      <c r="V787" s="12" t="n">
        <v>0.4643</v>
      </c>
      <c r="W787" s="12" t="n">
        <v>0.4852</v>
      </c>
      <c r="X787" s="3" t="n">
        <v>0.2145</v>
      </c>
      <c r="Y787" s="3" t="n">
        <v>0.7015</v>
      </c>
      <c r="Z787" s="14" t="n">
        <f aca="false">Assumptions!$B$3*R787+Assumptions!$B$4*S787+IF(AA787=1,Assumptions!$B$11,Assumptions!$B$5)*X787+IF(AA787=1,Assumptions!$B$12,Assumptions!$B$6)*T787+Assumptions!$B$7*U787+Assumptions!$B$8*V787+Assumptions!$B$9*Y787</f>
        <v>0.504114</v>
      </c>
      <c r="AA787" s="3" t="n">
        <v>0</v>
      </c>
    </row>
    <row r="788" customFormat="false" ht="15" hidden="false" customHeight="false" outlineLevel="0" collapsed="false">
      <c r="A788" s="3" t="s">
        <v>973</v>
      </c>
      <c r="B788" s="3" t="n">
        <v>460</v>
      </c>
      <c r="C788" s="11" t="str">
        <f aca="false">IF(M788&gt;=Assumptions!$B$17,"S+",IF(M788&gt;=Assumptions!$B$18,"S",IF(M788&gt;=Assumptions!$B$19,"A",IF(M788&gt;=Assumptions!$B$20,"B",IF(M788&gt;=Assumptions!$B$21,"C",IF(M788&gt;=Assumptions!$B$22,"D","F"))))))</f>
        <v>D</v>
      </c>
      <c r="D788" s="3" t="s">
        <v>190</v>
      </c>
      <c r="E788" s="3" t="n">
        <v>3</v>
      </c>
      <c r="F788" s="12" t="n">
        <v>0.8871</v>
      </c>
      <c r="G788" s="12" t="n">
        <v>1</v>
      </c>
      <c r="H788" s="12" t="n">
        <v>0.75</v>
      </c>
      <c r="I788" s="12" t="n">
        <v>0.9071</v>
      </c>
      <c r="J788" s="12" t="n">
        <v>0.3647</v>
      </c>
      <c r="K788" s="12" t="n">
        <v>0.507</v>
      </c>
      <c r="L788" s="3" t="n">
        <v>4.88</v>
      </c>
      <c r="M788" s="12" t="n">
        <f aca="false">Z788-W788</f>
        <v>0.0182249999999999</v>
      </c>
      <c r="N788" s="12" t="n">
        <f aca="false">IFERROR((Z788-J788)/L788,"")</f>
        <v>0.0291649590163934</v>
      </c>
      <c r="O788" s="3" t="n">
        <v>17</v>
      </c>
      <c r="P788" s="13" t="b">
        <f aca="false">FALSE()</f>
        <v>0</v>
      </c>
      <c r="Q788" s="3" t="s">
        <v>166</v>
      </c>
      <c r="R788" s="12" t="n">
        <v>0.8442</v>
      </c>
      <c r="S788" s="12" t="n">
        <v>0.1993</v>
      </c>
      <c r="T788" s="3" t="n">
        <v>0.4839</v>
      </c>
      <c r="U788" s="12" t="n">
        <v>0.4072</v>
      </c>
      <c r="V788" s="12" t="n">
        <v>0.4486</v>
      </c>
      <c r="W788" s="12" t="n">
        <v>0.4888</v>
      </c>
      <c r="X788" s="3" t="n">
        <v>0.1684</v>
      </c>
      <c r="Y788" s="3" t="n">
        <v>0.8256</v>
      </c>
      <c r="Z788" s="14" t="n">
        <f aca="false">Assumptions!$B$3*R788+Assumptions!$B$4*S788+IF(AA788=1,Assumptions!$B$11,Assumptions!$B$5)*X788+IF(AA788=1,Assumptions!$B$12,Assumptions!$B$6)*T788+Assumptions!$B$7*U788+Assumptions!$B$8*V788+Assumptions!$B$9*Y788</f>
        <v>0.507025</v>
      </c>
      <c r="AA788" s="3" t="n">
        <v>0</v>
      </c>
    </row>
    <row r="789" customFormat="false" ht="15" hidden="false" customHeight="false" outlineLevel="0" collapsed="false">
      <c r="A789" s="3" t="s">
        <v>974</v>
      </c>
      <c r="B789" s="3" t="n">
        <v>467</v>
      </c>
      <c r="C789" s="11" t="str">
        <f aca="false">IF(M789&gt;=Assumptions!$B$17,"S+",IF(M789&gt;=Assumptions!$B$18,"S",IF(M789&gt;=Assumptions!$B$19,"A",IF(M789&gt;=Assumptions!$B$20,"B",IF(M789&gt;=Assumptions!$B$21,"C",IF(M789&gt;=Assumptions!$B$22,"D","F"))))))</f>
        <v>D</v>
      </c>
      <c r="D789" s="3" t="s">
        <v>218</v>
      </c>
      <c r="E789" s="3" t="n">
        <v>3</v>
      </c>
      <c r="F789" s="12" t="n">
        <v>0.7567</v>
      </c>
      <c r="G789" s="12" t="n">
        <v>1</v>
      </c>
      <c r="H789" s="12" t="n">
        <v>0.75</v>
      </c>
      <c r="I789" s="12" t="n">
        <v>0.8721</v>
      </c>
      <c r="J789" s="12" t="n">
        <v>0.4153</v>
      </c>
      <c r="K789" s="12" t="n">
        <v>0.5337</v>
      </c>
      <c r="L789" s="3" t="n">
        <v>4.82</v>
      </c>
      <c r="M789" s="12" t="n">
        <f aca="false">Z789-W789</f>
        <v>0.018271</v>
      </c>
      <c r="N789" s="12" t="n">
        <f aca="false">IFERROR((Z789-J789)/L789,"")</f>
        <v>0.0245582987551867</v>
      </c>
      <c r="O789" s="3" t="n">
        <v>17</v>
      </c>
      <c r="P789" s="13" t="b">
        <f aca="false">FALSE()</f>
        <v>0</v>
      </c>
      <c r="Q789" s="3" t="s">
        <v>166</v>
      </c>
      <c r="R789" s="12" t="n">
        <v>0.775</v>
      </c>
      <c r="S789" s="12" t="n">
        <v>0.3734</v>
      </c>
      <c r="T789" s="3" t="n">
        <v>0.6098</v>
      </c>
      <c r="U789" s="12" t="n">
        <v>0.4027</v>
      </c>
      <c r="V789" s="12" t="n">
        <v>0.4857</v>
      </c>
      <c r="W789" s="12" t="n">
        <v>0.5154</v>
      </c>
      <c r="X789" s="3" t="n">
        <v>0.1913</v>
      </c>
      <c r="Y789" s="3" t="n">
        <v>0.7868</v>
      </c>
      <c r="Z789" s="14" t="n">
        <f aca="false">Assumptions!$B$3*R789+Assumptions!$B$4*S789+IF(AA789=1,Assumptions!$B$11,Assumptions!$B$5)*X789+IF(AA789=1,Assumptions!$B$12,Assumptions!$B$6)*T789+Assumptions!$B$7*U789+Assumptions!$B$8*V789+Assumptions!$B$9*Y789</f>
        <v>0.533671</v>
      </c>
      <c r="AA789" s="3" t="n">
        <v>0</v>
      </c>
    </row>
    <row r="790" customFormat="false" ht="15" hidden="false" customHeight="false" outlineLevel="0" collapsed="false">
      <c r="A790" s="3" t="s">
        <v>975</v>
      </c>
      <c r="B790" s="3" t="n">
        <v>362</v>
      </c>
      <c r="C790" s="11" t="str">
        <f aca="false">IF(M790&gt;=Assumptions!$B$17,"S+",IF(M790&gt;=Assumptions!$B$18,"S",IF(M790&gt;=Assumptions!$B$19,"A",IF(M790&gt;=Assumptions!$B$20,"B",IF(M790&gt;=Assumptions!$B$21,"C",IF(M790&gt;=Assumptions!$B$22,"D","F"))))))</f>
        <v>D</v>
      </c>
      <c r="D790" s="3" t="s">
        <v>175</v>
      </c>
      <c r="E790" s="3" t="n">
        <v>4</v>
      </c>
      <c r="F790" s="12" t="n">
        <v>0.5356</v>
      </c>
      <c r="G790" s="12" t="n">
        <v>0.45</v>
      </c>
      <c r="H790" s="12" t="n">
        <v>0.75</v>
      </c>
      <c r="I790" s="12" t="n">
        <v>0.5228</v>
      </c>
      <c r="J790" s="12" t="n">
        <v>0.2853</v>
      </c>
      <c r="K790" s="12" t="n">
        <v>0.4317</v>
      </c>
      <c r="L790" s="3" t="n">
        <v>5.88</v>
      </c>
      <c r="M790" s="12" t="n">
        <f aca="false">Z790-W790</f>
        <v>0.017822</v>
      </c>
      <c r="N790" s="12" t="n">
        <f aca="false">IFERROR((Z790-J790)/L790,"")</f>
        <v>0.0249017006802721</v>
      </c>
      <c r="O790" s="3" t="n">
        <v>16</v>
      </c>
      <c r="P790" s="13" t="b">
        <f aca="false">FALSE()</f>
        <v>0</v>
      </c>
      <c r="Q790" s="3" t="s">
        <v>166</v>
      </c>
      <c r="R790" s="12" t="n">
        <v>0.7932</v>
      </c>
      <c r="S790" s="12" t="n">
        <v>0.2089</v>
      </c>
      <c r="T790" s="3" t="n">
        <v>0.1364</v>
      </c>
      <c r="U790" s="12" t="n">
        <v>0.3846</v>
      </c>
      <c r="V790" s="12" t="n">
        <v>0.2219</v>
      </c>
      <c r="W790" s="12" t="n">
        <v>0.4139</v>
      </c>
      <c r="X790" s="3" t="n">
        <v>0.4053</v>
      </c>
      <c r="Y790" s="3" t="n">
        <v>0.5007</v>
      </c>
      <c r="Z790" s="14" t="n">
        <f aca="false">Assumptions!$B$3*R790+Assumptions!$B$4*S790+IF(AA790=1,Assumptions!$B$11,Assumptions!$B$5)*X790+IF(AA790=1,Assumptions!$B$12,Assumptions!$B$6)*T790+Assumptions!$B$7*U790+Assumptions!$B$8*V790+Assumptions!$B$9*Y790</f>
        <v>0.431722</v>
      </c>
      <c r="AA790" s="3" t="n">
        <v>0</v>
      </c>
    </row>
    <row r="791" customFormat="false" ht="15" hidden="false" customHeight="false" outlineLevel="0" collapsed="false">
      <c r="A791" s="3" t="s">
        <v>976</v>
      </c>
      <c r="B791" s="3" t="n">
        <v>435</v>
      </c>
      <c r="C791" s="11" t="str">
        <f aca="false">IF(M791&gt;=Assumptions!$B$17,"S+",IF(M791&gt;=Assumptions!$B$18,"S",IF(M791&gt;=Assumptions!$B$19,"A",IF(M791&gt;=Assumptions!$B$20,"B",IF(M791&gt;=Assumptions!$B$21,"C",IF(M791&gt;=Assumptions!$B$22,"D","F"))))))</f>
        <v>D</v>
      </c>
      <c r="D791" s="3" t="s">
        <v>197</v>
      </c>
      <c r="E791" s="3" t="n">
        <v>1</v>
      </c>
      <c r="F791" s="12" t="n">
        <v>0.7111</v>
      </c>
      <c r="G791" s="12" t="n">
        <v>0.6</v>
      </c>
      <c r="H791" s="12" t="n">
        <v>0.75</v>
      </c>
      <c r="I791" s="12" t="n">
        <v>0.6722</v>
      </c>
      <c r="J791" s="12" t="n">
        <v>0.3272</v>
      </c>
      <c r="K791" s="12" t="n">
        <v>0.5274</v>
      </c>
      <c r="L791" s="3" t="n">
        <v>5.53</v>
      </c>
      <c r="M791" s="12" t="n">
        <f aca="false">Z791-W791</f>
        <v>0.0177149999999999</v>
      </c>
      <c r="N791" s="12" t="n">
        <f aca="false">IFERROR((Z791-J791)/L791,"")</f>
        <v>0.0362052441229656</v>
      </c>
      <c r="O791" s="3" t="n">
        <v>19</v>
      </c>
      <c r="P791" s="13" t="b">
        <f aca="false">FALSE()</f>
        <v>0</v>
      </c>
      <c r="Q791" s="3" t="s">
        <v>166</v>
      </c>
      <c r="R791" s="12" t="n">
        <v>0.6573</v>
      </c>
      <c r="S791" s="12" t="n">
        <v>0.5775</v>
      </c>
      <c r="T791" s="3" t="n">
        <v>0.4283</v>
      </c>
      <c r="U791" s="12" t="n">
        <v>0.3603</v>
      </c>
      <c r="V791" s="12" t="n">
        <v>0.5602</v>
      </c>
      <c r="W791" s="12" t="n">
        <v>0.5097</v>
      </c>
      <c r="X791" s="3" t="n">
        <v>0.3449</v>
      </c>
      <c r="Y791" s="3" t="n">
        <v>0.6566</v>
      </c>
      <c r="Z791" s="14" t="n">
        <f aca="false">Assumptions!$B$3*R791+Assumptions!$B$4*S791+IF(AA791=1,Assumptions!$B$11,Assumptions!$B$5)*X791+IF(AA791=1,Assumptions!$B$12,Assumptions!$B$6)*T791+Assumptions!$B$7*U791+Assumptions!$B$8*V791+Assumptions!$B$9*Y791</f>
        <v>0.527415</v>
      </c>
      <c r="AA791" s="3" t="n">
        <v>0</v>
      </c>
    </row>
    <row r="792" customFormat="false" ht="15" hidden="false" customHeight="false" outlineLevel="0" collapsed="false">
      <c r="A792" s="3" t="s">
        <v>977</v>
      </c>
      <c r="B792" s="3" t="n">
        <v>480</v>
      </c>
      <c r="C792" s="11" t="str">
        <f aca="false">IF(M792&gt;=Assumptions!$B$17,"S+",IF(M792&gt;=Assumptions!$B$18,"S",IF(M792&gt;=Assumptions!$B$19,"A",IF(M792&gt;=Assumptions!$B$20,"B",IF(M792&gt;=Assumptions!$B$21,"C",IF(M792&gt;=Assumptions!$B$22,"D","F"))))))</f>
        <v>D</v>
      </c>
      <c r="D792" s="3" t="s">
        <v>218</v>
      </c>
      <c r="E792" s="3" t="n">
        <v>8</v>
      </c>
      <c r="F792" s="12" t="n">
        <v>0.4879</v>
      </c>
      <c r="G792" s="12" t="n">
        <v>0.6</v>
      </c>
      <c r="H792" s="12" t="n">
        <v>0.75</v>
      </c>
      <c r="I792" s="12" t="n">
        <v>0.5941</v>
      </c>
      <c r="J792" s="12" t="n">
        <v>0.3434</v>
      </c>
      <c r="K792" s="12" t="n">
        <v>0.5265</v>
      </c>
      <c r="L792" s="3" t="n">
        <v>4</v>
      </c>
      <c r="M792" s="12" t="n">
        <f aca="false">Z792-W792</f>
        <v>0.016886</v>
      </c>
      <c r="N792" s="12" t="n">
        <f aca="false">IFERROR((Z792-J792)/L792,"")</f>
        <v>0.0457715</v>
      </c>
      <c r="O792" s="3" t="n">
        <v>12</v>
      </c>
      <c r="P792" s="13" t="b">
        <f aca="false">FALSE()</f>
        <v>0</v>
      </c>
      <c r="Q792" s="3" t="s">
        <v>166</v>
      </c>
      <c r="R792" s="12" t="n">
        <v>0.7919</v>
      </c>
      <c r="S792" s="12" t="n">
        <v>0.4178</v>
      </c>
      <c r="T792" s="3" t="n">
        <v>0.3743</v>
      </c>
      <c r="U792" s="12" t="n">
        <v>0.5064</v>
      </c>
      <c r="V792" s="12" t="n">
        <v>0.4162</v>
      </c>
      <c r="W792" s="12" t="n">
        <v>0.5096</v>
      </c>
      <c r="X792" s="3" t="n">
        <v>0.3559</v>
      </c>
      <c r="Y792" s="3" t="n">
        <v>0.5964</v>
      </c>
      <c r="Z792" s="14" t="n">
        <f aca="false">Assumptions!$B$3*R792+Assumptions!$B$4*S792+IF(AA792=1,Assumptions!$B$11,Assumptions!$B$5)*X792+IF(AA792=1,Assumptions!$B$12,Assumptions!$B$6)*T792+Assumptions!$B$7*U792+Assumptions!$B$8*V792+Assumptions!$B$9*Y792</f>
        <v>0.526486</v>
      </c>
      <c r="AA792" s="3" t="n">
        <v>0</v>
      </c>
    </row>
    <row r="793" customFormat="false" ht="15" hidden="false" customHeight="false" outlineLevel="0" collapsed="false">
      <c r="A793" s="3" t="s">
        <v>978</v>
      </c>
      <c r="B793" s="3" t="n">
        <v>421</v>
      </c>
      <c r="C793" s="11" t="str">
        <f aca="false">IF(M793&gt;=Assumptions!$B$17,"S+",IF(M793&gt;=Assumptions!$B$18,"S",IF(M793&gt;=Assumptions!$B$19,"A",IF(M793&gt;=Assumptions!$B$20,"B",IF(M793&gt;=Assumptions!$B$21,"C",IF(M793&gt;=Assumptions!$B$22,"D","F"))))))</f>
        <v>D</v>
      </c>
      <c r="D793" s="3" t="s">
        <v>197</v>
      </c>
      <c r="E793" s="3" t="n">
        <v>1</v>
      </c>
      <c r="F793" s="12" t="n">
        <v>0.8463</v>
      </c>
      <c r="G793" s="12" t="n">
        <v>0.4</v>
      </c>
      <c r="H793" s="12" t="n">
        <v>0.75</v>
      </c>
      <c r="I793" s="12" t="n">
        <v>0.6396</v>
      </c>
      <c r="J793" s="12" t="n">
        <v>0.355</v>
      </c>
      <c r="K793" s="12" t="n">
        <v>0.5201</v>
      </c>
      <c r="L793" s="3" t="n">
        <v>5.74</v>
      </c>
      <c r="M793" s="12" t="n">
        <f aca="false">Z793-W793</f>
        <v>0.016603</v>
      </c>
      <c r="N793" s="12" t="n">
        <f aca="false">IFERROR((Z793-J793)/L793,"")</f>
        <v>0.0287635888501742</v>
      </c>
      <c r="O793" s="3" t="n">
        <v>19</v>
      </c>
      <c r="P793" s="13" t="b">
        <f aca="false">FALSE()</f>
        <v>0</v>
      </c>
      <c r="Q793" s="3" t="s">
        <v>166</v>
      </c>
      <c r="R793" s="12" t="n">
        <v>0.8216</v>
      </c>
      <c r="S793" s="12" t="n">
        <v>0.4223</v>
      </c>
      <c r="T793" s="3" t="n">
        <v>0.528</v>
      </c>
      <c r="U793" s="12" t="n">
        <v>0.3441</v>
      </c>
      <c r="V793" s="12" t="n">
        <v>0.4878</v>
      </c>
      <c r="W793" s="12" t="n">
        <v>0.5035</v>
      </c>
      <c r="X793" s="3" t="n">
        <v>0.1969</v>
      </c>
      <c r="Y793" s="3" t="n">
        <v>0.6021</v>
      </c>
      <c r="Z793" s="14" t="n">
        <f aca="false">Assumptions!$B$3*R793+Assumptions!$B$4*S793+IF(AA793=1,Assumptions!$B$11,Assumptions!$B$5)*X793+IF(AA793=1,Assumptions!$B$12,Assumptions!$B$6)*T793+Assumptions!$B$7*U793+Assumptions!$B$8*V793+Assumptions!$B$9*Y793</f>
        <v>0.520103</v>
      </c>
      <c r="AA793" s="3" t="n">
        <v>0</v>
      </c>
    </row>
    <row r="794" customFormat="false" ht="15" hidden="false" customHeight="false" outlineLevel="0" collapsed="false">
      <c r="A794" s="3" t="s">
        <v>979</v>
      </c>
      <c r="B794" s="3" t="n">
        <v>307</v>
      </c>
      <c r="C794" s="11" t="str">
        <f aca="false">IF(M794&gt;=Assumptions!$B$17,"S+",IF(M794&gt;=Assumptions!$B$18,"S",IF(M794&gt;=Assumptions!$B$19,"A",IF(M794&gt;=Assumptions!$B$20,"B",IF(M794&gt;=Assumptions!$B$21,"C",IF(M794&gt;=Assumptions!$B$22,"D","F"))))))</f>
        <v>D</v>
      </c>
      <c r="D794" s="3" t="s">
        <v>180</v>
      </c>
      <c r="E794" s="3" t="n">
        <v>1</v>
      </c>
      <c r="F794" s="12" t="n">
        <v>0.3442</v>
      </c>
      <c r="G794" s="12" t="n">
        <v>0.85</v>
      </c>
      <c r="H794" s="12" t="n">
        <v>0.496</v>
      </c>
      <c r="I794" s="12" t="n">
        <v>0.678</v>
      </c>
      <c r="J794" s="12" t="n">
        <v>0.3119</v>
      </c>
      <c r="K794" s="12" t="n">
        <v>0.5054</v>
      </c>
      <c r="L794" s="3" t="n">
        <v>6.58</v>
      </c>
      <c r="M794" s="12" t="n">
        <f aca="false">Z794-W794</f>
        <v>0.0163030000000001</v>
      </c>
      <c r="N794" s="12" t="n">
        <f aca="false">IFERROR((Z794-J794)/L794,"")</f>
        <v>0.0294077507598784</v>
      </c>
      <c r="O794" s="3" t="n">
        <v>19</v>
      </c>
      <c r="P794" s="13" t="b">
        <f aca="false">FALSE()</f>
        <v>0</v>
      </c>
      <c r="Q794" s="3" t="s">
        <v>166</v>
      </c>
      <c r="R794" s="12" t="n">
        <v>0.6593</v>
      </c>
      <c r="S794" s="12" t="n">
        <v>0.3331</v>
      </c>
      <c r="T794" s="3" t="n">
        <v>0.2507</v>
      </c>
      <c r="U794" s="12" t="n">
        <v>0.4251</v>
      </c>
      <c r="V794" s="12" t="n">
        <v>0.4614</v>
      </c>
      <c r="W794" s="12" t="n">
        <v>0.4891</v>
      </c>
      <c r="X794" s="3" t="n">
        <v>0.4712</v>
      </c>
      <c r="Y794" s="3" t="n">
        <v>0.6764</v>
      </c>
      <c r="Z794" s="14" t="n">
        <f aca="false">Assumptions!$B$3*R794+Assumptions!$B$4*S794+IF(AA794=1,Assumptions!$B$11,Assumptions!$B$5)*X794+IF(AA794=1,Assumptions!$B$12,Assumptions!$B$6)*T794+Assumptions!$B$7*U794+Assumptions!$B$8*V794+Assumptions!$B$9*Y794</f>
        <v>0.505403</v>
      </c>
      <c r="AA794" s="3" t="n">
        <v>1</v>
      </c>
    </row>
    <row r="795" customFormat="false" ht="15" hidden="false" customHeight="false" outlineLevel="0" collapsed="false">
      <c r="A795" s="3" t="s">
        <v>980</v>
      </c>
      <c r="B795" s="3" t="n">
        <v>300</v>
      </c>
      <c r="C795" s="11" t="str">
        <f aca="false">IF(M795&gt;=Assumptions!$B$17,"S+",IF(M795&gt;=Assumptions!$B$18,"S",IF(M795&gt;=Assumptions!$B$19,"A",IF(M795&gt;=Assumptions!$B$20,"B",IF(M795&gt;=Assumptions!$B$21,"C",IF(M795&gt;=Assumptions!$B$22,"D","F"))))))</f>
        <v>D</v>
      </c>
      <c r="D795" s="3" t="s">
        <v>188</v>
      </c>
      <c r="E795" s="3" t="n">
        <v>1</v>
      </c>
      <c r="F795" s="12" t="n">
        <v>0.3513</v>
      </c>
      <c r="G795" s="12" t="n">
        <v>0.45</v>
      </c>
      <c r="H795" s="12" t="n">
        <v>0.75</v>
      </c>
      <c r="I795" s="12" t="n">
        <v>0.4952</v>
      </c>
      <c r="J795" s="12" t="n">
        <v>0.2185</v>
      </c>
      <c r="K795" s="12" t="n">
        <v>0.4028</v>
      </c>
      <c r="L795" s="3" t="n">
        <v>5.47</v>
      </c>
      <c r="M795" s="12" t="n">
        <f aca="false">Z795-W795</f>
        <v>0.016152</v>
      </c>
      <c r="N795" s="12" t="n">
        <f aca="false">IFERROR((Z795-J795)/L795,"")</f>
        <v>0.0336840950639854</v>
      </c>
      <c r="O795" s="3" t="n">
        <v>19</v>
      </c>
      <c r="P795" s="13" t="b">
        <f aca="false">FALSE()</f>
        <v>0</v>
      </c>
      <c r="Q795" s="3" t="s">
        <v>166</v>
      </c>
      <c r="R795" s="12" t="n">
        <v>0.6031</v>
      </c>
      <c r="S795" s="12" t="n">
        <v>0.2679</v>
      </c>
      <c r="T795" s="3" t="n">
        <v>0.2101</v>
      </c>
      <c r="U795" s="12" t="n">
        <v>0.3279</v>
      </c>
      <c r="V795" s="12" t="n">
        <v>0.4707</v>
      </c>
      <c r="W795" s="12" t="n">
        <v>0.3866</v>
      </c>
      <c r="X795" s="3" t="n">
        <v>0.3242</v>
      </c>
      <c r="Y795" s="3" t="n">
        <v>0.4411</v>
      </c>
      <c r="Z795" s="14" t="n">
        <f aca="false">Assumptions!$B$3*R795+Assumptions!$B$4*S795+IF(AA795=1,Assumptions!$B$11,Assumptions!$B$5)*X795+IF(AA795=1,Assumptions!$B$12,Assumptions!$B$6)*T795+Assumptions!$B$7*U795+Assumptions!$B$8*V795+Assumptions!$B$9*Y795</f>
        <v>0.402752</v>
      </c>
      <c r="AA795" s="3" t="n">
        <v>0</v>
      </c>
    </row>
    <row r="796" customFormat="false" ht="15" hidden="false" customHeight="false" outlineLevel="0" collapsed="false">
      <c r="A796" s="3" t="s">
        <v>981</v>
      </c>
      <c r="B796" s="3" t="n">
        <v>600</v>
      </c>
      <c r="C796" s="11" t="str">
        <f aca="false">IF(M796&gt;=Assumptions!$B$17,"S+",IF(M796&gt;=Assumptions!$B$18,"S",IF(M796&gt;=Assumptions!$B$19,"A",IF(M796&gt;=Assumptions!$B$20,"B",IF(M796&gt;=Assumptions!$B$21,"C",IF(M796&gt;=Assumptions!$B$22,"D","F"))))))</f>
        <v>D</v>
      </c>
      <c r="D796" s="3" t="s">
        <v>218</v>
      </c>
      <c r="E796" s="3" t="n">
        <v>9</v>
      </c>
      <c r="F796" s="12" t="n">
        <v>0.8929</v>
      </c>
      <c r="G796" s="12" t="n">
        <v>0.6</v>
      </c>
      <c r="H796" s="12" t="n">
        <v>0.75</v>
      </c>
      <c r="I796" s="12" t="n">
        <v>0.7237</v>
      </c>
      <c r="J796" s="12" t="n">
        <v>0.3544</v>
      </c>
      <c r="K796" s="12" t="n">
        <v>0.5266</v>
      </c>
      <c r="L796" s="3" t="n">
        <v>4</v>
      </c>
      <c r="M796" s="12" t="n">
        <f aca="false">Z796-W796</f>
        <v>0.016029</v>
      </c>
      <c r="N796" s="12" t="n">
        <f aca="false">IFERROR((Z796-J796)/L796,"")</f>
        <v>0.04305725</v>
      </c>
      <c r="O796" s="3" t="n">
        <v>11</v>
      </c>
      <c r="P796" s="13" t="b">
        <f aca="false">FALSE()</f>
        <v>0</v>
      </c>
      <c r="Q796" s="3" t="s">
        <v>166</v>
      </c>
      <c r="R796" s="12" t="n">
        <v>0.9144</v>
      </c>
      <c r="S796" s="12" t="n">
        <v>0.4088</v>
      </c>
      <c r="T796" s="3" t="n">
        <v>0.1074</v>
      </c>
      <c r="U796" s="12" t="n">
        <v>0.4335</v>
      </c>
      <c r="V796" s="12" t="n">
        <v>0.2929</v>
      </c>
      <c r="W796" s="12" t="n">
        <v>0.5106</v>
      </c>
      <c r="X796" s="3" t="n">
        <v>0.4163</v>
      </c>
      <c r="Y796" s="3" t="n">
        <v>0.725</v>
      </c>
      <c r="Z796" s="14" t="n">
        <f aca="false">Assumptions!$B$3*R796+Assumptions!$B$4*S796+IF(AA796=1,Assumptions!$B$11,Assumptions!$B$5)*X796+IF(AA796=1,Assumptions!$B$12,Assumptions!$B$6)*T796+Assumptions!$B$7*U796+Assumptions!$B$8*V796+Assumptions!$B$9*Y796</f>
        <v>0.526629</v>
      </c>
      <c r="AA796" s="3" t="n">
        <v>0</v>
      </c>
    </row>
    <row r="797" customFormat="false" ht="15" hidden="false" customHeight="false" outlineLevel="0" collapsed="false">
      <c r="A797" s="3" t="s">
        <v>982</v>
      </c>
      <c r="B797" s="3" t="n">
        <v>515</v>
      </c>
      <c r="C797" s="11" t="str">
        <f aca="false">IF(M797&gt;=Assumptions!$B$17,"S+",IF(M797&gt;=Assumptions!$B$18,"S",IF(M797&gt;=Assumptions!$B$19,"A",IF(M797&gt;=Assumptions!$B$20,"B",IF(M797&gt;=Assumptions!$B$21,"C",IF(M797&gt;=Assumptions!$B$22,"D","F"))))))</f>
        <v>D</v>
      </c>
      <c r="D797" s="3" t="s">
        <v>253</v>
      </c>
      <c r="E797" s="3" t="n">
        <v>1</v>
      </c>
      <c r="F797" s="12" t="n">
        <v>0.9008</v>
      </c>
      <c r="G797" s="12" t="n">
        <v>1</v>
      </c>
      <c r="H797" s="12" t="n">
        <v>0.75</v>
      </c>
      <c r="I797" s="12" t="n">
        <v>0.9183</v>
      </c>
      <c r="J797" s="12" t="n">
        <v>0.3949</v>
      </c>
      <c r="K797" s="12" t="n">
        <v>0.5385</v>
      </c>
      <c r="L797" s="3" t="n">
        <v>3.84</v>
      </c>
      <c r="M797" s="12" t="n">
        <f aca="false">Z797-W797</f>
        <v>0.0159450000000001</v>
      </c>
      <c r="N797" s="12" t="n">
        <f aca="false">IFERROR((Z797-J797)/L797,"")</f>
        <v>0.0374075520833334</v>
      </c>
      <c r="O797" s="3" t="n">
        <v>19</v>
      </c>
      <c r="P797" s="13" t="b">
        <f aca="false">FALSE()</f>
        <v>0</v>
      </c>
      <c r="Q797" s="3" t="s">
        <v>166</v>
      </c>
      <c r="R797" s="12" t="n">
        <v>0.7714</v>
      </c>
      <c r="S797" s="12" t="n">
        <v>0.4887</v>
      </c>
      <c r="T797" s="3" t="n">
        <v>0.5014</v>
      </c>
      <c r="U797" s="12" t="n">
        <v>0.4251</v>
      </c>
      <c r="V797" s="12" t="n">
        <v>0.4038</v>
      </c>
      <c r="W797" s="12" t="n">
        <v>0.5226</v>
      </c>
      <c r="X797" s="3" t="n">
        <v>0.2075</v>
      </c>
      <c r="Y797" s="3" t="n">
        <v>0.8438</v>
      </c>
      <c r="Z797" s="14" t="n">
        <f aca="false">Assumptions!$B$3*R797+Assumptions!$B$4*S797+IF(AA797=1,Assumptions!$B$11,Assumptions!$B$5)*X797+IF(AA797=1,Assumptions!$B$12,Assumptions!$B$6)*T797+Assumptions!$B$7*U797+Assumptions!$B$8*V797+Assumptions!$B$9*Y797</f>
        <v>0.538545</v>
      </c>
      <c r="AA797" s="3" t="n">
        <v>0</v>
      </c>
    </row>
    <row r="798" customFormat="false" ht="15" hidden="false" customHeight="false" outlineLevel="0" collapsed="false">
      <c r="A798" s="3" t="s">
        <v>983</v>
      </c>
      <c r="B798" s="3" t="n">
        <v>220</v>
      </c>
      <c r="C798" s="11" t="str">
        <f aca="false">IF(M798&gt;=Assumptions!$B$17,"S+",IF(M798&gt;=Assumptions!$B$18,"S",IF(M798&gt;=Assumptions!$B$19,"A",IF(M798&gt;=Assumptions!$B$20,"B",IF(M798&gt;=Assumptions!$B$21,"C",IF(M798&gt;=Assumptions!$B$22,"D","F"))))))</f>
        <v>D</v>
      </c>
      <c r="D798" s="3" t="s">
        <v>175</v>
      </c>
      <c r="E798" s="3" t="n">
        <v>1</v>
      </c>
      <c r="F798" s="12" t="n">
        <v>0.4497</v>
      </c>
      <c r="G798" s="12" t="n">
        <v>0.6</v>
      </c>
      <c r="H798" s="12" t="n">
        <v>0.75</v>
      </c>
      <c r="I798" s="12" t="n">
        <v>0.6074</v>
      </c>
      <c r="J798" s="12" t="n">
        <v>0.2202</v>
      </c>
      <c r="K798" s="12" t="n">
        <v>0.4061</v>
      </c>
      <c r="L798" s="3" t="n">
        <v>5.63</v>
      </c>
      <c r="M798" s="12" t="n">
        <f aca="false">Z798-W798</f>
        <v>0.015863</v>
      </c>
      <c r="N798" s="12" t="n">
        <f aca="false">IFERROR((Z798-J798)/L798,"")</f>
        <v>0.0330129662522203</v>
      </c>
      <c r="O798" s="3" t="n">
        <v>19</v>
      </c>
      <c r="P798" s="13" t="b">
        <f aca="false">FALSE()</f>
        <v>0</v>
      </c>
      <c r="Q798" s="3" t="s">
        <v>166</v>
      </c>
      <c r="R798" s="12" t="n">
        <v>0.6603</v>
      </c>
      <c r="S798" s="12" t="n">
        <v>0.2636</v>
      </c>
      <c r="T798" s="3" t="n">
        <v>0.1116</v>
      </c>
      <c r="U798" s="12" t="n">
        <v>0.4778</v>
      </c>
      <c r="V798" s="12" t="n">
        <v>0.4497</v>
      </c>
      <c r="W798" s="12" t="n">
        <v>0.3902</v>
      </c>
      <c r="X798" s="3" t="n">
        <v>0.1591</v>
      </c>
      <c r="Y798" s="3" t="n">
        <v>0.5875</v>
      </c>
      <c r="Z798" s="14" t="n">
        <f aca="false">Assumptions!$B$3*R798+Assumptions!$B$4*S798+IF(AA798=1,Assumptions!$B$11,Assumptions!$B$5)*X798+IF(AA798=1,Assumptions!$B$12,Assumptions!$B$6)*T798+Assumptions!$B$7*U798+Assumptions!$B$8*V798+Assumptions!$B$9*Y798</f>
        <v>0.406063</v>
      </c>
      <c r="AA798" s="3" t="n">
        <v>0</v>
      </c>
    </row>
    <row r="799" customFormat="false" ht="15" hidden="false" customHeight="false" outlineLevel="0" collapsed="false">
      <c r="A799" s="3" t="s">
        <v>984</v>
      </c>
      <c r="B799" s="3" t="n">
        <v>400</v>
      </c>
      <c r="C799" s="11" t="str">
        <f aca="false">IF(M799&gt;=Assumptions!$B$17,"S+",IF(M799&gt;=Assumptions!$B$18,"S",IF(M799&gt;=Assumptions!$B$19,"A",IF(M799&gt;=Assumptions!$B$20,"B",IF(M799&gt;=Assumptions!$B$21,"C",IF(M799&gt;=Assumptions!$B$22,"D","F"))))))</f>
        <v>D</v>
      </c>
      <c r="D799" s="3" t="s">
        <v>218</v>
      </c>
      <c r="E799" s="3" t="n">
        <v>2</v>
      </c>
      <c r="F799" s="12" t="n">
        <v>0.6397</v>
      </c>
      <c r="G799" s="12" t="n">
        <v>0.4</v>
      </c>
      <c r="H799" s="12" t="n">
        <v>0.75</v>
      </c>
      <c r="I799" s="12" t="n">
        <v>0.5467</v>
      </c>
      <c r="J799" s="12" t="n">
        <v>0.3108</v>
      </c>
      <c r="K799" s="12" t="n">
        <v>0.5005</v>
      </c>
      <c r="L799" s="3" t="n">
        <v>3.61</v>
      </c>
      <c r="M799" s="12" t="n">
        <f aca="false">Z799-W799</f>
        <v>0.015574</v>
      </c>
      <c r="N799" s="12" t="n">
        <f aca="false">IFERROR((Z799-J799)/L799,"")</f>
        <v>0.0525412742382271</v>
      </c>
      <c r="O799" s="3" t="n">
        <v>18</v>
      </c>
      <c r="P799" s="13" t="b">
        <f aca="false">FALSE()</f>
        <v>0</v>
      </c>
      <c r="Q799" s="3" t="s">
        <v>166</v>
      </c>
      <c r="R799" s="12" t="n">
        <v>0.6594</v>
      </c>
      <c r="S799" s="12" t="n">
        <v>0.5726</v>
      </c>
      <c r="T799" s="3" t="n">
        <v>0.0986</v>
      </c>
      <c r="U799" s="12" t="n">
        <v>0.3376</v>
      </c>
      <c r="V799" s="12" t="n">
        <v>0.509</v>
      </c>
      <c r="W799" s="12" t="n">
        <v>0.4849</v>
      </c>
      <c r="X799" s="3" t="n">
        <v>0.5828</v>
      </c>
      <c r="Y799" s="3" t="n">
        <v>0.4831</v>
      </c>
      <c r="Z799" s="14" t="n">
        <f aca="false">Assumptions!$B$3*R799+Assumptions!$B$4*S799+IF(AA799=1,Assumptions!$B$11,Assumptions!$B$5)*X799+IF(AA799=1,Assumptions!$B$12,Assumptions!$B$6)*T799+Assumptions!$B$7*U799+Assumptions!$B$8*V799+Assumptions!$B$9*Y799</f>
        <v>0.500474</v>
      </c>
      <c r="AA799" s="3" t="n">
        <v>0</v>
      </c>
    </row>
    <row r="800" customFormat="false" ht="15" hidden="false" customHeight="false" outlineLevel="0" collapsed="false">
      <c r="A800" s="3" t="s">
        <v>985</v>
      </c>
      <c r="B800" s="3" t="n">
        <v>440</v>
      </c>
      <c r="C800" s="11" t="str">
        <f aca="false">IF(M800&gt;=Assumptions!$B$17,"S+",IF(M800&gt;=Assumptions!$B$18,"S",IF(M800&gt;=Assumptions!$B$19,"A",IF(M800&gt;=Assumptions!$B$20,"B",IF(M800&gt;=Assumptions!$B$21,"C",IF(M800&gt;=Assumptions!$B$22,"D","F"))))))</f>
        <v>D</v>
      </c>
      <c r="D800" s="3" t="s">
        <v>175</v>
      </c>
      <c r="E800" s="3" t="n">
        <v>7</v>
      </c>
      <c r="F800" s="12" t="n">
        <v>0.6172</v>
      </c>
      <c r="G800" s="12" t="n">
        <v>0.45</v>
      </c>
      <c r="H800" s="12" t="n">
        <v>0.75</v>
      </c>
      <c r="I800" s="12" t="n">
        <v>0.5351</v>
      </c>
      <c r="J800" s="12" t="n">
        <v>0.2608</v>
      </c>
      <c r="K800" s="12" t="n">
        <v>0.4303</v>
      </c>
      <c r="L800" s="3" t="n">
        <v>4</v>
      </c>
      <c r="M800" s="12" t="n">
        <f aca="false">Z800-W800</f>
        <v>0.015453</v>
      </c>
      <c r="N800" s="12" t="n">
        <f aca="false">IFERROR((Z800-J800)/L800,"")</f>
        <v>0.04236325</v>
      </c>
      <c r="O800" s="3" t="n">
        <v>13</v>
      </c>
      <c r="P800" s="13" t="b">
        <f aca="false">FALSE()</f>
        <v>0</v>
      </c>
      <c r="Q800" s="3" t="s">
        <v>166</v>
      </c>
      <c r="R800" s="12" t="n">
        <v>0.5271</v>
      </c>
      <c r="S800" s="12" t="n">
        <v>0.4873</v>
      </c>
      <c r="T800" s="3" t="n">
        <v>0.0832</v>
      </c>
      <c r="U800" s="12" t="n">
        <v>0.3018</v>
      </c>
      <c r="V800" s="12" t="n">
        <v>0.5112</v>
      </c>
      <c r="W800" s="12" t="n">
        <v>0.4148</v>
      </c>
      <c r="X800" s="3" t="n">
        <v>0.4386</v>
      </c>
      <c r="Y800" s="3" t="n">
        <v>0.5354</v>
      </c>
      <c r="Z800" s="14" t="n">
        <f aca="false">Assumptions!$B$3*R800+Assumptions!$B$4*S800+IF(AA800=1,Assumptions!$B$11,Assumptions!$B$5)*X800+IF(AA800=1,Assumptions!$B$12,Assumptions!$B$6)*T800+Assumptions!$B$7*U800+Assumptions!$B$8*V800+Assumptions!$B$9*Y800</f>
        <v>0.430253</v>
      </c>
      <c r="AA800" s="3" t="n">
        <v>0</v>
      </c>
    </row>
    <row r="801" customFormat="false" ht="15" hidden="false" customHeight="false" outlineLevel="0" collapsed="false">
      <c r="A801" s="3" t="s">
        <v>986</v>
      </c>
      <c r="B801" s="3" t="n">
        <v>476</v>
      </c>
      <c r="C801" s="11" t="str">
        <f aca="false">IF(M801&gt;=Assumptions!$B$17,"S+",IF(M801&gt;=Assumptions!$B$18,"S",IF(M801&gt;=Assumptions!$B$19,"A",IF(M801&gt;=Assumptions!$B$20,"B",IF(M801&gt;=Assumptions!$B$21,"C",IF(M801&gt;=Assumptions!$B$22,"D","F"))))))</f>
        <v>D</v>
      </c>
      <c r="D801" s="3" t="s">
        <v>197</v>
      </c>
      <c r="E801" s="3" t="n">
        <v>1</v>
      </c>
      <c r="F801" s="12" t="n">
        <v>0.7881</v>
      </c>
      <c r="G801" s="12" t="n">
        <v>0.4</v>
      </c>
      <c r="H801" s="12" t="n">
        <v>0.75</v>
      </c>
      <c r="I801" s="12" t="n">
        <v>0.6175</v>
      </c>
      <c r="J801" s="12" t="n">
        <v>0.3989</v>
      </c>
      <c r="K801" s="12" t="n">
        <v>0.5202</v>
      </c>
      <c r="L801" s="3" t="n">
        <v>5.74</v>
      </c>
      <c r="M801" s="12" t="n">
        <f aca="false">Z801-W801</f>
        <v>0.0154040000000001</v>
      </c>
      <c r="N801" s="12" t="n">
        <f aca="false">IFERROR((Z801-J801)/L801,"")</f>
        <v>0.0211331010452962</v>
      </c>
      <c r="O801" s="3" t="n">
        <v>19</v>
      </c>
      <c r="P801" s="13" t="b">
        <f aca="false">FALSE()</f>
        <v>0</v>
      </c>
      <c r="Q801" s="3" t="s">
        <v>166</v>
      </c>
      <c r="R801" s="12" t="n">
        <v>0.7024</v>
      </c>
      <c r="S801" s="12" t="n">
        <v>0.5273</v>
      </c>
      <c r="T801" s="3" t="n">
        <v>0.4996</v>
      </c>
      <c r="U801" s="12" t="n">
        <v>0.3765</v>
      </c>
      <c r="V801" s="12" t="n">
        <v>0.5307</v>
      </c>
      <c r="W801" s="12" t="n">
        <v>0.5048</v>
      </c>
      <c r="X801" s="3" t="n">
        <v>0.2786</v>
      </c>
      <c r="Y801" s="3" t="n">
        <v>0.5793</v>
      </c>
      <c r="Z801" s="14" t="n">
        <f aca="false">Assumptions!$B$3*R801+Assumptions!$B$4*S801+IF(AA801=1,Assumptions!$B$11,Assumptions!$B$5)*X801+IF(AA801=1,Assumptions!$B$12,Assumptions!$B$6)*T801+Assumptions!$B$7*U801+Assumptions!$B$8*V801+Assumptions!$B$9*Y801</f>
        <v>0.520204</v>
      </c>
      <c r="AA801" s="3" t="n">
        <v>0</v>
      </c>
    </row>
    <row r="802" customFormat="false" ht="15" hidden="false" customHeight="false" outlineLevel="0" collapsed="false">
      <c r="A802" s="3" t="s">
        <v>987</v>
      </c>
      <c r="B802" s="3" t="n">
        <v>425</v>
      </c>
      <c r="C802" s="11" t="str">
        <f aca="false">IF(M802&gt;=Assumptions!$B$17,"S+",IF(M802&gt;=Assumptions!$B$18,"S",IF(M802&gt;=Assumptions!$B$19,"A",IF(M802&gt;=Assumptions!$B$20,"B",IF(M802&gt;=Assumptions!$B$21,"C",IF(M802&gt;=Assumptions!$B$22,"D","F"))))))</f>
        <v>D</v>
      </c>
      <c r="D802" s="3" t="s">
        <v>218</v>
      </c>
      <c r="E802" s="3" t="n">
        <v>1</v>
      </c>
      <c r="F802" s="12" t="n">
        <v>0.6609</v>
      </c>
      <c r="G802" s="12" t="n">
        <v>1</v>
      </c>
      <c r="H802" s="12" t="n">
        <v>0.75</v>
      </c>
      <c r="I802" s="12" t="n">
        <v>0.8415</v>
      </c>
      <c r="J802" s="12" t="n">
        <v>0.3972</v>
      </c>
      <c r="K802" s="12" t="n">
        <v>0.5381</v>
      </c>
      <c r="L802" s="3" t="n">
        <v>3.61</v>
      </c>
      <c r="M802" s="12" t="n">
        <f aca="false">Z802-W802</f>
        <v>0.014975</v>
      </c>
      <c r="N802" s="12" t="n">
        <f aca="false">IFERROR((Z802-J802)/L802,"")</f>
        <v>0.0390235457063712</v>
      </c>
      <c r="O802" s="3" t="n">
        <v>19</v>
      </c>
      <c r="P802" s="13" t="b">
        <f aca="false">FALSE()</f>
        <v>0</v>
      </c>
      <c r="Q802" s="3" t="s">
        <v>166</v>
      </c>
      <c r="R802" s="12" t="n">
        <v>0.7837</v>
      </c>
      <c r="S802" s="12" t="n">
        <v>0.5102</v>
      </c>
      <c r="T802" s="3" t="n">
        <v>0.4792</v>
      </c>
      <c r="U802" s="12" t="n">
        <v>0.3401</v>
      </c>
      <c r="V802" s="12" t="n">
        <v>0.4579</v>
      </c>
      <c r="W802" s="12" t="n">
        <v>0.5231</v>
      </c>
      <c r="X802" s="3" t="n">
        <v>0.2145</v>
      </c>
      <c r="Y802" s="3" t="n">
        <v>0.8158</v>
      </c>
      <c r="Z802" s="14" t="n">
        <f aca="false">Assumptions!$B$3*R802+Assumptions!$B$4*S802+IF(AA802=1,Assumptions!$B$11,Assumptions!$B$5)*X802+IF(AA802=1,Assumptions!$B$12,Assumptions!$B$6)*T802+Assumptions!$B$7*U802+Assumptions!$B$8*V802+Assumptions!$B$9*Y802</f>
        <v>0.538075</v>
      </c>
      <c r="AA802" s="3" t="n">
        <v>0</v>
      </c>
    </row>
    <row r="803" customFormat="false" ht="15" hidden="false" customHeight="false" outlineLevel="0" collapsed="false">
      <c r="A803" s="3" t="s">
        <v>988</v>
      </c>
      <c r="B803" s="3" t="n">
        <v>318</v>
      </c>
      <c r="C803" s="11" t="str">
        <f aca="false">IF(M803&gt;=Assumptions!$B$17,"S+",IF(M803&gt;=Assumptions!$B$18,"S",IF(M803&gt;=Assumptions!$B$19,"A",IF(M803&gt;=Assumptions!$B$20,"B",IF(M803&gt;=Assumptions!$B$21,"C",IF(M803&gt;=Assumptions!$B$22,"D","F"))))))</f>
        <v>D</v>
      </c>
      <c r="D803" s="3" t="s">
        <v>175</v>
      </c>
      <c r="E803" s="3" t="n">
        <v>1</v>
      </c>
      <c r="F803" s="12" t="n">
        <v>0.5179</v>
      </c>
      <c r="G803" s="12" t="n">
        <v>0.6</v>
      </c>
      <c r="H803" s="12" t="n">
        <v>0.75</v>
      </c>
      <c r="I803" s="12" t="n">
        <v>0.6177</v>
      </c>
      <c r="J803" s="12" t="n">
        <v>0.2356</v>
      </c>
      <c r="K803" s="12" t="n">
        <v>0.4636</v>
      </c>
      <c r="L803" s="3" t="n">
        <v>5.74</v>
      </c>
      <c r="M803" s="12" t="n">
        <f aca="false">Z803-W803</f>
        <v>0.014795</v>
      </c>
      <c r="N803" s="12" t="n">
        <f aca="false">IFERROR((Z803-J803)/L803,"")</f>
        <v>0.0397203832752613</v>
      </c>
      <c r="O803" s="3" t="n">
        <v>19</v>
      </c>
      <c r="P803" s="13" t="b">
        <f aca="false">FALSE()</f>
        <v>0</v>
      </c>
      <c r="Q803" s="3" t="s">
        <v>166</v>
      </c>
      <c r="R803" s="12" t="n">
        <v>0.631</v>
      </c>
      <c r="S803" s="12" t="n">
        <v>0.429</v>
      </c>
      <c r="T803" s="3" t="n">
        <v>0.0993</v>
      </c>
      <c r="U803" s="12" t="n">
        <v>0.3846</v>
      </c>
      <c r="V803" s="12" t="n">
        <v>0.4497</v>
      </c>
      <c r="W803" s="12" t="n">
        <v>0.4488</v>
      </c>
      <c r="X803" s="3" t="n">
        <v>0.4997</v>
      </c>
      <c r="Y803" s="3" t="n">
        <v>0.5539</v>
      </c>
      <c r="Z803" s="14" t="n">
        <f aca="false">Assumptions!$B$3*R803+Assumptions!$B$4*S803+IF(AA803=1,Assumptions!$B$11,Assumptions!$B$5)*X803+IF(AA803=1,Assumptions!$B$12,Assumptions!$B$6)*T803+Assumptions!$B$7*U803+Assumptions!$B$8*V803+Assumptions!$B$9*Y803</f>
        <v>0.463595</v>
      </c>
      <c r="AA803" s="3" t="n">
        <v>0</v>
      </c>
    </row>
    <row r="804" customFormat="false" ht="15" hidden="false" customHeight="false" outlineLevel="0" collapsed="false">
      <c r="A804" s="3" t="s">
        <v>989</v>
      </c>
      <c r="B804" s="3" t="n">
        <v>405</v>
      </c>
      <c r="C804" s="11" t="str">
        <f aca="false">IF(M804&gt;=Assumptions!$B$17,"S+",IF(M804&gt;=Assumptions!$B$18,"S",IF(M804&gt;=Assumptions!$B$19,"A",IF(M804&gt;=Assumptions!$B$20,"B",IF(M804&gt;=Assumptions!$B$21,"C",IF(M804&gt;=Assumptions!$B$22,"D","F"))))))</f>
        <v>D</v>
      </c>
      <c r="D804" s="3" t="s">
        <v>253</v>
      </c>
      <c r="E804" s="3" t="n">
        <v>2</v>
      </c>
      <c r="F804" s="12" t="n">
        <v>0.6297</v>
      </c>
      <c r="G804" s="12" t="n">
        <v>0.4</v>
      </c>
      <c r="H804" s="12" t="n">
        <v>0.75</v>
      </c>
      <c r="I804" s="12" t="n">
        <v>0.5435</v>
      </c>
      <c r="J804" s="12" t="n">
        <v>0.3511</v>
      </c>
      <c r="K804" s="12" t="n">
        <v>0.5397</v>
      </c>
      <c r="L804" s="3" t="n">
        <v>3.75</v>
      </c>
      <c r="M804" s="12" t="n">
        <f aca="false">Z804-W804</f>
        <v>0.014186</v>
      </c>
      <c r="N804" s="12" t="n">
        <f aca="false">IFERROR((Z804-J804)/L804,"")</f>
        <v>0.0502896</v>
      </c>
      <c r="O804" s="3" t="n">
        <v>18</v>
      </c>
      <c r="P804" s="13" t="b">
        <f aca="false">FALSE()</f>
        <v>0</v>
      </c>
      <c r="Q804" s="3" t="s">
        <v>166</v>
      </c>
      <c r="R804" s="12" t="n">
        <v>0.6723</v>
      </c>
      <c r="S804" s="12" t="n">
        <v>0.6088</v>
      </c>
      <c r="T804" s="3" t="n">
        <v>0.1113</v>
      </c>
      <c r="U804" s="12" t="n">
        <v>0.4444</v>
      </c>
      <c r="V804" s="12" t="n">
        <v>0.517</v>
      </c>
      <c r="W804" s="12" t="n">
        <v>0.5255</v>
      </c>
      <c r="X804" s="3" t="n">
        <v>0.6637</v>
      </c>
      <c r="Y804" s="3" t="n">
        <v>0.5271</v>
      </c>
      <c r="Z804" s="14" t="n">
        <f aca="false">Assumptions!$B$3*R804+Assumptions!$B$4*S804+IF(AA804=1,Assumptions!$B$11,Assumptions!$B$5)*X804+IF(AA804=1,Assumptions!$B$12,Assumptions!$B$6)*T804+Assumptions!$B$7*U804+Assumptions!$B$8*V804+Assumptions!$B$9*Y804</f>
        <v>0.539686</v>
      </c>
      <c r="AA804" s="3" t="n">
        <v>0</v>
      </c>
    </row>
    <row r="805" customFormat="false" ht="15" hidden="false" customHeight="false" outlineLevel="0" collapsed="false">
      <c r="A805" s="3" t="s">
        <v>990</v>
      </c>
      <c r="B805" s="3" t="n">
        <v>445</v>
      </c>
      <c r="C805" s="11" t="str">
        <f aca="false">IF(M805&gt;=Assumptions!$B$17,"S+",IF(M805&gt;=Assumptions!$B$18,"S",IF(M805&gt;=Assumptions!$B$19,"A",IF(M805&gt;=Assumptions!$B$20,"B",IF(M805&gt;=Assumptions!$B$21,"C",IF(M805&gt;=Assumptions!$B$22,"D","F"))))))</f>
        <v>D</v>
      </c>
      <c r="D805" s="3" t="s">
        <v>218</v>
      </c>
      <c r="E805" s="3" t="n">
        <v>4</v>
      </c>
      <c r="F805" s="12" t="n">
        <v>0.5648</v>
      </c>
      <c r="G805" s="12" t="n">
        <v>1</v>
      </c>
      <c r="H805" s="12" t="n">
        <v>0.75</v>
      </c>
      <c r="I805" s="12" t="n">
        <v>0.8107</v>
      </c>
      <c r="J805" s="12" t="n">
        <v>0.3357</v>
      </c>
      <c r="K805" s="12" t="n">
        <v>0.5336</v>
      </c>
      <c r="L805" s="3" t="n">
        <v>4.88</v>
      </c>
      <c r="M805" s="12" t="n">
        <f aca="false">Z805-W805</f>
        <v>0.0142600000000001</v>
      </c>
      <c r="N805" s="12" t="n">
        <f aca="false">IFERROR((Z805-J805)/L805,"")</f>
        <v>0.0405655737704918</v>
      </c>
      <c r="O805" s="3" t="n">
        <v>16</v>
      </c>
      <c r="P805" s="13" t="b">
        <f aca="false">FALSE()</f>
        <v>0</v>
      </c>
      <c r="Q805" s="3" t="s">
        <v>166</v>
      </c>
      <c r="R805" s="12" t="n">
        <v>0.6844</v>
      </c>
      <c r="S805" s="12" t="n">
        <v>0.4487</v>
      </c>
      <c r="T805" s="3" t="n">
        <v>0.5859</v>
      </c>
      <c r="U805" s="12" t="n">
        <v>0.399</v>
      </c>
      <c r="V805" s="12" t="n">
        <v>0.4637</v>
      </c>
      <c r="W805" s="12" t="n">
        <v>0.5194</v>
      </c>
      <c r="X805" s="3" t="n">
        <v>0.3026</v>
      </c>
      <c r="Y805" s="3" t="n">
        <v>0.7878</v>
      </c>
      <c r="Z805" s="14" t="n">
        <f aca="false">Assumptions!$B$3*R805+Assumptions!$B$4*S805+IF(AA805=1,Assumptions!$B$11,Assumptions!$B$5)*X805+IF(AA805=1,Assumptions!$B$12,Assumptions!$B$6)*T805+Assumptions!$B$7*U805+Assumptions!$B$8*V805+Assumptions!$B$9*Y805</f>
        <v>0.53366</v>
      </c>
      <c r="AA805" s="3" t="n">
        <v>0</v>
      </c>
    </row>
    <row r="806" customFormat="false" ht="15" hidden="false" customHeight="false" outlineLevel="0" collapsed="false">
      <c r="A806" s="3" t="s">
        <v>991</v>
      </c>
      <c r="B806" s="3" t="n">
        <v>319</v>
      </c>
      <c r="C806" s="11" t="str">
        <f aca="false">IF(M806&gt;=Assumptions!$B$17,"S+",IF(M806&gt;=Assumptions!$B$18,"S",IF(M806&gt;=Assumptions!$B$19,"A",IF(M806&gt;=Assumptions!$B$20,"B",IF(M806&gt;=Assumptions!$B$21,"C",IF(M806&gt;=Assumptions!$B$22,"D","F"))))))</f>
        <v>D</v>
      </c>
      <c r="D806" s="3" t="s">
        <v>197</v>
      </c>
      <c r="E806" s="3" t="n">
        <v>1</v>
      </c>
      <c r="F806" s="12" t="n">
        <v>0.5622</v>
      </c>
      <c r="G806" s="12" t="n">
        <v>0.6</v>
      </c>
      <c r="H806" s="12" t="n">
        <v>0.75</v>
      </c>
      <c r="I806" s="12" t="n">
        <v>0.6156</v>
      </c>
      <c r="J806" s="12" t="n">
        <v>0.3246</v>
      </c>
      <c r="K806" s="12" t="n">
        <v>0.4685</v>
      </c>
      <c r="L806" s="3" t="n">
        <v>5.61</v>
      </c>
      <c r="M806" s="12" t="n">
        <f aca="false">Z806-W806</f>
        <v>0.013368</v>
      </c>
      <c r="N806" s="12" t="n">
        <f aca="false">IFERROR((Z806-J806)/L806,"")</f>
        <v>0.0256449197860963</v>
      </c>
      <c r="O806" s="3" t="n">
        <v>19</v>
      </c>
      <c r="P806" s="13" t="b">
        <f aca="false">FALSE()</f>
        <v>0</v>
      </c>
      <c r="Q806" s="3" t="s">
        <v>166</v>
      </c>
      <c r="R806" s="12" t="n">
        <v>0.5748</v>
      </c>
      <c r="S806" s="12" t="n">
        <v>0.3829</v>
      </c>
      <c r="T806" s="3" t="n">
        <v>0.3419</v>
      </c>
      <c r="U806" s="12" t="n">
        <v>0.5547</v>
      </c>
      <c r="V806" s="12" t="n">
        <v>0.5063</v>
      </c>
      <c r="W806" s="12" t="n">
        <v>0.4551</v>
      </c>
      <c r="X806" s="3" t="n">
        <v>0.3369</v>
      </c>
      <c r="Y806" s="3" t="n">
        <v>0.5549</v>
      </c>
      <c r="Z806" s="14" t="n">
        <f aca="false">Assumptions!$B$3*R806+Assumptions!$B$4*S806+IF(AA806=1,Assumptions!$B$11,Assumptions!$B$5)*X806+IF(AA806=1,Assumptions!$B$12,Assumptions!$B$6)*T806+Assumptions!$B$7*U806+Assumptions!$B$8*V806+Assumptions!$B$9*Y806</f>
        <v>0.468468</v>
      </c>
      <c r="AA806" s="3" t="n">
        <v>0</v>
      </c>
    </row>
    <row r="807" customFormat="false" ht="15" hidden="false" customHeight="false" outlineLevel="0" collapsed="false">
      <c r="A807" s="3" t="s">
        <v>992</v>
      </c>
      <c r="B807" s="3" t="n">
        <v>485</v>
      </c>
      <c r="C807" s="11" t="str">
        <f aca="false">IF(M807&gt;=Assumptions!$B$17,"S+",IF(M807&gt;=Assumptions!$B$18,"S",IF(M807&gt;=Assumptions!$B$19,"A",IF(M807&gt;=Assumptions!$B$20,"B",IF(M807&gt;=Assumptions!$B$21,"C",IF(M807&gt;=Assumptions!$B$22,"D","F"))))))</f>
        <v>D</v>
      </c>
      <c r="D807" s="3" t="s">
        <v>228</v>
      </c>
      <c r="E807" s="3" t="n">
        <v>6</v>
      </c>
      <c r="F807" s="12" t="n">
        <v>0.8485</v>
      </c>
      <c r="G807" s="12" t="n">
        <v>0.6</v>
      </c>
      <c r="H807" s="12" t="n">
        <v>0.75</v>
      </c>
      <c r="I807" s="12" t="n">
        <v>0.7095</v>
      </c>
      <c r="J807" s="12" t="n">
        <v>0.3183</v>
      </c>
      <c r="K807" s="12" t="n">
        <v>0.4754</v>
      </c>
      <c r="L807" s="3" t="n">
        <v>5</v>
      </c>
      <c r="M807" s="12" t="n">
        <f aca="false">Z807-W807</f>
        <v>0.013362</v>
      </c>
      <c r="N807" s="12" t="n">
        <f aca="false">IFERROR((Z807-J807)/L807,"")</f>
        <v>0.0314124</v>
      </c>
      <c r="O807" s="3" t="n">
        <v>14</v>
      </c>
      <c r="P807" s="13" t="b">
        <f aca="false">FALSE()</f>
        <v>0</v>
      </c>
      <c r="Q807" s="3" t="s">
        <v>166</v>
      </c>
      <c r="R807" s="12" t="n">
        <v>0.7913</v>
      </c>
      <c r="S807" s="12" t="n">
        <v>0.3106</v>
      </c>
      <c r="T807" s="3" t="n">
        <v>0.2044</v>
      </c>
      <c r="U807" s="12" t="n">
        <v>0.4121</v>
      </c>
      <c r="V807" s="12" t="n">
        <v>0.427</v>
      </c>
      <c r="W807" s="12" t="n">
        <v>0.462</v>
      </c>
      <c r="X807" s="3" t="n">
        <v>0.2441</v>
      </c>
      <c r="Y807" s="3" t="n">
        <v>0.7127</v>
      </c>
      <c r="Z807" s="14" t="n">
        <f aca="false">Assumptions!$B$3*R807+Assumptions!$B$4*S807+IF(AA807=1,Assumptions!$B$11,Assumptions!$B$5)*X807+IF(AA807=1,Assumptions!$B$12,Assumptions!$B$6)*T807+Assumptions!$B$7*U807+Assumptions!$B$8*V807+Assumptions!$B$9*Y807</f>
        <v>0.475362</v>
      </c>
      <c r="AA807" s="3" t="n">
        <v>0</v>
      </c>
    </row>
    <row r="808" customFormat="false" ht="15" hidden="false" customHeight="false" outlineLevel="0" collapsed="false">
      <c r="A808" s="3" t="s">
        <v>993</v>
      </c>
      <c r="B808" s="3" t="n">
        <v>570</v>
      </c>
      <c r="C808" s="11" t="str">
        <f aca="false">IF(M808&gt;=Assumptions!$B$17,"S+",IF(M808&gt;=Assumptions!$B$18,"S",IF(M808&gt;=Assumptions!$B$19,"A",IF(M808&gt;=Assumptions!$B$20,"B",IF(M808&gt;=Assumptions!$B$21,"C",IF(M808&gt;=Assumptions!$B$22,"D","F"))))))</f>
        <v>D</v>
      </c>
      <c r="D808" s="3" t="s">
        <v>218</v>
      </c>
      <c r="E808" s="3" t="n">
        <v>1</v>
      </c>
      <c r="F808" s="12" t="n">
        <v>0.8773</v>
      </c>
      <c r="G808" s="12" t="n">
        <v>0.6</v>
      </c>
      <c r="H808" s="12" t="n">
        <v>0.75</v>
      </c>
      <c r="I808" s="12" t="n">
        <v>0.7187</v>
      </c>
      <c r="J808" s="12" t="n">
        <v>0.438</v>
      </c>
      <c r="K808" s="12" t="n">
        <v>0.5261</v>
      </c>
      <c r="L808" s="3" t="n">
        <v>3.92</v>
      </c>
      <c r="M808" s="12" t="n">
        <f aca="false">Z808-W808</f>
        <v>0.0132519999999999</v>
      </c>
      <c r="N808" s="12" t="n">
        <f aca="false">IFERROR((Z808-J808)/L808,"")</f>
        <v>0.0224622448979592</v>
      </c>
      <c r="O808" s="3" t="n">
        <v>19</v>
      </c>
      <c r="P808" s="13" t="b">
        <f aca="false">FALSE()</f>
        <v>0</v>
      </c>
      <c r="Q808" s="3" t="s">
        <v>166</v>
      </c>
      <c r="R808" s="12" t="n">
        <v>0.7615</v>
      </c>
      <c r="S808" s="12" t="n">
        <v>0.6049</v>
      </c>
      <c r="T808" s="3" t="n">
        <v>0.2233</v>
      </c>
      <c r="U808" s="12" t="n">
        <v>0.3603</v>
      </c>
      <c r="V808" s="12" t="n">
        <v>0.3861</v>
      </c>
      <c r="W808" s="12" t="n">
        <v>0.5128</v>
      </c>
      <c r="X808" s="3" t="n">
        <v>0.399</v>
      </c>
      <c r="Y808" s="3" t="n">
        <v>0.6819</v>
      </c>
      <c r="Z808" s="14" t="n">
        <f aca="false">Assumptions!$B$3*R808+Assumptions!$B$4*S808+IF(AA808=1,Assumptions!$B$11,Assumptions!$B$5)*X808+IF(AA808=1,Assumptions!$B$12,Assumptions!$B$6)*T808+Assumptions!$B$7*U808+Assumptions!$B$8*V808+Assumptions!$B$9*Y808</f>
        <v>0.526052</v>
      </c>
      <c r="AA808" s="3" t="n">
        <v>0</v>
      </c>
    </row>
    <row r="809" customFormat="false" ht="15" hidden="false" customHeight="false" outlineLevel="0" collapsed="false">
      <c r="A809" s="3" t="s">
        <v>994</v>
      </c>
      <c r="B809" s="3" t="n">
        <v>534</v>
      </c>
      <c r="C809" s="11" t="str">
        <f aca="false">IF(M809&gt;=Assumptions!$B$17,"S+",IF(M809&gt;=Assumptions!$B$18,"S",IF(M809&gt;=Assumptions!$B$19,"A",IF(M809&gt;=Assumptions!$B$20,"B",IF(M809&gt;=Assumptions!$B$21,"C",IF(M809&gt;=Assumptions!$B$22,"D","F"))))))</f>
        <v>D</v>
      </c>
      <c r="D809" s="3" t="s">
        <v>253</v>
      </c>
      <c r="E809" s="3" t="n">
        <v>7</v>
      </c>
      <c r="F809" s="12" t="n">
        <v>0.899</v>
      </c>
      <c r="G809" s="12" t="n">
        <v>0.6</v>
      </c>
      <c r="H809" s="12" t="n">
        <v>0.75</v>
      </c>
      <c r="I809" s="12" t="n">
        <v>0.7257</v>
      </c>
      <c r="J809" s="12" t="n">
        <v>0.3743</v>
      </c>
      <c r="K809" s="12" t="n">
        <v>0.5427</v>
      </c>
      <c r="L809" s="3" t="n">
        <v>4</v>
      </c>
      <c r="M809" s="12" t="n">
        <f aca="false">Z809-W809</f>
        <v>0.013193</v>
      </c>
      <c r="N809" s="12" t="n">
        <f aca="false">IFERROR((Z809-J809)/L809,"")</f>
        <v>0.04209825</v>
      </c>
      <c r="O809" s="3" t="n">
        <v>13</v>
      </c>
      <c r="P809" s="13" t="b">
        <f aca="false">FALSE()</f>
        <v>0</v>
      </c>
      <c r="Q809" s="3" t="s">
        <v>166</v>
      </c>
      <c r="R809" s="12" t="n">
        <v>0.841</v>
      </c>
      <c r="S809" s="12" t="n">
        <v>0.4489</v>
      </c>
      <c r="T809" s="3" t="n">
        <v>0.2981</v>
      </c>
      <c r="U809" s="12" t="n">
        <v>0.3373</v>
      </c>
      <c r="V809" s="12" t="n">
        <v>0.518</v>
      </c>
      <c r="W809" s="12" t="n">
        <v>0.5295</v>
      </c>
      <c r="X809" s="3" t="n">
        <v>0.3591</v>
      </c>
      <c r="Y809" s="3" t="n">
        <v>0.7276</v>
      </c>
      <c r="Z809" s="14" t="n">
        <f aca="false">Assumptions!$B$3*R809+Assumptions!$B$4*S809+IF(AA809=1,Assumptions!$B$11,Assumptions!$B$5)*X809+IF(AA809=1,Assumptions!$B$12,Assumptions!$B$6)*T809+Assumptions!$B$7*U809+Assumptions!$B$8*V809+Assumptions!$B$9*Y809</f>
        <v>0.542693</v>
      </c>
      <c r="AA809" s="3" t="n">
        <v>0</v>
      </c>
    </row>
    <row r="810" customFormat="false" ht="15" hidden="false" customHeight="false" outlineLevel="0" collapsed="false">
      <c r="A810" s="3" t="s">
        <v>995</v>
      </c>
      <c r="B810" s="3" t="n">
        <v>330</v>
      </c>
      <c r="C810" s="11" t="str">
        <f aca="false">IF(M810&gt;=Assumptions!$B$17,"S+",IF(M810&gt;=Assumptions!$B$18,"S",IF(M810&gt;=Assumptions!$B$19,"A",IF(M810&gt;=Assumptions!$B$20,"B",IF(M810&gt;=Assumptions!$B$21,"C",IF(M810&gt;=Assumptions!$B$22,"D","F"))))))</f>
        <v>D</v>
      </c>
      <c r="D810" s="3" t="s">
        <v>183</v>
      </c>
      <c r="E810" s="3" t="n">
        <v>1</v>
      </c>
      <c r="F810" s="12" t="n">
        <v>0.6721</v>
      </c>
      <c r="G810" s="12" t="n">
        <v>0.64</v>
      </c>
      <c r="H810" s="12" t="n">
        <v>0.4722</v>
      </c>
      <c r="I810" s="12" t="n">
        <v>0.607</v>
      </c>
      <c r="J810" s="12" t="n">
        <v>0.3326</v>
      </c>
      <c r="K810" s="12" t="n">
        <v>0.5058</v>
      </c>
      <c r="L810" s="3" t="n">
        <v>5.55</v>
      </c>
      <c r="M810" s="12" t="n">
        <f aca="false">Z810-W810</f>
        <v>0.013207</v>
      </c>
      <c r="N810" s="12" t="n">
        <f aca="false">IFERROR((Z810-J810)/L810,"")</f>
        <v>0.0312084684684685</v>
      </c>
      <c r="O810" s="3" t="n">
        <v>19</v>
      </c>
      <c r="P810" s="13" t="b">
        <f aca="false">FALSE()</f>
        <v>0</v>
      </c>
      <c r="Q810" s="3" t="s">
        <v>166</v>
      </c>
      <c r="R810" s="12" t="n">
        <v>0.6148</v>
      </c>
      <c r="S810" s="12" t="n">
        <v>0.4619</v>
      </c>
      <c r="T810" s="3" t="n">
        <v>0.2735</v>
      </c>
      <c r="U810" s="12" t="n">
        <v>0.3036</v>
      </c>
      <c r="V810" s="12" t="n">
        <v>0.4722</v>
      </c>
      <c r="W810" s="12" t="n">
        <v>0.4926</v>
      </c>
      <c r="X810" s="3" t="n">
        <v>0.5233</v>
      </c>
      <c r="Y810" s="3" t="n">
        <v>0.5784</v>
      </c>
      <c r="Z810" s="14" t="n">
        <f aca="false">Assumptions!$B$3*R810+Assumptions!$B$4*S810+IF(AA810=1,Assumptions!$B$11,Assumptions!$B$5)*X810+IF(AA810=1,Assumptions!$B$12,Assumptions!$B$6)*T810+Assumptions!$B$7*U810+Assumptions!$B$8*V810+Assumptions!$B$9*Y810</f>
        <v>0.505807</v>
      </c>
      <c r="AA810" s="3" t="n">
        <v>1</v>
      </c>
    </row>
    <row r="811" customFormat="false" ht="15" hidden="false" customHeight="false" outlineLevel="0" collapsed="false">
      <c r="A811" s="3" t="s">
        <v>996</v>
      </c>
      <c r="B811" s="3" t="n">
        <v>470</v>
      </c>
      <c r="C811" s="11" t="str">
        <f aca="false">IF(M811&gt;=Assumptions!$B$17,"S+",IF(M811&gt;=Assumptions!$B$18,"S",IF(M811&gt;=Assumptions!$B$19,"A",IF(M811&gt;=Assumptions!$B$20,"B",IF(M811&gt;=Assumptions!$B$21,"C",IF(M811&gt;=Assumptions!$B$22,"D","F"))))))</f>
        <v>D</v>
      </c>
      <c r="D811" s="3" t="s">
        <v>218</v>
      </c>
      <c r="E811" s="3" t="n">
        <v>7</v>
      </c>
      <c r="F811" s="12" t="n">
        <v>0.4779</v>
      </c>
      <c r="G811" s="12" t="n">
        <v>0.6</v>
      </c>
      <c r="H811" s="12" t="n">
        <v>0.75</v>
      </c>
      <c r="I811" s="12" t="n">
        <v>0.5909</v>
      </c>
      <c r="J811" s="12" t="n">
        <v>0.2897</v>
      </c>
      <c r="K811" s="12" t="n">
        <v>0.4899</v>
      </c>
      <c r="L811" s="3" t="n">
        <v>5</v>
      </c>
      <c r="M811" s="12" t="n">
        <f aca="false">Z811-W811</f>
        <v>0.012498</v>
      </c>
      <c r="N811" s="12" t="n">
        <f aca="false">IFERROR((Z811-J811)/L811,"")</f>
        <v>0.0400396</v>
      </c>
      <c r="O811" s="3" t="n">
        <v>13</v>
      </c>
      <c r="P811" s="13" t="b">
        <f aca="false">FALSE()</f>
        <v>0</v>
      </c>
      <c r="Q811" s="3" t="s">
        <v>201</v>
      </c>
      <c r="R811" s="12" t="n">
        <v>0.6939</v>
      </c>
      <c r="S811" s="12" t="n">
        <v>0.4309</v>
      </c>
      <c r="T811" s="3" t="n">
        <v>0.4941</v>
      </c>
      <c r="U811" s="12" t="n">
        <v>0.3136</v>
      </c>
      <c r="V811" s="12" t="n">
        <v>0.4619</v>
      </c>
      <c r="W811" s="12" t="n">
        <v>0.4774</v>
      </c>
      <c r="X811" s="3" t="n">
        <v>0.2818</v>
      </c>
      <c r="Y811" s="3" t="n">
        <v>0.583</v>
      </c>
      <c r="Z811" s="14" t="n">
        <f aca="false">Assumptions!$B$3*R811+Assumptions!$B$4*S811+IF(AA811=1,Assumptions!$B$11,Assumptions!$B$5)*X811+IF(AA811=1,Assumptions!$B$12,Assumptions!$B$6)*T811+Assumptions!$B$7*U811+Assumptions!$B$8*V811+Assumptions!$B$9*Y811</f>
        <v>0.489898</v>
      </c>
      <c r="AA811" s="3" t="n">
        <v>0</v>
      </c>
    </row>
    <row r="812" customFormat="false" ht="15" hidden="false" customHeight="false" outlineLevel="0" collapsed="false">
      <c r="A812" s="3" t="s">
        <v>997</v>
      </c>
      <c r="B812" s="3" t="n">
        <v>470</v>
      </c>
      <c r="C812" s="11" t="str">
        <f aca="false">IF(M812&gt;=Assumptions!$B$17,"S+",IF(M812&gt;=Assumptions!$B$18,"S",IF(M812&gt;=Assumptions!$B$19,"A",IF(M812&gt;=Assumptions!$B$20,"B",IF(M812&gt;=Assumptions!$B$21,"C",IF(M812&gt;=Assumptions!$B$22,"D","F"))))))</f>
        <v>D</v>
      </c>
      <c r="D812" s="3" t="s">
        <v>218</v>
      </c>
      <c r="E812" s="3" t="n">
        <v>7</v>
      </c>
      <c r="F812" s="12" t="n">
        <v>0.4779</v>
      </c>
      <c r="G812" s="12" t="n">
        <v>0.6</v>
      </c>
      <c r="H812" s="12" t="n">
        <v>0.75</v>
      </c>
      <c r="I812" s="12" t="n">
        <v>0.5909</v>
      </c>
      <c r="J812" s="12" t="n">
        <v>0.2897</v>
      </c>
      <c r="K812" s="12" t="n">
        <v>0.4899</v>
      </c>
      <c r="L812" s="3" t="n">
        <v>5</v>
      </c>
      <c r="M812" s="12" t="n">
        <f aca="false">Z812-W812</f>
        <v>0.012498</v>
      </c>
      <c r="N812" s="12" t="n">
        <f aca="false">IFERROR((Z812-J812)/L812,"")</f>
        <v>0.0400396</v>
      </c>
      <c r="O812" s="3" t="n">
        <v>13</v>
      </c>
      <c r="P812" s="13" t="b">
        <f aca="false">FALSE()</f>
        <v>0</v>
      </c>
      <c r="Q812" s="3" t="s">
        <v>201</v>
      </c>
      <c r="R812" s="12" t="n">
        <v>0.6939</v>
      </c>
      <c r="S812" s="12" t="n">
        <v>0.4309</v>
      </c>
      <c r="T812" s="3" t="n">
        <v>0.4941</v>
      </c>
      <c r="U812" s="12" t="n">
        <v>0.3136</v>
      </c>
      <c r="V812" s="12" t="n">
        <v>0.4619</v>
      </c>
      <c r="W812" s="12" t="n">
        <v>0.4774</v>
      </c>
      <c r="X812" s="3" t="n">
        <v>0.2818</v>
      </c>
      <c r="Y812" s="3" t="n">
        <v>0.583</v>
      </c>
      <c r="Z812" s="14" t="n">
        <f aca="false">Assumptions!$B$3*R812+Assumptions!$B$4*S812+IF(AA812=1,Assumptions!$B$11,Assumptions!$B$5)*X812+IF(AA812=1,Assumptions!$B$12,Assumptions!$B$6)*T812+Assumptions!$B$7*U812+Assumptions!$B$8*V812+Assumptions!$B$9*Y812</f>
        <v>0.489898</v>
      </c>
      <c r="AA812" s="3" t="n">
        <v>0</v>
      </c>
    </row>
    <row r="813" customFormat="false" ht="15" hidden="false" customHeight="false" outlineLevel="0" collapsed="false">
      <c r="A813" s="3" t="s">
        <v>998</v>
      </c>
      <c r="B813" s="3" t="n">
        <v>505</v>
      </c>
      <c r="C813" s="11" t="str">
        <f aca="false">IF(M813&gt;=Assumptions!$B$17,"S+",IF(M813&gt;=Assumptions!$B$18,"S",IF(M813&gt;=Assumptions!$B$19,"A",IF(M813&gt;=Assumptions!$B$20,"B",IF(M813&gt;=Assumptions!$B$21,"C",IF(M813&gt;=Assumptions!$B$22,"D","F"))))))</f>
        <v>D</v>
      </c>
      <c r="D813" s="3" t="s">
        <v>218</v>
      </c>
      <c r="E813" s="3" t="n">
        <v>4</v>
      </c>
      <c r="F813" s="12" t="n">
        <v>0.7156</v>
      </c>
      <c r="G813" s="12" t="n">
        <v>0.2</v>
      </c>
      <c r="H813" s="12" t="n">
        <v>0.75</v>
      </c>
      <c r="I813" s="12" t="n">
        <v>0.475</v>
      </c>
      <c r="J813" s="12" t="n">
        <v>0.3215</v>
      </c>
      <c r="K813" s="12" t="n">
        <v>0.5232</v>
      </c>
      <c r="L813" s="3" t="n">
        <v>4.31</v>
      </c>
      <c r="M813" s="12" t="n">
        <f aca="false">Z813-W813</f>
        <v>0.011934</v>
      </c>
      <c r="N813" s="12" t="n">
        <f aca="false">IFERROR((Z813-J813)/L813,"")</f>
        <v>0.0468060324825986</v>
      </c>
      <c r="O813" s="3" t="n">
        <v>16</v>
      </c>
      <c r="P813" s="13" t="b">
        <f aca="false">FALSE()</f>
        <v>0</v>
      </c>
      <c r="Q813" s="3" t="s">
        <v>166</v>
      </c>
      <c r="R813" s="12" t="n">
        <v>0.7377</v>
      </c>
      <c r="S813" s="12" t="n">
        <v>0.6098</v>
      </c>
      <c r="T813" s="3" t="n">
        <v>0.2927</v>
      </c>
      <c r="U813" s="12" t="n">
        <v>0.2452</v>
      </c>
      <c r="V813" s="12" t="n">
        <v>0.5056</v>
      </c>
      <c r="W813" s="12" t="n">
        <v>0.5113</v>
      </c>
      <c r="X813" s="3" t="n">
        <v>0.4897</v>
      </c>
      <c r="Y813" s="3" t="n">
        <v>0.4635</v>
      </c>
      <c r="Z813" s="14" t="n">
        <f aca="false">Assumptions!$B$3*R813+Assumptions!$B$4*S813+IF(AA813=1,Assumptions!$B$11,Assumptions!$B$5)*X813+IF(AA813=1,Assumptions!$B$12,Assumptions!$B$6)*T813+Assumptions!$B$7*U813+Assumptions!$B$8*V813+Assumptions!$B$9*Y813</f>
        <v>0.523234</v>
      </c>
      <c r="AA813" s="3" t="n">
        <v>0</v>
      </c>
    </row>
    <row r="814" customFormat="false" ht="15" hidden="false" customHeight="false" outlineLevel="0" collapsed="false">
      <c r="A814" s="3" t="s">
        <v>999</v>
      </c>
      <c r="B814" s="3" t="n">
        <v>362</v>
      </c>
      <c r="C814" s="11" t="str">
        <f aca="false">IF(M814&gt;=Assumptions!$B$17,"S+",IF(M814&gt;=Assumptions!$B$18,"S",IF(M814&gt;=Assumptions!$B$19,"A",IF(M814&gt;=Assumptions!$B$20,"B",IF(M814&gt;=Assumptions!$B$21,"C",IF(M814&gt;=Assumptions!$B$22,"D","F"))))))</f>
        <v>D</v>
      </c>
      <c r="D814" s="3" t="s">
        <v>186</v>
      </c>
      <c r="E814" s="3" t="n">
        <v>4</v>
      </c>
      <c r="F814" s="12" t="n">
        <v>0.49</v>
      </c>
      <c r="G814" s="12" t="n">
        <v>0.85</v>
      </c>
      <c r="H814" s="12" t="n">
        <v>0.75</v>
      </c>
      <c r="I814" s="12" t="n">
        <v>0.7652</v>
      </c>
      <c r="J814" s="12" t="n">
        <v>0.2823</v>
      </c>
      <c r="K814" s="12" t="n">
        <v>0.4577</v>
      </c>
      <c r="L814" s="3" t="n">
        <v>5.88</v>
      </c>
      <c r="M814" s="12" t="n">
        <f aca="false">Z814-W814</f>
        <v>0.0117949999999999</v>
      </c>
      <c r="N814" s="12" t="n">
        <f aca="false">IFERROR((Z814-J814)/L814,"")</f>
        <v>0.0298290816326531</v>
      </c>
      <c r="O814" s="3" t="n">
        <v>16</v>
      </c>
      <c r="P814" s="13" t="b">
        <f aca="false">FALSE()</f>
        <v>0</v>
      </c>
      <c r="Q814" s="3" t="s">
        <v>166</v>
      </c>
      <c r="R814" s="12" t="n">
        <v>0.7357</v>
      </c>
      <c r="S814" s="12" t="n">
        <v>0.3043</v>
      </c>
      <c r="T814" s="3" t="n">
        <v>0.1172</v>
      </c>
      <c r="U814" s="12" t="n">
        <v>0.3461</v>
      </c>
      <c r="V814" s="12" t="n">
        <v>0.4196</v>
      </c>
      <c r="W814" s="12" t="n">
        <v>0.4459</v>
      </c>
      <c r="X814" s="3" t="n">
        <v>0.2541</v>
      </c>
      <c r="Y814" s="3" t="n">
        <v>0.7433</v>
      </c>
      <c r="Z814" s="14" t="n">
        <f aca="false">Assumptions!$B$3*R814+Assumptions!$B$4*S814+IF(AA814=1,Assumptions!$B$11,Assumptions!$B$5)*X814+IF(AA814=1,Assumptions!$B$12,Assumptions!$B$6)*T814+Assumptions!$B$7*U814+Assumptions!$B$8*V814+Assumptions!$B$9*Y814</f>
        <v>0.457695</v>
      </c>
      <c r="AA814" s="3" t="n">
        <v>1</v>
      </c>
    </row>
    <row r="815" customFormat="false" ht="15" hidden="false" customHeight="false" outlineLevel="0" collapsed="false">
      <c r="A815" s="3" t="s">
        <v>1000</v>
      </c>
      <c r="B815" s="3" t="n">
        <v>280</v>
      </c>
      <c r="C815" s="11" t="str">
        <f aca="false">IF(M815&gt;=Assumptions!$B$17,"S+",IF(M815&gt;=Assumptions!$B$18,"S",IF(M815&gt;=Assumptions!$B$19,"A",IF(M815&gt;=Assumptions!$B$20,"B",IF(M815&gt;=Assumptions!$B$21,"C",IF(M815&gt;=Assumptions!$B$22,"D","F"))))))</f>
        <v>D</v>
      </c>
      <c r="D815" s="3" t="s">
        <v>253</v>
      </c>
      <c r="E815" s="3" t="n">
        <v>1</v>
      </c>
      <c r="F815" s="12" t="n">
        <v>0.2546</v>
      </c>
      <c r="G815" s="12" t="n">
        <v>1</v>
      </c>
      <c r="H815" s="12" t="n">
        <v>0.75</v>
      </c>
      <c r="I815" s="12" t="n">
        <v>0.7115</v>
      </c>
      <c r="J815" s="12" t="n">
        <v>0.3495</v>
      </c>
      <c r="K815" s="12" t="n">
        <v>0.5327</v>
      </c>
      <c r="L815" s="3" t="n">
        <v>5.58</v>
      </c>
      <c r="M815" s="12" t="n">
        <f aca="false">Z815-W815</f>
        <v>0.011675</v>
      </c>
      <c r="N815" s="12" t="n">
        <f aca="false">IFERROR((Z815-J815)/L815,"")</f>
        <v>0.0328270609318996</v>
      </c>
      <c r="O815" s="3" t="n">
        <v>19</v>
      </c>
      <c r="P815" s="13" t="b">
        <f aca="false">FALSE()</f>
        <v>0</v>
      </c>
      <c r="Q815" s="3" t="s">
        <v>166</v>
      </c>
      <c r="R815" s="12" t="n">
        <v>0.8701</v>
      </c>
      <c r="S815" s="12" t="n">
        <v>0.2911</v>
      </c>
      <c r="T815" s="3" t="n">
        <v>0.3148</v>
      </c>
      <c r="U815" s="12" t="n">
        <v>0.4737</v>
      </c>
      <c r="V815" s="12" t="n">
        <v>0.4784</v>
      </c>
      <c r="W815" s="12" t="n">
        <v>0.521</v>
      </c>
      <c r="X815" s="3" t="n">
        <v>0.3564</v>
      </c>
      <c r="Y815" s="3" t="n">
        <v>0.6799</v>
      </c>
      <c r="Z815" s="14" t="n">
        <f aca="false">Assumptions!$B$3*R815+Assumptions!$B$4*S815+IF(AA815=1,Assumptions!$B$11,Assumptions!$B$5)*X815+IF(AA815=1,Assumptions!$B$12,Assumptions!$B$6)*T815+Assumptions!$B$7*U815+Assumptions!$B$8*V815+Assumptions!$B$9*Y815</f>
        <v>0.532675</v>
      </c>
      <c r="AA815" s="3" t="n">
        <v>0</v>
      </c>
    </row>
    <row r="816" customFormat="false" ht="15" hidden="false" customHeight="false" outlineLevel="0" collapsed="false">
      <c r="A816" s="3" t="s">
        <v>1001</v>
      </c>
      <c r="B816" s="3" t="n">
        <v>210</v>
      </c>
      <c r="C816" s="11" t="str">
        <f aca="false">IF(M816&gt;=Assumptions!$B$17,"S+",IF(M816&gt;=Assumptions!$B$18,"S",IF(M816&gt;=Assumptions!$B$19,"A",IF(M816&gt;=Assumptions!$B$20,"B",IF(M816&gt;=Assumptions!$B$21,"C",IF(M816&gt;=Assumptions!$B$22,"D","F"))))))</f>
        <v>D</v>
      </c>
      <c r="D816" s="3" t="s">
        <v>175</v>
      </c>
      <c r="E816" s="3" t="n">
        <v>7</v>
      </c>
      <c r="F816" s="12" t="n">
        <v>0.6421</v>
      </c>
      <c r="G816" s="12" t="n">
        <v>0.6</v>
      </c>
      <c r="H816" s="12" t="n">
        <v>0.75</v>
      </c>
      <c r="I816" s="12" t="n">
        <v>0.6363</v>
      </c>
      <c r="J816" s="12" t="n">
        <v>0.1211</v>
      </c>
      <c r="K816" s="12" t="n">
        <v>0.4005</v>
      </c>
      <c r="L816" s="3" t="n">
        <v>7</v>
      </c>
      <c r="M816" s="12" t="n">
        <f aca="false">Z816-W816</f>
        <v>0.011427</v>
      </c>
      <c r="N816" s="12" t="n">
        <f aca="false">IFERROR((Z816-J816)/L816,"")</f>
        <v>0.0399181428571429</v>
      </c>
      <c r="O816" s="3" t="n">
        <v>13</v>
      </c>
      <c r="P816" s="13" t="b">
        <f aca="false">FALSE()</f>
        <v>0</v>
      </c>
      <c r="Q816" s="3" t="s">
        <v>166</v>
      </c>
      <c r="R816" s="12" t="n">
        <v>0.5512</v>
      </c>
      <c r="S816" s="12" t="n">
        <v>0.1706</v>
      </c>
      <c r="T816" s="3" t="n">
        <v>0.0383</v>
      </c>
      <c r="U816" s="12" t="n">
        <v>0.503</v>
      </c>
      <c r="V816" s="12" t="n">
        <v>0.5253</v>
      </c>
      <c r="W816" s="12" t="n">
        <v>0.3891</v>
      </c>
      <c r="X816" s="3" t="n">
        <v>0.3736</v>
      </c>
      <c r="Y816" s="3" t="n">
        <v>0.5917</v>
      </c>
      <c r="Z816" s="14" t="n">
        <f aca="false">Assumptions!$B$3*R816+Assumptions!$B$4*S816+IF(AA816=1,Assumptions!$B$11,Assumptions!$B$5)*X816+IF(AA816=1,Assumptions!$B$12,Assumptions!$B$6)*T816+Assumptions!$B$7*U816+Assumptions!$B$8*V816+Assumptions!$B$9*Y816</f>
        <v>0.400527</v>
      </c>
      <c r="AA816" s="3" t="n">
        <v>0</v>
      </c>
    </row>
    <row r="817" customFormat="false" ht="15" hidden="false" customHeight="false" outlineLevel="0" collapsed="false">
      <c r="A817" s="3" t="s">
        <v>1002</v>
      </c>
      <c r="B817" s="3" t="n">
        <v>300</v>
      </c>
      <c r="C817" s="11" t="str">
        <f aca="false">IF(M817&gt;=Assumptions!$B$17,"S+",IF(M817&gt;=Assumptions!$B$18,"S",IF(M817&gt;=Assumptions!$B$19,"A",IF(M817&gt;=Assumptions!$B$20,"B",IF(M817&gt;=Assumptions!$B$21,"C",IF(M817&gt;=Assumptions!$B$22,"D","F"))))))</f>
        <v>D</v>
      </c>
      <c r="D817" s="3" t="s">
        <v>206</v>
      </c>
      <c r="E817" s="3" t="n">
        <v>1</v>
      </c>
      <c r="F817" s="12" t="n">
        <v>0.4394</v>
      </c>
      <c r="G817" s="12" t="n">
        <v>0.88</v>
      </c>
      <c r="H817" s="12" t="n">
        <v>0.501</v>
      </c>
      <c r="I817" s="12" t="n">
        <v>0.6619</v>
      </c>
      <c r="J817" s="12" t="n">
        <v>0.2425</v>
      </c>
      <c r="K817" s="12" t="n">
        <v>0.4441</v>
      </c>
      <c r="L817" s="3" t="n">
        <v>6.66</v>
      </c>
      <c r="M817" s="12" t="n">
        <f aca="false">Z817-W817</f>
        <v>0.011449</v>
      </c>
      <c r="N817" s="12" t="n">
        <f aca="false">IFERROR((Z817-J817)/L817,"")</f>
        <v>0.0302626126126126</v>
      </c>
      <c r="O817" s="3" t="n">
        <v>19</v>
      </c>
      <c r="P817" s="13" t="b">
        <f aca="false">FALSE()</f>
        <v>0</v>
      </c>
      <c r="Q817" s="3" t="s">
        <v>166</v>
      </c>
      <c r="R817" s="12" t="n">
        <v>0.7077</v>
      </c>
      <c r="S817" s="12" t="n">
        <v>0.3508</v>
      </c>
      <c r="T817" s="3" t="n">
        <v>0.2119</v>
      </c>
      <c r="U817" s="12" t="n">
        <v>0.3603</v>
      </c>
      <c r="V817" s="12" t="n">
        <v>0.4935</v>
      </c>
      <c r="W817" s="12" t="n">
        <v>0.4326</v>
      </c>
      <c r="X817" s="3" t="n">
        <v>0.2129</v>
      </c>
      <c r="Y817" s="3" t="n">
        <v>0.5754</v>
      </c>
      <c r="Z817" s="14" t="n">
        <f aca="false">Assumptions!$B$3*R817+Assumptions!$B$4*S817+IF(AA817=1,Assumptions!$B$11,Assumptions!$B$5)*X817+IF(AA817=1,Assumptions!$B$12,Assumptions!$B$6)*T817+Assumptions!$B$7*U817+Assumptions!$B$8*V817+Assumptions!$B$9*Y817</f>
        <v>0.444049</v>
      </c>
      <c r="AA817" s="3" t="n">
        <v>1</v>
      </c>
    </row>
    <row r="818" customFormat="false" ht="15" hidden="false" customHeight="false" outlineLevel="0" collapsed="false">
      <c r="A818" s="3" t="s">
        <v>1003</v>
      </c>
      <c r="B818" s="3" t="n">
        <v>425</v>
      </c>
      <c r="C818" s="11" t="str">
        <f aca="false">IF(M818&gt;=Assumptions!$B$17,"S+",IF(M818&gt;=Assumptions!$B$18,"S",IF(M818&gt;=Assumptions!$B$19,"A",IF(M818&gt;=Assumptions!$B$20,"B",IF(M818&gt;=Assumptions!$B$21,"C",IF(M818&gt;=Assumptions!$B$22,"D","F"))))))</f>
        <v>D</v>
      </c>
      <c r="D818" s="3" t="s">
        <v>190</v>
      </c>
      <c r="E818" s="3" t="n">
        <v>3</v>
      </c>
      <c r="F818" s="12" t="n">
        <v>0.9135</v>
      </c>
      <c r="G818" s="12" t="n">
        <v>0.6</v>
      </c>
      <c r="H818" s="12" t="n">
        <v>0.75</v>
      </c>
      <c r="I818" s="12" t="n">
        <v>0.7491</v>
      </c>
      <c r="J818" s="12" t="n">
        <v>0.3586</v>
      </c>
      <c r="K818" s="12" t="n">
        <v>0.505</v>
      </c>
      <c r="L818" s="3" t="n">
        <v>3.82</v>
      </c>
      <c r="M818" s="12" t="n">
        <f aca="false">Z818-W818</f>
        <v>0.011166</v>
      </c>
      <c r="N818" s="12" t="n">
        <f aca="false">IFERROR((Z818-J818)/L818,"")</f>
        <v>0.0383157068062827</v>
      </c>
      <c r="O818" s="3" t="n">
        <v>17</v>
      </c>
      <c r="P818" s="13" t="b">
        <f aca="false">FALSE()</f>
        <v>0</v>
      </c>
      <c r="Q818" s="3" t="s">
        <v>166</v>
      </c>
      <c r="R818" s="12" t="n">
        <v>0.7833</v>
      </c>
      <c r="S818" s="12" t="n">
        <v>0.2275</v>
      </c>
      <c r="T818" s="3" t="n">
        <v>0.6944</v>
      </c>
      <c r="U818" s="12" t="n">
        <v>0.3665</v>
      </c>
      <c r="V818" s="12" t="n">
        <v>0.4739</v>
      </c>
      <c r="W818" s="12" t="n">
        <v>0.4938</v>
      </c>
      <c r="X818" s="3" t="n">
        <v>0.1416</v>
      </c>
      <c r="Y818" s="3" t="n">
        <v>0.7242</v>
      </c>
      <c r="Z818" s="14" t="n">
        <f aca="false">Assumptions!$B$3*R818+Assumptions!$B$4*S818+IF(AA818=1,Assumptions!$B$11,Assumptions!$B$5)*X818+IF(AA818=1,Assumptions!$B$12,Assumptions!$B$6)*T818+Assumptions!$B$7*U818+Assumptions!$B$8*V818+Assumptions!$B$9*Y818</f>
        <v>0.504966</v>
      </c>
      <c r="AA818" s="3" t="n">
        <v>0</v>
      </c>
    </row>
    <row r="819" customFormat="false" ht="15" hidden="false" customHeight="false" outlineLevel="0" collapsed="false">
      <c r="A819" s="3" t="s">
        <v>1004</v>
      </c>
      <c r="B819" s="3" t="n">
        <v>500</v>
      </c>
      <c r="C819" s="11" t="str">
        <f aca="false">IF(M819&gt;=Assumptions!$B$17,"S+",IF(M819&gt;=Assumptions!$B$18,"S",IF(M819&gt;=Assumptions!$B$19,"A",IF(M819&gt;=Assumptions!$B$20,"B",IF(M819&gt;=Assumptions!$B$21,"C",IF(M819&gt;=Assumptions!$B$22,"D","F"))))))</f>
        <v>D</v>
      </c>
      <c r="D819" s="3" t="s">
        <v>218</v>
      </c>
      <c r="E819" s="3" t="n">
        <v>3</v>
      </c>
      <c r="F819" s="12" t="n">
        <v>0.7738</v>
      </c>
      <c r="G819" s="12" t="n">
        <v>0.6</v>
      </c>
      <c r="H819" s="12" t="n">
        <v>0.75</v>
      </c>
      <c r="I819" s="12" t="n">
        <v>0.6856</v>
      </c>
      <c r="J819" s="12" t="n">
        <v>0.3686</v>
      </c>
      <c r="K819" s="12" t="n">
        <v>0.5312</v>
      </c>
      <c r="L819" s="3" t="n">
        <v>3.82</v>
      </c>
      <c r="M819" s="12" t="n">
        <f aca="false">Z819-W819</f>
        <v>0.0108510000000001</v>
      </c>
      <c r="N819" s="12" t="n">
        <f aca="false">IFERROR((Z819-J819)/L819,"")</f>
        <v>0.0425526178010471</v>
      </c>
      <c r="O819" s="3" t="n">
        <v>17</v>
      </c>
      <c r="P819" s="13" t="b">
        <f aca="false">FALSE()</f>
        <v>0</v>
      </c>
      <c r="Q819" s="3" t="s">
        <v>166</v>
      </c>
      <c r="R819" s="12" t="n">
        <v>0.837</v>
      </c>
      <c r="S819" s="12" t="n">
        <v>0.5178</v>
      </c>
      <c r="T819" s="3" t="n">
        <v>0.302</v>
      </c>
      <c r="U819" s="12" t="n">
        <v>0.3665</v>
      </c>
      <c r="V819" s="12" t="n">
        <v>0.3699</v>
      </c>
      <c r="W819" s="12" t="n">
        <v>0.5203</v>
      </c>
      <c r="X819" s="3" t="n">
        <v>0.3387</v>
      </c>
      <c r="Y819" s="3" t="n">
        <v>0.6809</v>
      </c>
      <c r="Z819" s="14" t="n">
        <f aca="false">Assumptions!$B$3*R819+Assumptions!$B$4*S819+IF(AA819=1,Assumptions!$B$11,Assumptions!$B$5)*X819+IF(AA819=1,Assumptions!$B$12,Assumptions!$B$6)*T819+Assumptions!$B$7*U819+Assumptions!$B$8*V819+Assumptions!$B$9*Y819</f>
        <v>0.531151</v>
      </c>
      <c r="AA819" s="3" t="n">
        <v>0</v>
      </c>
    </row>
    <row r="820" customFormat="false" ht="15" hidden="false" customHeight="false" outlineLevel="0" collapsed="false">
      <c r="A820" s="3" t="s">
        <v>1005</v>
      </c>
      <c r="B820" s="3" t="n">
        <v>300</v>
      </c>
      <c r="C820" s="11" t="str">
        <f aca="false">IF(M820&gt;=Assumptions!$B$17,"S+",IF(M820&gt;=Assumptions!$B$18,"S",IF(M820&gt;=Assumptions!$B$19,"A",IF(M820&gt;=Assumptions!$B$20,"B",IF(M820&gt;=Assumptions!$B$21,"C",IF(M820&gt;=Assumptions!$B$22,"D","F"))))))</f>
        <v>D</v>
      </c>
      <c r="D820" s="3" t="s">
        <v>180</v>
      </c>
      <c r="E820" s="3" t="n">
        <v>1</v>
      </c>
      <c r="F820" s="12" t="n">
        <v>0.3713</v>
      </c>
      <c r="G820" s="12" t="n">
        <v>0.85</v>
      </c>
      <c r="H820" s="12" t="n">
        <v>0.5298</v>
      </c>
      <c r="I820" s="12" t="n">
        <v>0.6902</v>
      </c>
      <c r="J820" s="12" t="n">
        <v>0.2441</v>
      </c>
      <c r="K820" s="12" t="n">
        <v>0.4998</v>
      </c>
      <c r="L820" s="3" t="n">
        <v>5.58</v>
      </c>
      <c r="M820" s="12" t="n">
        <f aca="false">Z820-W820</f>
        <v>0.0107159999999999</v>
      </c>
      <c r="N820" s="12" t="n">
        <f aca="false">IFERROR((Z820-J820)/L820,"")</f>
        <v>0.0458272401433692</v>
      </c>
      <c r="O820" s="3" t="n">
        <v>19</v>
      </c>
      <c r="P820" s="13" t="b">
        <f aca="false">FALSE()</f>
        <v>0</v>
      </c>
      <c r="Q820" s="3" t="s">
        <v>166</v>
      </c>
      <c r="R820" s="12" t="n">
        <v>0.6798</v>
      </c>
      <c r="S820" s="12" t="n">
        <v>0.4308</v>
      </c>
      <c r="T820" s="3" t="n">
        <v>0.121</v>
      </c>
      <c r="U820" s="12" t="n">
        <v>0.3481</v>
      </c>
      <c r="V820" s="12" t="n">
        <v>0.5336</v>
      </c>
      <c r="W820" s="12" t="n">
        <v>0.4891</v>
      </c>
      <c r="X820" s="3" t="n">
        <v>0.3968</v>
      </c>
      <c r="Y820" s="3" t="n">
        <v>0.6487</v>
      </c>
      <c r="Z820" s="14" t="n">
        <f aca="false">Assumptions!$B$3*R820+Assumptions!$B$4*S820+IF(AA820=1,Assumptions!$B$11,Assumptions!$B$5)*X820+IF(AA820=1,Assumptions!$B$12,Assumptions!$B$6)*T820+Assumptions!$B$7*U820+Assumptions!$B$8*V820+Assumptions!$B$9*Y820</f>
        <v>0.499816</v>
      </c>
      <c r="AA820" s="3" t="n">
        <v>1</v>
      </c>
    </row>
    <row r="821" customFormat="false" ht="15" hidden="false" customHeight="false" outlineLevel="0" collapsed="false">
      <c r="A821" s="3" t="s">
        <v>1006</v>
      </c>
      <c r="B821" s="3" t="n">
        <v>454</v>
      </c>
      <c r="C821" s="11" t="str">
        <f aca="false">IF(M821&gt;=Assumptions!$B$17,"S+",IF(M821&gt;=Assumptions!$B$18,"S",IF(M821&gt;=Assumptions!$B$19,"A",IF(M821&gt;=Assumptions!$B$20,"B",IF(M821&gt;=Assumptions!$B$21,"C",IF(M821&gt;=Assumptions!$B$22,"D","F"))))))</f>
        <v>D</v>
      </c>
      <c r="D821" s="3" t="s">
        <v>218</v>
      </c>
      <c r="E821" s="3" t="n">
        <v>7</v>
      </c>
      <c r="F821" s="12" t="n">
        <v>0.7725</v>
      </c>
      <c r="G821" s="12" t="n">
        <v>0.6</v>
      </c>
      <c r="H821" s="12" t="n">
        <v>0.75</v>
      </c>
      <c r="I821" s="12" t="n">
        <v>0.6852</v>
      </c>
      <c r="J821" s="12" t="n">
        <v>0.3396</v>
      </c>
      <c r="K821" s="12" t="n">
        <v>0.4916</v>
      </c>
      <c r="L821" s="3" t="n">
        <v>6</v>
      </c>
      <c r="M821" s="12" t="n">
        <f aca="false">Z821-W821</f>
        <v>0.010063</v>
      </c>
      <c r="N821" s="12" t="n">
        <f aca="false">IFERROR((Z821-J821)/L821,"")</f>
        <v>0.0253271666666667</v>
      </c>
      <c r="O821" s="3" t="n">
        <v>13</v>
      </c>
      <c r="P821" s="13" t="b">
        <f aca="false">FALSE()</f>
        <v>0</v>
      </c>
      <c r="Q821" s="3" t="s">
        <v>166</v>
      </c>
      <c r="R821" s="12" t="n">
        <v>0.7122</v>
      </c>
      <c r="S821" s="12" t="n">
        <v>0.4957</v>
      </c>
      <c r="T821" s="3" t="n">
        <v>0.0981</v>
      </c>
      <c r="U821" s="12" t="n">
        <v>0.4142</v>
      </c>
      <c r="V821" s="12" t="n">
        <v>0.45</v>
      </c>
      <c r="W821" s="12" t="n">
        <v>0.4815</v>
      </c>
      <c r="X821" s="3" t="n">
        <v>0.3924</v>
      </c>
      <c r="Y821" s="3" t="n">
        <v>0.6656</v>
      </c>
      <c r="Z821" s="14" t="n">
        <f aca="false">Assumptions!$B$3*R821+Assumptions!$B$4*S821+IF(AA821=1,Assumptions!$B$11,Assumptions!$B$5)*X821+IF(AA821=1,Assumptions!$B$12,Assumptions!$B$6)*T821+Assumptions!$B$7*U821+Assumptions!$B$8*V821+Assumptions!$B$9*Y821</f>
        <v>0.491563</v>
      </c>
      <c r="AA821" s="3" t="n">
        <v>0</v>
      </c>
    </row>
    <row r="822" customFormat="false" ht="15" hidden="false" customHeight="false" outlineLevel="0" collapsed="false">
      <c r="A822" s="3" t="s">
        <v>1007</v>
      </c>
      <c r="B822" s="3" t="n">
        <v>460</v>
      </c>
      <c r="C822" s="11" t="str">
        <f aca="false">IF(M822&gt;=Assumptions!$B$17,"S+",IF(M822&gt;=Assumptions!$B$18,"S",IF(M822&gt;=Assumptions!$B$19,"A",IF(M822&gt;=Assumptions!$B$20,"B",IF(M822&gt;=Assumptions!$B$21,"C",IF(M822&gt;=Assumptions!$B$22,"D","F"))))))</f>
        <v>D</v>
      </c>
      <c r="D822" s="3" t="s">
        <v>253</v>
      </c>
      <c r="E822" s="3" t="n">
        <v>4</v>
      </c>
      <c r="F822" s="12" t="n">
        <v>0.7265</v>
      </c>
      <c r="G822" s="12" t="n">
        <v>0.8</v>
      </c>
      <c r="H822" s="12" t="n">
        <v>0.75</v>
      </c>
      <c r="I822" s="12" t="n">
        <v>0.7665</v>
      </c>
      <c r="J822" s="12" t="n">
        <v>0.3491</v>
      </c>
      <c r="K822" s="12" t="n">
        <v>0.5404</v>
      </c>
      <c r="L822" s="3" t="n">
        <v>4.88</v>
      </c>
      <c r="M822" s="12" t="n">
        <f aca="false">Z822-W822</f>
        <v>0.0100419999999999</v>
      </c>
      <c r="N822" s="12" t="n">
        <f aca="false">IFERROR((Z822-J822)/L822,"")</f>
        <v>0.0392094262295082</v>
      </c>
      <c r="O822" s="3" t="n">
        <v>16</v>
      </c>
      <c r="P822" s="13" t="b">
        <f aca="false">FALSE()</f>
        <v>0</v>
      </c>
      <c r="Q822" s="3" t="s">
        <v>166</v>
      </c>
      <c r="R822" s="12" t="n">
        <v>0.6848</v>
      </c>
      <c r="S822" s="12" t="n">
        <v>0.407</v>
      </c>
      <c r="T822" s="3" t="n">
        <v>0.3523</v>
      </c>
      <c r="U822" s="12" t="n">
        <v>0.476</v>
      </c>
      <c r="V822" s="12" t="n">
        <v>0.4254</v>
      </c>
      <c r="W822" s="12" t="n">
        <v>0.5304</v>
      </c>
      <c r="X822" s="3" t="n">
        <v>0.5719</v>
      </c>
      <c r="Y822" s="3" t="n">
        <v>0.7317</v>
      </c>
      <c r="Z822" s="14" t="n">
        <f aca="false">Assumptions!$B$3*R822+Assumptions!$B$4*S822+IF(AA822=1,Assumptions!$B$11,Assumptions!$B$5)*X822+IF(AA822=1,Assumptions!$B$12,Assumptions!$B$6)*T822+Assumptions!$B$7*U822+Assumptions!$B$8*V822+Assumptions!$B$9*Y822</f>
        <v>0.540442</v>
      </c>
      <c r="AA822" s="3" t="n">
        <v>0</v>
      </c>
    </row>
    <row r="823" customFormat="false" ht="15" hidden="false" customHeight="false" outlineLevel="0" collapsed="false">
      <c r="A823" s="3" t="s">
        <v>1008</v>
      </c>
      <c r="B823" s="3" t="n">
        <v>341</v>
      </c>
      <c r="C823" s="11" t="str">
        <f aca="false">IF(M823&gt;=Assumptions!$B$17,"S+",IF(M823&gt;=Assumptions!$B$18,"S",IF(M823&gt;=Assumptions!$B$19,"A",IF(M823&gt;=Assumptions!$B$20,"B",IF(M823&gt;=Assumptions!$B$21,"C",IF(M823&gt;=Assumptions!$B$22,"D","F"))))))</f>
        <v>D</v>
      </c>
      <c r="D823" s="3" t="s">
        <v>197</v>
      </c>
      <c r="E823" s="3" t="n">
        <v>1</v>
      </c>
      <c r="F823" s="12" t="n">
        <v>0.373</v>
      </c>
      <c r="G823" s="12" t="n">
        <v>0.8</v>
      </c>
      <c r="H823" s="12" t="n">
        <v>0.75</v>
      </c>
      <c r="I823" s="12" t="n">
        <v>0.6277</v>
      </c>
      <c r="J823" s="12" t="n">
        <v>0.3058</v>
      </c>
      <c r="K823" s="12" t="n">
        <v>0.4948</v>
      </c>
      <c r="L823" s="3" t="n">
        <v>6.47</v>
      </c>
      <c r="M823" s="12" t="n">
        <f aca="false">Z823-W823</f>
        <v>0.00989699999999999</v>
      </c>
      <c r="N823" s="12" t="n">
        <f aca="false">IFERROR((Z823-J823)/L823,"")</f>
        <v>0.0292112828438949</v>
      </c>
      <c r="O823" s="3" t="n">
        <v>19</v>
      </c>
      <c r="P823" s="13" t="b">
        <f aca="false">FALSE()</f>
        <v>0</v>
      </c>
      <c r="Q823" s="3" t="s">
        <v>166</v>
      </c>
      <c r="R823" s="12" t="n">
        <v>0.5581</v>
      </c>
      <c r="S823" s="12" t="n">
        <v>0.5579</v>
      </c>
      <c r="T823" s="3" t="n">
        <v>0.1937</v>
      </c>
      <c r="U823" s="12" t="n">
        <v>0.498</v>
      </c>
      <c r="V823" s="12" t="n">
        <v>0.5336</v>
      </c>
      <c r="W823" s="12" t="n">
        <v>0.4849</v>
      </c>
      <c r="X823" s="3" t="n">
        <v>0.4756</v>
      </c>
      <c r="Y823" s="3" t="n">
        <v>0.5817</v>
      </c>
      <c r="Z823" s="14" t="n">
        <f aca="false">Assumptions!$B$3*R823+Assumptions!$B$4*S823+IF(AA823=1,Assumptions!$B$11,Assumptions!$B$5)*X823+IF(AA823=1,Assumptions!$B$12,Assumptions!$B$6)*T823+Assumptions!$B$7*U823+Assumptions!$B$8*V823+Assumptions!$B$9*Y823</f>
        <v>0.494797</v>
      </c>
      <c r="AA823" s="3" t="n">
        <v>0</v>
      </c>
    </row>
    <row r="824" customFormat="false" ht="15" hidden="false" customHeight="false" outlineLevel="0" collapsed="false">
      <c r="A824" s="3" t="s">
        <v>1009</v>
      </c>
      <c r="B824" s="3" t="n">
        <v>435</v>
      </c>
      <c r="C824" s="11" t="str">
        <f aca="false">IF(M824&gt;=Assumptions!$B$17,"S+",IF(M824&gt;=Assumptions!$B$18,"S",IF(M824&gt;=Assumptions!$B$19,"A",IF(M824&gt;=Assumptions!$B$20,"B",IF(M824&gt;=Assumptions!$B$21,"C",IF(M824&gt;=Assumptions!$B$22,"D","F"))))))</f>
        <v>D</v>
      </c>
      <c r="D824" s="3" t="s">
        <v>190</v>
      </c>
      <c r="E824" s="3" t="n">
        <v>3</v>
      </c>
      <c r="F824" s="12" t="n">
        <v>0.9214</v>
      </c>
      <c r="G824" s="12" t="n">
        <v>0.6</v>
      </c>
      <c r="H824" s="12" t="n">
        <v>0.75</v>
      </c>
      <c r="I824" s="12" t="n">
        <v>0.7521</v>
      </c>
      <c r="J824" s="12" t="n">
        <v>0.3795</v>
      </c>
      <c r="K824" s="12" t="n">
        <v>0.5034</v>
      </c>
      <c r="L824" s="3" t="n">
        <v>3.88</v>
      </c>
      <c r="M824" s="12" t="n">
        <f aca="false">Z824-W824</f>
        <v>0.009656</v>
      </c>
      <c r="N824" s="12" t="n">
        <f aca="false">IFERROR((Z824-J824)/L824,"")</f>
        <v>0.0319474226804124</v>
      </c>
      <c r="O824" s="3" t="n">
        <v>17</v>
      </c>
      <c r="P824" s="13" t="b">
        <f aca="false">FALSE()</f>
        <v>0</v>
      </c>
      <c r="Q824" s="3" t="s">
        <v>166</v>
      </c>
      <c r="R824" s="12" t="n">
        <v>0.8037</v>
      </c>
      <c r="S824" s="12" t="n">
        <v>0.2535</v>
      </c>
      <c r="T824" s="3" t="n">
        <v>0.5884</v>
      </c>
      <c r="U824" s="12" t="n">
        <v>0.3665</v>
      </c>
      <c r="V824" s="12" t="n">
        <v>0.4991</v>
      </c>
      <c r="W824" s="12" t="n">
        <v>0.4938</v>
      </c>
      <c r="X824" s="3" t="n">
        <v>0.1355</v>
      </c>
      <c r="Y824" s="3" t="n">
        <v>0.7263</v>
      </c>
      <c r="Z824" s="14" t="n">
        <f aca="false">Assumptions!$B$3*R824+Assumptions!$B$4*S824+IF(AA824=1,Assumptions!$B$11,Assumptions!$B$5)*X824+IF(AA824=1,Assumptions!$B$12,Assumptions!$B$6)*T824+Assumptions!$B$7*U824+Assumptions!$B$8*V824+Assumptions!$B$9*Y824</f>
        <v>0.503456</v>
      </c>
      <c r="AA824" s="3" t="n">
        <v>0</v>
      </c>
    </row>
    <row r="825" customFormat="false" ht="15" hidden="false" customHeight="false" outlineLevel="0" collapsed="false">
      <c r="A825" s="3" t="s">
        <v>1010</v>
      </c>
      <c r="B825" s="3" t="n">
        <v>320</v>
      </c>
      <c r="C825" s="11" t="str">
        <f aca="false">IF(M825&gt;=Assumptions!$B$17,"S+",IF(M825&gt;=Assumptions!$B$18,"S",IF(M825&gt;=Assumptions!$B$19,"A",IF(M825&gt;=Assumptions!$B$20,"B",IF(M825&gt;=Assumptions!$B$21,"C",IF(M825&gt;=Assumptions!$B$22,"D","F"))))))</f>
        <v>D</v>
      </c>
      <c r="D825" s="3" t="s">
        <v>197</v>
      </c>
      <c r="E825" s="3" t="n">
        <v>1</v>
      </c>
      <c r="F825" s="12" t="n">
        <v>0.5413</v>
      </c>
      <c r="G825" s="12" t="n">
        <v>1</v>
      </c>
      <c r="H825" s="12" t="n">
        <v>0.75</v>
      </c>
      <c r="I825" s="12" t="n">
        <v>0.7757</v>
      </c>
      <c r="J825" s="12" t="n">
        <v>0.2545</v>
      </c>
      <c r="K825" s="12" t="n">
        <v>0.4888</v>
      </c>
      <c r="L825" s="3" t="n">
        <v>6.55</v>
      </c>
      <c r="M825" s="12" t="n">
        <f aca="false">Z825-W825</f>
        <v>0.00910100000000003</v>
      </c>
      <c r="N825" s="12" t="n">
        <f aca="false">IFERROR((Z825-J825)/L825,"")</f>
        <v>0.0357711450381679</v>
      </c>
      <c r="O825" s="3" t="n">
        <v>19</v>
      </c>
      <c r="P825" s="13" t="b">
        <f aca="false">FALSE()</f>
        <v>0</v>
      </c>
      <c r="Q825" s="3" t="s">
        <v>166</v>
      </c>
      <c r="R825" s="12" t="n">
        <v>0.7032</v>
      </c>
      <c r="S825" s="12" t="n">
        <v>0.3452</v>
      </c>
      <c r="T825" s="3" t="n">
        <v>0.2408</v>
      </c>
      <c r="U825" s="12" t="n">
        <v>0.4332</v>
      </c>
      <c r="V825" s="12" t="n">
        <v>0.4905</v>
      </c>
      <c r="W825" s="12" t="n">
        <v>0.4797</v>
      </c>
      <c r="X825" s="3" t="n">
        <v>0.3638</v>
      </c>
      <c r="Y825" s="3" t="n">
        <v>0.6981</v>
      </c>
      <c r="Z825" s="14" t="n">
        <f aca="false">Assumptions!$B$3*R825+Assumptions!$B$4*S825+IF(AA825=1,Assumptions!$B$11,Assumptions!$B$5)*X825+IF(AA825=1,Assumptions!$B$12,Assumptions!$B$6)*T825+Assumptions!$B$7*U825+Assumptions!$B$8*V825+Assumptions!$B$9*Y825</f>
        <v>0.488801</v>
      </c>
      <c r="AA825" s="3" t="n">
        <v>0</v>
      </c>
    </row>
    <row r="826" customFormat="false" ht="15" hidden="false" customHeight="false" outlineLevel="0" collapsed="false">
      <c r="A826" s="3" t="s">
        <v>1011</v>
      </c>
      <c r="B826" s="3" t="n">
        <v>476</v>
      </c>
      <c r="C826" s="11" t="str">
        <f aca="false">IF(M826&gt;=Assumptions!$B$17,"S+",IF(M826&gt;=Assumptions!$B$18,"S",IF(M826&gt;=Assumptions!$B$19,"A",IF(M826&gt;=Assumptions!$B$20,"B",IF(M826&gt;=Assumptions!$B$21,"C",IF(M826&gt;=Assumptions!$B$22,"D","F"))))))</f>
        <v>D</v>
      </c>
      <c r="D826" s="3" t="s">
        <v>197</v>
      </c>
      <c r="E826" s="3" t="n">
        <v>1</v>
      </c>
      <c r="F826" s="12" t="n">
        <v>0.7881</v>
      </c>
      <c r="G826" s="12" t="n">
        <v>0.4</v>
      </c>
      <c r="H826" s="12" t="n">
        <v>0.75</v>
      </c>
      <c r="I826" s="12" t="n">
        <v>0.6175</v>
      </c>
      <c r="J826" s="12" t="n">
        <v>0.3807</v>
      </c>
      <c r="K826" s="12" t="n">
        <v>0.5131</v>
      </c>
      <c r="L826" s="3" t="n">
        <v>5.68</v>
      </c>
      <c r="M826" s="12" t="n">
        <f aca="false">Z826-W826</f>
        <v>0.00827900000000004</v>
      </c>
      <c r="N826" s="12" t="n">
        <f aca="false">IFERROR((Z826-J826)/L826,"")</f>
        <v>0.023306161971831</v>
      </c>
      <c r="O826" s="3" t="n">
        <v>19</v>
      </c>
      <c r="P826" s="13" t="b">
        <f aca="false">FALSE()</f>
        <v>0</v>
      </c>
      <c r="Q826" s="3" t="s">
        <v>166</v>
      </c>
      <c r="R826" s="12" t="n">
        <v>0.6968</v>
      </c>
      <c r="S826" s="12" t="n">
        <v>0.4989</v>
      </c>
      <c r="T826" s="3" t="n">
        <v>0.5084</v>
      </c>
      <c r="U826" s="12" t="n">
        <v>0.3765</v>
      </c>
      <c r="V826" s="12" t="n">
        <v>0.4728</v>
      </c>
      <c r="W826" s="12" t="n">
        <v>0.5048</v>
      </c>
      <c r="X826" s="3" t="n">
        <v>0.303</v>
      </c>
      <c r="Y826" s="3" t="n">
        <v>0.5793</v>
      </c>
      <c r="Z826" s="14" t="n">
        <f aca="false">Assumptions!$B$3*R826+Assumptions!$B$4*S826+IF(AA826=1,Assumptions!$B$11,Assumptions!$B$5)*X826+IF(AA826=1,Assumptions!$B$12,Assumptions!$B$6)*T826+Assumptions!$B$7*U826+Assumptions!$B$8*V826+Assumptions!$B$9*Y826</f>
        <v>0.513079</v>
      </c>
      <c r="AA826" s="3" t="n">
        <v>0</v>
      </c>
    </row>
    <row r="827" customFormat="false" ht="15" hidden="false" customHeight="false" outlineLevel="0" collapsed="false">
      <c r="A827" s="3" t="s">
        <v>1012</v>
      </c>
      <c r="B827" s="3" t="n">
        <v>300</v>
      </c>
      <c r="C827" s="11" t="str">
        <f aca="false">IF(M827&gt;=Assumptions!$B$17,"S+",IF(M827&gt;=Assumptions!$B$18,"S",IF(M827&gt;=Assumptions!$B$19,"A",IF(M827&gt;=Assumptions!$B$20,"B",IF(M827&gt;=Assumptions!$B$21,"C",IF(M827&gt;=Assumptions!$B$22,"D","F"))))))</f>
        <v>D</v>
      </c>
      <c r="D827" s="3" t="s">
        <v>186</v>
      </c>
      <c r="E827" s="3" t="n">
        <v>1</v>
      </c>
      <c r="F827" s="12" t="n">
        <v>0.515</v>
      </c>
      <c r="G827" s="12" t="n">
        <v>0.85</v>
      </c>
      <c r="H827" s="12" t="n">
        <v>0.75</v>
      </c>
      <c r="I827" s="12" t="n">
        <v>0.7697</v>
      </c>
      <c r="J827" s="12" t="n">
        <v>0.309</v>
      </c>
      <c r="K827" s="12" t="n">
        <v>0.4522</v>
      </c>
      <c r="L827" s="3" t="n">
        <v>5.66</v>
      </c>
      <c r="M827" s="12" t="n">
        <f aca="false">Z827-W827</f>
        <v>0.00803399999999999</v>
      </c>
      <c r="N827" s="12" t="n">
        <f aca="false">IFERROR((Z827-J827)/L827,"")</f>
        <v>0.0252886925795053</v>
      </c>
      <c r="O827" s="3" t="n">
        <v>19</v>
      </c>
      <c r="P827" s="13" t="b">
        <f aca="false">FALSE()</f>
        <v>0</v>
      </c>
      <c r="Q827" s="3" t="s">
        <v>166</v>
      </c>
      <c r="R827" s="12" t="n">
        <v>0.7975</v>
      </c>
      <c r="S827" s="12" t="n">
        <v>0.2496</v>
      </c>
      <c r="T827" s="3" t="n">
        <v>0.0973</v>
      </c>
      <c r="U827" s="12" t="n">
        <v>0.5061</v>
      </c>
      <c r="V827" s="12" t="n">
        <v>0.3496</v>
      </c>
      <c r="W827" s="12" t="n">
        <v>0.4441</v>
      </c>
      <c r="X827" s="3" t="n">
        <v>0.1884</v>
      </c>
      <c r="Y827" s="3" t="n">
        <v>0.6917</v>
      </c>
      <c r="Z827" s="14" t="n">
        <f aca="false">Assumptions!$B$3*R827+Assumptions!$B$4*S827+IF(AA827=1,Assumptions!$B$11,Assumptions!$B$5)*X827+IF(AA827=1,Assumptions!$B$12,Assumptions!$B$6)*T827+Assumptions!$B$7*U827+Assumptions!$B$8*V827+Assumptions!$B$9*Y827</f>
        <v>0.452134</v>
      </c>
      <c r="AA827" s="3" t="n">
        <v>1</v>
      </c>
    </row>
    <row r="828" customFormat="false" ht="15" hidden="false" customHeight="false" outlineLevel="0" collapsed="false">
      <c r="A828" s="3" t="s">
        <v>1013</v>
      </c>
      <c r="B828" s="3" t="n">
        <v>505</v>
      </c>
      <c r="C828" s="11" t="str">
        <f aca="false">IF(M828&gt;=Assumptions!$B$17,"S+",IF(M828&gt;=Assumptions!$B$18,"S",IF(M828&gt;=Assumptions!$B$19,"A",IF(M828&gt;=Assumptions!$B$20,"B",IF(M828&gt;=Assumptions!$B$21,"C",IF(M828&gt;=Assumptions!$B$22,"D","F"))))))</f>
        <v>D</v>
      </c>
      <c r="D828" s="3" t="s">
        <v>228</v>
      </c>
      <c r="E828" s="3" t="n">
        <v>4</v>
      </c>
      <c r="F828" s="12" t="n">
        <v>0.7518</v>
      </c>
      <c r="G828" s="12" t="n">
        <v>0.2</v>
      </c>
      <c r="H828" s="12" t="n">
        <v>0.75</v>
      </c>
      <c r="I828" s="12" t="n">
        <v>0.4866</v>
      </c>
      <c r="J828" s="12" t="n">
        <v>0.3071</v>
      </c>
      <c r="K828" s="12" t="n">
        <v>0.4825</v>
      </c>
      <c r="L828" s="3" t="n">
        <v>4.38</v>
      </c>
      <c r="M828" s="12" t="n">
        <f aca="false">Z828-W828</f>
        <v>0.00801000000000007</v>
      </c>
      <c r="N828" s="12" t="n">
        <f aca="false">IFERROR((Z828-J828)/L828,"")</f>
        <v>0.0400479452054795</v>
      </c>
      <c r="O828" s="3" t="n">
        <v>16</v>
      </c>
      <c r="P828" s="13" t="b">
        <f aca="false">FALSE()</f>
        <v>0</v>
      </c>
      <c r="Q828" s="3" t="s">
        <v>166</v>
      </c>
      <c r="R828" s="12" t="n">
        <v>0.775</v>
      </c>
      <c r="S828" s="12" t="n">
        <v>0.5566</v>
      </c>
      <c r="T828" s="3" t="n">
        <v>0.1641</v>
      </c>
      <c r="U828" s="12" t="n">
        <v>0.2692</v>
      </c>
      <c r="V828" s="12" t="n">
        <v>0.4036</v>
      </c>
      <c r="W828" s="12" t="n">
        <v>0.4745</v>
      </c>
      <c r="X828" s="3" t="n">
        <v>0.3672</v>
      </c>
      <c r="Y828" s="3" t="n">
        <v>0.4776</v>
      </c>
      <c r="Z828" s="14" t="n">
        <f aca="false">Assumptions!$B$3*R828+Assumptions!$B$4*S828+IF(AA828=1,Assumptions!$B$11,Assumptions!$B$5)*X828+IF(AA828=1,Assumptions!$B$12,Assumptions!$B$6)*T828+Assumptions!$B$7*U828+Assumptions!$B$8*V828+Assumptions!$B$9*Y828</f>
        <v>0.48251</v>
      </c>
      <c r="AA828" s="3" t="n">
        <v>0</v>
      </c>
    </row>
    <row r="829" customFormat="false" ht="15" hidden="false" customHeight="false" outlineLevel="0" collapsed="false">
      <c r="A829" s="3" t="s">
        <v>1014</v>
      </c>
      <c r="B829" s="3" t="n">
        <v>428</v>
      </c>
      <c r="C829" s="11" t="str">
        <f aca="false">IF(M829&gt;=Assumptions!$B$17,"S+",IF(M829&gt;=Assumptions!$B$18,"S",IF(M829&gt;=Assumptions!$B$19,"A",IF(M829&gt;=Assumptions!$B$20,"B",IF(M829&gt;=Assumptions!$B$21,"C",IF(M829&gt;=Assumptions!$B$22,"D","F"))))))</f>
        <v>D</v>
      </c>
      <c r="D829" s="3" t="s">
        <v>218</v>
      </c>
      <c r="E829" s="3" t="n">
        <v>2</v>
      </c>
      <c r="F829" s="12" t="n">
        <v>0.8828</v>
      </c>
      <c r="G829" s="12" t="n">
        <v>0.8</v>
      </c>
      <c r="H829" s="12" t="n">
        <v>0.75</v>
      </c>
      <c r="I829" s="12" t="n">
        <v>0.8165</v>
      </c>
      <c r="J829" s="12" t="n">
        <v>0.3741</v>
      </c>
      <c r="K829" s="12" t="n">
        <v>0.509</v>
      </c>
      <c r="L829" s="3" t="n">
        <v>4.78</v>
      </c>
      <c r="M829" s="12" t="n">
        <f aca="false">Z829-W829</f>
        <v>0.00763500000000006</v>
      </c>
      <c r="N829" s="12" t="n">
        <f aca="false">IFERROR((Z829-J829)/L829,"")</f>
        <v>0.028229079497908</v>
      </c>
      <c r="O829" s="3" t="n">
        <v>18</v>
      </c>
      <c r="P829" s="13" t="b">
        <f aca="false">FALSE()</f>
        <v>0</v>
      </c>
      <c r="Q829" s="3" t="s">
        <v>166</v>
      </c>
      <c r="R829" s="12" t="n">
        <v>0.7949</v>
      </c>
      <c r="S829" s="12" t="n">
        <v>0.5424</v>
      </c>
      <c r="T829" s="3" t="n">
        <v>0.1863</v>
      </c>
      <c r="U829" s="12" t="n">
        <v>0.3248</v>
      </c>
      <c r="V829" s="12" t="n">
        <v>0.4579</v>
      </c>
      <c r="W829" s="12" t="n">
        <v>0.5014</v>
      </c>
      <c r="X829" s="3" t="n">
        <v>0.2761</v>
      </c>
      <c r="Y829" s="3" t="n">
        <v>0.7162</v>
      </c>
      <c r="Z829" s="14" t="n">
        <f aca="false">Assumptions!$B$3*R829+Assumptions!$B$4*S829+IF(AA829=1,Assumptions!$B$11,Assumptions!$B$5)*X829+IF(AA829=1,Assumptions!$B$12,Assumptions!$B$6)*T829+Assumptions!$B$7*U829+Assumptions!$B$8*V829+Assumptions!$B$9*Y829</f>
        <v>0.509035</v>
      </c>
      <c r="AA829" s="3" t="n">
        <v>0</v>
      </c>
    </row>
    <row r="830" customFormat="false" ht="15" hidden="false" customHeight="false" outlineLevel="0" collapsed="false">
      <c r="A830" s="3" t="s">
        <v>1015</v>
      </c>
      <c r="B830" s="3" t="n">
        <v>450</v>
      </c>
      <c r="C830" s="11" t="str">
        <f aca="false">IF(M830&gt;=Assumptions!$B$17,"S+",IF(M830&gt;=Assumptions!$B$18,"S",IF(M830&gt;=Assumptions!$B$19,"A",IF(M830&gt;=Assumptions!$B$20,"B",IF(M830&gt;=Assumptions!$B$21,"C",IF(M830&gt;=Assumptions!$B$22,"D","F"))))))</f>
        <v>D</v>
      </c>
      <c r="D830" s="3" t="s">
        <v>218</v>
      </c>
      <c r="E830" s="3" t="n">
        <v>3</v>
      </c>
      <c r="F830" s="12" t="n">
        <v>0.8037</v>
      </c>
      <c r="G830" s="12" t="n">
        <v>1</v>
      </c>
      <c r="H830" s="12" t="n">
        <v>0.75</v>
      </c>
      <c r="I830" s="12" t="n">
        <v>0.8872</v>
      </c>
      <c r="J830" s="12" t="n">
        <v>0.3663</v>
      </c>
      <c r="K830" s="12" t="n">
        <v>0.5148</v>
      </c>
      <c r="L830" s="3" t="n">
        <v>4.88</v>
      </c>
      <c r="M830" s="12" t="n">
        <f aca="false">Z830-W830</f>
        <v>0.00743300000000002</v>
      </c>
      <c r="N830" s="12" t="n">
        <f aca="false">IFERROR((Z830-J830)/L830,"")</f>
        <v>0.0304370901639344</v>
      </c>
      <c r="O830" s="3" t="n">
        <v>17</v>
      </c>
      <c r="P830" s="13" t="b">
        <f aca="false">FALSE()</f>
        <v>0</v>
      </c>
      <c r="Q830" s="3" t="s">
        <v>166</v>
      </c>
      <c r="R830" s="12" t="n">
        <v>0.7563</v>
      </c>
      <c r="S830" s="12" t="n">
        <v>0.3556</v>
      </c>
      <c r="T830" s="3" t="n">
        <v>0.4741</v>
      </c>
      <c r="U830" s="12" t="n">
        <v>0.362</v>
      </c>
      <c r="V830" s="12" t="n">
        <v>0.4575</v>
      </c>
      <c r="W830" s="12" t="n">
        <v>0.5074</v>
      </c>
      <c r="X830" s="3" t="n">
        <v>0.2543</v>
      </c>
      <c r="Y830" s="3" t="n">
        <v>0.8075</v>
      </c>
      <c r="Z830" s="14" t="n">
        <f aca="false">Assumptions!$B$3*R830+Assumptions!$B$4*S830+IF(AA830=1,Assumptions!$B$11,Assumptions!$B$5)*X830+IF(AA830=1,Assumptions!$B$12,Assumptions!$B$6)*T830+Assumptions!$B$7*U830+Assumptions!$B$8*V830+Assumptions!$B$9*Y830</f>
        <v>0.514833</v>
      </c>
      <c r="AA830" s="3" t="n">
        <v>0</v>
      </c>
    </row>
    <row r="831" customFormat="false" ht="15" hidden="false" customHeight="false" outlineLevel="0" collapsed="false">
      <c r="A831" s="3" t="s">
        <v>1016</v>
      </c>
      <c r="B831" s="3" t="n">
        <v>465</v>
      </c>
      <c r="C831" s="11" t="str">
        <f aca="false">IF(M831&gt;=Assumptions!$B$17,"S+",IF(M831&gt;=Assumptions!$B$18,"S",IF(M831&gt;=Assumptions!$B$19,"A",IF(M831&gt;=Assumptions!$B$20,"B",IF(M831&gt;=Assumptions!$B$21,"C",IF(M831&gt;=Assumptions!$B$22,"D","F"))))))</f>
        <v>D</v>
      </c>
      <c r="D831" s="3" t="s">
        <v>218</v>
      </c>
      <c r="E831" s="3" t="n">
        <v>4</v>
      </c>
      <c r="F831" s="12" t="n">
        <v>0.9559</v>
      </c>
      <c r="G831" s="12" t="n">
        <v>0.6</v>
      </c>
      <c r="H831" s="12" t="n">
        <v>0.75</v>
      </c>
      <c r="I831" s="12" t="n">
        <v>0.7439</v>
      </c>
      <c r="J831" s="12" t="n">
        <v>0.3103</v>
      </c>
      <c r="K831" s="12" t="n">
        <v>0.5266</v>
      </c>
      <c r="L831" s="3" t="n">
        <v>5.94</v>
      </c>
      <c r="M831" s="12" t="n">
        <f aca="false">Z831-W831</f>
        <v>0.00727699999999998</v>
      </c>
      <c r="N831" s="12" t="n">
        <f aca="false">IFERROR((Z831-J831)/L831,"")</f>
        <v>0.0364102693602694</v>
      </c>
      <c r="O831" s="3" t="n">
        <v>16</v>
      </c>
      <c r="P831" s="13" t="b">
        <f aca="false">FALSE()</f>
        <v>0</v>
      </c>
      <c r="Q831" s="3" t="s">
        <v>166</v>
      </c>
      <c r="R831" s="12" t="n">
        <v>0.8622</v>
      </c>
      <c r="S831" s="12" t="n">
        <v>0.3237</v>
      </c>
      <c r="T831" s="3" t="n">
        <v>0.2979</v>
      </c>
      <c r="U831" s="12" t="n">
        <v>0.5096</v>
      </c>
      <c r="V831" s="12" t="n">
        <v>0.4632</v>
      </c>
      <c r="W831" s="12" t="n">
        <v>0.5193</v>
      </c>
      <c r="X831" s="3" t="n">
        <v>0.264</v>
      </c>
      <c r="Y831" s="3" t="n">
        <v>0.7395</v>
      </c>
      <c r="Z831" s="14" t="n">
        <f aca="false">Assumptions!$B$3*R831+Assumptions!$B$4*S831+IF(AA831=1,Assumptions!$B$11,Assumptions!$B$5)*X831+IF(AA831=1,Assumptions!$B$12,Assumptions!$B$6)*T831+Assumptions!$B$7*U831+Assumptions!$B$8*V831+Assumptions!$B$9*Y831</f>
        <v>0.526577</v>
      </c>
      <c r="AA831" s="3" t="n">
        <v>0</v>
      </c>
    </row>
    <row r="832" customFormat="false" ht="15" hidden="false" customHeight="false" outlineLevel="0" collapsed="false">
      <c r="A832" s="3" t="s">
        <v>1017</v>
      </c>
      <c r="B832" s="3" t="n">
        <v>382</v>
      </c>
      <c r="C832" s="11" t="str">
        <f aca="false">IF(M832&gt;=Assumptions!$B$17,"S+",IF(M832&gt;=Assumptions!$B$18,"S",IF(M832&gt;=Assumptions!$B$19,"A",IF(M832&gt;=Assumptions!$B$20,"B",IF(M832&gt;=Assumptions!$B$21,"C",IF(M832&gt;=Assumptions!$B$22,"D","F"))))))</f>
        <v>D</v>
      </c>
      <c r="D832" s="3" t="s">
        <v>203</v>
      </c>
      <c r="E832" s="3" t="n">
        <v>2</v>
      </c>
      <c r="F832" s="12" t="n">
        <v>0.6095</v>
      </c>
      <c r="G832" s="12" t="n">
        <v>1</v>
      </c>
      <c r="H832" s="12" t="n">
        <v>0.75</v>
      </c>
      <c r="I832" s="12" t="n">
        <v>0.8329</v>
      </c>
      <c r="J832" s="12" t="n">
        <v>0.343</v>
      </c>
      <c r="K832" s="12" t="n">
        <v>0.4847</v>
      </c>
      <c r="L832" s="3" t="n">
        <v>4.36</v>
      </c>
      <c r="M832" s="12" t="n">
        <f aca="false">Z832-W832</f>
        <v>0.00709799999999999</v>
      </c>
      <c r="N832" s="12" t="n">
        <f aca="false">IFERROR((Z832-J832)/L832,"")</f>
        <v>0.0324995412844037</v>
      </c>
      <c r="O832" s="3" t="n">
        <v>18</v>
      </c>
      <c r="P832" s="13" t="b">
        <f aca="false">FALSE()</f>
        <v>0</v>
      </c>
      <c r="Q832" s="3" t="s">
        <v>166</v>
      </c>
      <c r="R832" s="12" t="n">
        <v>0.6385</v>
      </c>
      <c r="S832" s="12" t="n">
        <v>0.3223</v>
      </c>
      <c r="T832" s="3" t="n">
        <v>0.4466</v>
      </c>
      <c r="U832" s="12" t="n">
        <v>0.4103</v>
      </c>
      <c r="V832" s="12" t="n">
        <v>0.4771</v>
      </c>
      <c r="W832" s="12" t="n">
        <v>0.4776</v>
      </c>
      <c r="X832" s="3" t="n">
        <v>0.2675</v>
      </c>
      <c r="Y832" s="3" t="n">
        <v>0.8044</v>
      </c>
      <c r="Z832" s="14" t="n">
        <f aca="false">Assumptions!$B$3*R832+Assumptions!$B$4*S832+IF(AA832=1,Assumptions!$B$11,Assumptions!$B$5)*X832+IF(AA832=1,Assumptions!$B$12,Assumptions!$B$6)*T832+Assumptions!$B$7*U832+Assumptions!$B$8*V832+Assumptions!$B$9*Y832</f>
        <v>0.484698</v>
      </c>
      <c r="AA832" s="3" t="n">
        <v>0</v>
      </c>
    </row>
    <row r="833" customFormat="false" ht="15" hidden="false" customHeight="false" outlineLevel="0" collapsed="false">
      <c r="A833" s="3" t="s">
        <v>1018</v>
      </c>
      <c r="B833" s="3" t="n">
        <v>405</v>
      </c>
      <c r="C833" s="11" t="str">
        <f aca="false">IF(M833&gt;=Assumptions!$B$17,"S+",IF(M833&gt;=Assumptions!$B$18,"S",IF(M833&gt;=Assumptions!$B$19,"A",IF(M833&gt;=Assumptions!$B$20,"B",IF(M833&gt;=Assumptions!$B$21,"C",IF(M833&gt;=Assumptions!$B$22,"D","F"))))))</f>
        <v>D</v>
      </c>
      <c r="D833" s="3" t="s">
        <v>197</v>
      </c>
      <c r="E833" s="3" t="n">
        <v>1</v>
      </c>
      <c r="F833" s="12" t="n">
        <v>0.5302</v>
      </c>
      <c r="G833" s="12" t="n">
        <v>0.8</v>
      </c>
      <c r="H833" s="12" t="n">
        <v>0.75</v>
      </c>
      <c r="I833" s="12" t="n">
        <v>0.6875</v>
      </c>
      <c r="J833" s="12" t="n">
        <v>0.3581</v>
      </c>
      <c r="K833" s="12" t="n">
        <v>0.5035</v>
      </c>
      <c r="L833" s="3" t="n">
        <v>4.63</v>
      </c>
      <c r="M833" s="12" t="n">
        <f aca="false">Z833-W833</f>
        <v>0.00652900000000001</v>
      </c>
      <c r="N833" s="12" t="n">
        <f aca="false">IFERROR((Z833-J833)/L833,"")</f>
        <v>0.031410151187905</v>
      </c>
      <c r="O833" s="3" t="n">
        <v>19</v>
      </c>
      <c r="P833" s="13" t="b">
        <f aca="false">FALSE()</f>
        <v>0</v>
      </c>
      <c r="Q833" s="3" t="s">
        <v>166</v>
      </c>
      <c r="R833" s="12" t="n">
        <v>0.6364</v>
      </c>
      <c r="S833" s="12" t="n">
        <v>0.518</v>
      </c>
      <c r="T833" s="3" t="n">
        <v>0.3042</v>
      </c>
      <c r="U833" s="12" t="n">
        <v>0.3441</v>
      </c>
      <c r="V833" s="12" t="n">
        <v>0.4857</v>
      </c>
      <c r="W833" s="12" t="n">
        <v>0.497</v>
      </c>
      <c r="X833" s="3" t="n">
        <v>0.4594</v>
      </c>
      <c r="Y833" s="3" t="n">
        <v>0.6252</v>
      </c>
      <c r="Z833" s="14" t="n">
        <f aca="false">Assumptions!$B$3*R833+Assumptions!$B$4*S833+IF(AA833=1,Assumptions!$B$11,Assumptions!$B$5)*X833+IF(AA833=1,Assumptions!$B$12,Assumptions!$B$6)*T833+Assumptions!$B$7*U833+Assumptions!$B$8*V833+Assumptions!$B$9*Y833</f>
        <v>0.503529</v>
      </c>
      <c r="AA833" s="3" t="n">
        <v>0</v>
      </c>
    </row>
    <row r="834" customFormat="false" ht="15" hidden="false" customHeight="false" outlineLevel="0" collapsed="false">
      <c r="A834" s="3" t="s">
        <v>1019</v>
      </c>
      <c r="B834" s="3" t="n">
        <v>380</v>
      </c>
      <c r="C834" s="11" t="str">
        <f aca="false">IF(M834&gt;=Assumptions!$B$17,"S+",IF(M834&gt;=Assumptions!$B$18,"S",IF(M834&gt;=Assumptions!$B$19,"A",IF(M834&gt;=Assumptions!$B$20,"B",IF(M834&gt;=Assumptions!$B$21,"C",IF(M834&gt;=Assumptions!$B$22,"D","F"))))))</f>
        <v>D</v>
      </c>
      <c r="D834" s="3" t="s">
        <v>218</v>
      </c>
      <c r="E834" s="3" t="n">
        <v>1</v>
      </c>
      <c r="F834" s="12" t="n">
        <v>0.7049</v>
      </c>
      <c r="G834" s="12" t="n">
        <v>1</v>
      </c>
      <c r="H834" s="12" t="n">
        <v>0.75</v>
      </c>
      <c r="I834" s="12" t="n">
        <v>0.8556</v>
      </c>
      <c r="J834" s="12" t="n">
        <v>0.3415</v>
      </c>
      <c r="K834" s="12" t="n">
        <v>0.528</v>
      </c>
      <c r="L834" s="3" t="n">
        <v>6.58</v>
      </c>
      <c r="M834" s="12" t="n">
        <f aca="false">Z834-W834</f>
        <v>0.00599700000000003</v>
      </c>
      <c r="N834" s="12" t="n">
        <f aca="false">IFERROR((Z834-J834)/L834,"")</f>
        <v>0.028343009118541</v>
      </c>
      <c r="O834" s="3" t="n">
        <v>19</v>
      </c>
      <c r="P834" s="13" t="b">
        <f aca="false">FALSE()</f>
        <v>0</v>
      </c>
      <c r="Q834" s="3" t="s">
        <v>166</v>
      </c>
      <c r="R834" s="12" t="n">
        <v>0.7385</v>
      </c>
      <c r="S834" s="12" t="n">
        <v>0.5178</v>
      </c>
      <c r="T834" s="3" t="n">
        <v>0.2279</v>
      </c>
      <c r="U834" s="12" t="n">
        <v>0.417</v>
      </c>
      <c r="V834" s="12" t="n">
        <v>0.5917</v>
      </c>
      <c r="W834" s="12" t="n">
        <v>0.522</v>
      </c>
      <c r="X834" s="3" t="n">
        <v>0.2917</v>
      </c>
      <c r="Y834" s="3" t="n">
        <v>0.7751</v>
      </c>
      <c r="Z834" s="14" t="n">
        <f aca="false">Assumptions!$B$3*R834+Assumptions!$B$4*S834+IF(AA834=1,Assumptions!$B$11,Assumptions!$B$5)*X834+IF(AA834=1,Assumptions!$B$12,Assumptions!$B$6)*T834+Assumptions!$B$7*U834+Assumptions!$B$8*V834+Assumptions!$B$9*Y834</f>
        <v>0.527997</v>
      </c>
      <c r="AA834" s="3" t="n">
        <v>0</v>
      </c>
    </row>
    <row r="835" customFormat="false" ht="15" hidden="false" customHeight="false" outlineLevel="0" collapsed="false">
      <c r="A835" s="3" t="s">
        <v>1020</v>
      </c>
      <c r="B835" s="3" t="n">
        <v>464</v>
      </c>
      <c r="C835" s="11" t="str">
        <f aca="false">IF(M835&gt;=Assumptions!$B$17,"S+",IF(M835&gt;=Assumptions!$B$18,"S",IF(M835&gt;=Assumptions!$B$19,"A",IF(M835&gt;=Assumptions!$B$20,"B",IF(M835&gt;=Assumptions!$B$21,"C",IF(M835&gt;=Assumptions!$B$22,"D","F"))))))</f>
        <v>D</v>
      </c>
      <c r="D835" s="3" t="s">
        <v>253</v>
      </c>
      <c r="E835" s="3" t="n">
        <v>1</v>
      </c>
      <c r="F835" s="12" t="n">
        <v>0.7838</v>
      </c>
      <c r="G835" s="12" t="n">
        <v>0.6</v>
      </c>
      <c r="H835" s="12" t="n">
        <v>0.75</v>
      </c>
      <c r="I835" s="12" t="n">
        <v>0.6888</v>
      </c>
      <c r="J835" s="12" t="n">
        <v>0.3993</v>
      </c>
      <c r="K835" s="12" t="n">
        <v>0.5464</v>
      </c>
      <c r="L835" s="3" t="n">
        <v>3.63</v>
      </c>
      <c r="M835" s="12" t="n">
        <f aca="false">Z835-W835</f>
        <v>0.00588000000000011</v>
      </c>
      <c r="N835" s="12" t="n">
        <f aca="false">IFERROR((Z835-J835)/L835,"")</f>
        <v>0.0405179063360882</v>
      </c>
      <c r="O835" s="3" t="n">
        <v>19</v>
      </c>
      <c r="P835" s="13" t="b">
        <f aca="false">FALSE()</f>
        <v>0</v>
      </c>
      <c r="Q835" s="3" t="s">
        <v>166</v>
      </c>
      <c r="R835" s="12" t="n">
        <v>0.7777</v>
      </c>
      <c r="S835" s="12" t="n">
        <v>0.5606</v>
      </c>
      <c r="T835" s="3" t="n">
        <v>0.4008</v>
      </c>
      <c r="U835" s="12" t="n">
        <v>0.4818</v>
      </c>
      <c r="V835" s="12" t="n">
        <v>0.4878</v>
      </c>
      <c r="W835" s="12" t="n">
        <v>0.5405</v>
      </c>
      <c r="X835" s="3" t="n">
        <v>0.2874</v>
      </c>
      <c r="Y835" s="3" t="n">
        <v>0.6417</v>
      </c>
      <c r="Z835" s="14" t="n">
        <f aca="false">Assumptions!$B$3*R835+Assumptions!$B$4*S835+IF(AA835=1,Assumptions!$B$11,Assumptions!$B$5)*X835+IF(AA835=1,Assumptions!$B$12,Assumptions!$B$6)*T835+Assumptions!$B$7*U835+Assumptions!$B$8*V835+Assumptions!$B$9*Y835</f>
        <v>0.54638</v>
      </c>
      <c r="AA835" s="3" t="n">
        <v>0</v>
      </c>
    </row>
    <row r="836" customFormat="false" ht="15" hidden="false" customHeight="false" outlineLevel="0" collapsed="false">
      <c r="A836" s="3" t="s">
        <v>1021</v>
      </c>
      <c r="B836" s="3" t="n">
        <v>410</v>
      </c>
      <c r="C836" s="11" t="str">
        <f aca="false">IF(M836&gt;=Assumptions!$B$17,"S+",IF(M836&gt;=Assumptions!$B$18,"S",IF(M836&gt;=Assumptions!$B$19,"A",IF(M836&gt;=Assumptions!$B$20,"B",IF(M836&gt;=Assumptions!$B$21,"C",IF(M836&gt;=Assumptions!$B$22,"D","F"))))))</f>
        <v>D</v>
      </c>
      <c r="D836" s="3" t="s">
        <v>218</v>
      </c>
      <c r="E836" s="3" t="n">
        <v>2</v>
      </c>
      <c r="F836" s="12" t="n">
        <v>0.6637</v>
      </c>
      <c r="G836" s="12" t="n">
        <v>0.6</v>
      </c>
      <c r="H836" s="12" t="n">
        <v>0.75</v>
      </c>
      <c r="I836" s="12" t="n">
        <v>0.6504</v>
      </c>
      <c r="J836" s="12" t="n">
        <v>0.3477</v>
      </c>
      <c r="K836" s="12" t="n">
        <v>0.5155</v>
      </c>
      <c r="L836" s="3" t="n">
        <v>5.67</v>
      </c>
      <c r="M836" s="12" t="n">
        <f aca="false">Z836-W836</f>
        <v>0.00565099999999996</v>
      </c>
      <c r="N836" s="12" t="n">
        <f aca="false">IFERROR((Z836-J836)/L836,"")</f>
        <v>0.0295857142857143</v>
      </c>
      <c r="O836" s="3" t="n">
        <v>18</v>
      </c>
      <c r="P836" s="13" t="b">
        <f aca="false">FALSE()</f>
        <v>0</v>
      </c>
      <c r="Q836" s="3" t="s">
        <v>166</v>
      </c>
      <c r="R836" s="12" t="n">
        <v>0.7885</v>
      </c>
      <c r="S836" s="12" t="n">
        <v>0.3166</v>
      </c>
      <c r="T836" s="3" t="n">
        <v>0.4724</v>
      </c>
      <c r="U836" s="12" t="n">
        <v>0.312</v>
      </c>
      <c r="V836" s="12" t="n">
        <v>0.4731</v>
      </c>
      <c r="W836" s="12" t="n">
        <v>0.5098</v>
      </c>
      <c r="X836" s="3" t="n">
        <v>0.3742</v>
      </c>
      <c r="Y836" s="3" t="n">
        <v>0.6315</v>
      </c>
      <c r="Z836" s="14" t="n">
        <f aca="false">Assumptions!$B$3*R836+Assumptions!$B$4*S836+IF(AA836=1,Assumptions!$B$11,Assumptions!$B$5)*X836+IF(AA836=1,Assumptions!$B$12,Assumptions!$B$6)*T836+Assumptions!$B$7*U836+Assumptions!$B$8*V836+Assumptions!$B$9*Y836</f>
        <v>0.515451</v>
      </c>
      <c r="AA836" s="3" t="n">
        <v>0</v>
      </c>
    </row>
    <row r="837" customFormat="false" ht="15" hidden="false" customHeight="false" outlineLevel="0" collapsed="false">
      <c r="A837" s="3" t="s">
        <v>1022</v>
      </c>
      <c r="B837" s="3" t="n">
        <v>405</v>
      </c>
      <c r="C837" s="11" t="str">
        <f aca="false">IF(M837&gt;=Assumptions!$B$17,"S+",IF(M837&gt;=Assumptions!$B$18,"S",IF(M837&gt;=Assumptions!$B$19,"A",IF(M837&gt;=Assumptions!$B$20,"B",IF(M837&gt;=Assumptions!$B$21,"C",IF(M837&gt;=Assumptions!$B$22,"D","F"))))))</f>
        <v>D</v>
      </c>
      <c r="D837" s="3" t="s">
        <v>190</v>
      </c>
      <c r="E837" s="3" t="n">
        <v>1</v>
      </c>
      <c r="F837" s="12" t="n">
        <v>0.8902</v>
      </c>
      <c r="G837" s="12" t="n">
        <v>0.6</v>
      </c>
      <c r="H837" s="12" t="n">
        <v>0.75</v>
      </c>
      <c r="I837" s="12" t="n">
        <v>0.7403</v>
      </c>
      <c r="J837" s="12" t="n">
        <v>0.2798</v>
      </c>
      <c r="K837" s="12" t="n">
        <v>0.5067</v>
      </c>
      <c r="L837" s="3" t="n">
        <v>5.74</v>
      </c>
      <c r="M837" s="12" t="n">
        <f aca="false">Z837-W837</f>
        <v>0.00547200000000003</v>
      </c>
      <c r="N837" s="12" t="n">
        <f aca="false">IFERROR((Z837-J837)/L837,"")</f>
        <v>0.0395247386759582</v>
      </c>
      <c r="O837" s="3" t="n">
        <v>19</v>
      </c>
      <c r="P837" s="13" t="b">
        <f aca="false">FALSE()</f>
        <v>0</v>
      </c>
      <c r="Q837" s="3" t="s">
        <v>166</v>
      </c>
      <c r="R837" s="12" t="n">
        <v>0.8296</v>
      </c>
      <c r="S837" s="12" t="n">
        <v>0.2282</v>
      </c>
      <c r="T837" s="3" t="n">
        <v>0.5654</v>
      </c>
      <c r="U837" s="12" t="n">
        <v>0.5344</v>
      </c>
      <c r="V837" s="12" t="n">
        <v>0.3902</v>
      </c>
      <c r="W837" s="12" t="n">
        <v>0.5012</v>
      </c>
      <c r="X837" s="3" t="n">
        <v>0.1351</v>
      </c>
      <c r="Y837" s="3" t="n">
        <v>0.7092</v>
      </c>
      <c r="Z837" s="14" t="n">
        <f aca="false">Assumptions!$B$3*R837+Assumptions!$B$4*S837+IF(AA837=1,Assumptions!$B$11,Assumptions!$B$5)*X837+IF(AA837=1,Assumptions!$B$12,Assumptions!$B$6)*T837+Assumptions!$B$7*U837+Assumptions!$B$8*V837+Assumptions!$B$9*Y837</f>
        <v>0.506672</v>
      </c>
      <c r="AA837" s="3" t="n">
        <v>0</v>
      </c>
    </row>
    <row r="838" customFormat="false" ht="15" hidden="false" customHeight="false" outlineLevel="0" collapsed="false">
      <c r="A838" s="3" t="s">
        <v>1023</v>
      </c>
      <c r="B838" s="3" t="n">
        <v>535</v>
      </c>
      <c r="C838" s="11" t="str">
        <f aca="false">IF(M838&gt;=Assumptions!$B$17,"S+",IF(M838&gt;=Assumptions!$B$18,"S",IF(M838&gt;=Assumptions!$B$19,"A",IF(M838&gt;=Assumptions!$B$20,"B",IF(M838&gt;=Assumptions!$B$21,"C",IF(M838&gt;=Assumptions!$B$22,"D","F"))))))</f>
        <v>D</v>
      </c>
      <c r="D838" s="3" t="s">
        <v>253</v>
      </c>
      <c r="E838" s="3" t="n">
        <v>7</v>
      </c>
      <c r="F838" s="12" t="n">
        <v>0.8074</v>
      </c>
      <c r="G838" s="12" t="n">
        <v>0.4</v>
      </c>
      <c r="H838" s="12" t="n">
        <v>0.75</v>
      </c>
      <c r="I838" s="12" t="n">
        <v>0.6004</v>
      </c>
      <c r="J838" s="12" t="n">
        <v>0.3153</v>
      </c>
      <c r="K838" s="12" t="n">
        <v>0.5346</v>
      </c>
      <c r="L838" s="3" t="n">
        <v>4</v>
      </c>
      <c r="M838" s="12" t="n">
        <f aca="false">Z838-W838</f>
        <v>0.00514499999999996</v>
      </c>
      <c r="N838" s="12" t="n">
        <f aca="false">IFERROR((Z838-J838)/L838,"")</f>
        <v>0.05483625</v>
      </c>
      <c r="O838" s="3" t="n">
        <v>13</v>
      </c>
      <c r="P838" s="13" t="b">
        <f aca="false">FALSE()</f>
        <v>0</v>
      </c>
      <c r="Q838" s="3" t="s">
        <v>166</v>
      </c>
      <c r="R838" s="12" t="n">
        <v>0.747</v>
      </c>
      <c r="S838" s="12" t="n">
        <v>0.4454</v>
      </c>
      <c r="T838" s="3" t="n">
        <v>0.2397</v>
      </c>
      <c r="U838" s="12" t="n">
        <v>0.3846</v>
      </c>
      <c r="V838" s="12" t="n">
        <v>0.3755</v>
      </c>
      <c r="W838" s="12" t="n">
        <v>0.5295</v>
      </c>
      <c r="X838" s="3" t="n">
        <v>0.6646</v>
      </c>
      <c r="Y838" s="3" t="n">
        <v>0.5875</v>
      </c>
      <c r="Z838" s="14" t="n">
        <f aca="false">Assumptions!$B$3*R838+Assumptions!$B$4*S838+IF(AA838=1,Assumptions!$B$11,Assumptions!$B$5)*X838+IF(AA838=1,Assumptions!$B$12,Assumptions!$B$6)*T838+Assumptions!$B$7*U838+Assumptions!$B$8*V838+Assumptions!$B$9*Y838</f>
        <v>0.534645</v>
      </c>
      <c r="AA838" s="3" t="n">
        <v>0</v>
      </c>
    </row>
    <row r="839" customFormat="false" ht="15" hidden="false" customHeight="false" outlineLevel="0" collapsed="false">
      <c r="A839" s="3" t="s">
        <v>1024</v>
      </c>
      <c r="B839" s="3" t="n">
        <v>428</v>
      </c>
      <c r="C839" s="11" t="str">
        <f aca="false">IF(M839&gt;=Assumptions!$B$17,"S+",IF(M839&gt;=Assumptions!$B$18,"S",IF(M839&gt;=Assumptions!$B$19,"A",IF(M839&gt;=Assumptions!$B$20,"B",IF(M839&gt;=Assumptions!$B$21,"C",IF(M839&gt;=Assumptions!$B$22,"D","F"))))))</f>
        <v>D</v>
      </c>
      <c r="D839" s="3" t="s">
        <v>218</v>
      </c>
      <c r="E839" s="3" t="n">
        <v>2</v>
      </c>
      <c r="F839" s="12" t="n">
        <v>0.715</v>
      </c>
      <c r="G839" s="12" t="n">
        <v>1</v>
      </c>
      <c r="H839" s="12" t="n">
        <v>0.75</v>
      </c>
      <c r="I839" s="12" t="n">
        <v>0.8588</v>
      </c>
      <c r="J839" s="12" t="n">
        <v>0.366</v>
      </c>
      <c r="K839" s="12" t="n">
        <v>0.5248</v>
      </c>
      <c r="L839" s="3" t="n">
        <v>4.75</v>
      </c>
      <c r="M839" s="12" t="n">
        <f aca="false">Z839-W839</f>
        <v>0.00494400000000006</v>
      </c>
      <c r="N839" s="12" t="n">
        <f aca="false">IFERROR((Z839-J839)/L839,"")</f>
        <v>0.0334408421052632</v>
      </c>
      <c r="O839" s="3" t="n">
        <v>18</v>
      </c>
      <c r="P839" s="13" t="b">
        <f aca="false">FALSE()</f>
        <v>0</v>
      </c>
      <c r="Q839" s="3" t="s">
        <v>166</v>
      </c>
      <c r="R839" s="12" t="n">
        <v>0.7314</v>
      </c>
      <c r="S839" s="12" t="n">
        <v>0.4541</v>
      </c>
      <c r="T839" s="3" t="n">
        <v>0.4533</v>
      </c>
      <c r="U839" s="12" t="n">
        <v>0.376</v>
      </c>
      <c r="V839" s="12" t="n">
        <v>0.4579</v>
      </c>
      <c r="W839" s="12" t="n">
        <v>0.5199</v>
      </c>
      <c r="X839" s="3" t="n">
        <v>0.2875</v>
      </c>
      <c r="Y839" s="3" t="n">
        <v>0.782</v>
      </c>
      <c r="Z839" s="14" t="n">
        <f aca="false">Assumptions!$B$3*R839+Assumptions!$B$4*S839+IF(AA839=1,Assumptions!$B$11,Assumptions!$B$5)*X839+IF(AA839=1,Assumptions!$B$12,Assumptions!$B$6)*T839+Assumptions!$B$7*U839+Assumptions!$B$8*V839+Assumptions!$B$9*Y839</f>
        <v>0.524844</v>
      </c>
      <c r="AA839" s="3" t="n">
        <v>0</v>
      </c>
    </row>
    <row r="840" customFormat="false" ht="15" hidden="false" customHeight="false" outlineLevel="0" collapsed="false">
      <c r="A840" s="3" t="s">
        <v>1025</v>
      </c>
      <c r="B840" s="3" t="n">
        <v>428</v>
      </c>
      <c r="C840" s="11" t="str">
        <f aca="false">IF(M840&gt;=Assumptions!$B$17,"S+",IF(M840&gt;=Assumptions!$B$18,"S",IF(M840&gt;=Assumptions!$B$19,"A",IF(M840&gt;=Assumptions!$B$20,"B",IF(M840&gt;=Assumptions!$B$21,"C",IF(M840&gt;=Assumptions!$B$22,"D","F"))))))</f>
        <v>D</v>
      </c>
      <c r="D840" s="3" t="s">
        <v>228</v>
      </c>
      <c r="E840" s="3" t="n">
        <v>1</v>
      </c>
      <c r="F840" s="12" t="n">
        <v>0.7723</v>
      </c>
      <c r="G840" s="12" t="n">
        <v>0.8</v>
      </c>
      <c r="H840" s="12" t="n">
        <v>0.75</v>
      </c>
      <c r="I840" s="12" t="n">
        <v>0.7811</v>
      </c>
      <c r="J840" s="12" t="n">
        <v>0.3405</v>
      </c>
      <c r="K840" s="12" t="n">
        <v>0.4845</v>
      </c>
      <c r="L840" s="3" t="n">
        <v>4.63</v>
      </c>
      <c r="M840" s="12" t="n">
        <f aca="false">Z840-W840</f>
        <v>0.00478400000000001</v>
      </c>
      <c r="N840" s="12" t="n">
        <f aca="false">IFERROR((Z840-J840)/L840,"")</f>
        <v>0.0310980561555076</v>
      </c>
      <c r="O840" s="3" t="n">
        <v>19</v>
      </c>
      <c r="P840" s="13" t="b">
        <f aca="false">FALSE()</f>
        <v>0</v>
      </c>
      <c r="Q840" s="3" t="s">
        <v>201</v>
      </c>
      <c r="R840" s="12" t="n">
        <v>0.7866</v>
      </c>
      <c r="S840" s="12" t="n">
        <v>0.292</v>
      </c>
      <c r="T840" s="3" t="n">
        <v>0.4315</v>
      </c>
      <c r="U840" s="12" t="n">
        <v>0.4049</v>
      </c>
      <c r="V840" s="12" t="n">
        <v>0.4038</v>
      </c>
      <c r="W840" s="12" t="n">
        <v>0.4797</v>
      </c>
      <c r="X840" s="3" t="n">
        <v>0.1435</v>
      </c>
      <c r="Y840" s="3" t="n">
        <v>0.7652</v>
      </c>
      <c r="Z840" s="14" t="n">
        <f aca="false">Assumptions!$B$3*R840+Assumptions!$B$4*S840+IF(AA840=1,Assumptions!$B$11,Assumptions!$B$5)*X840+IF(AA840=1,Assumptions!$B$12,Assumptions!$B$6)*T840+Assumptions!$B$7*U840+Assumptions!$B$8*V840+Assumptions!$B$9*Y840</f>
        <v>0.484484</v>
      </c>
      <c r="AA840" s="3" t="n">
        <v>0</v>
      </c>
    </row>
    <row r="841" customFormat="false" ht="15" hidden="false" customHeight="false" outlineLevel="0" collapsed="false">
      <c r="A841" s="3" t="s">
        <v>1026</v>
      </c>
      <c r="B841" s="3" t="n">
        <v>530</v>
      </c>
      <c r="C841" s="11" t="str">
        <f aca="false">IF(M841&gt;=Assumptions!$B$17,"S+",IF(M841&gt;=Assumptions!$B$18,"S",IF(M841&gt;=Assumptions!$B$19,"A",IF(M841&gt;=Assumptions!$B$20,"B",IF(M841&gt;=Assumptions!$B$21,"C",IF(M841&gt;=Assumptions!$B$22,"D","F"))))))</f>
        <v>D</v>
      </c>
      <c r="D841" s="3" t="s">
        <v>186</v>
      </c>
      <c r="E841" s="3" t="n">
        <v>7</v>
      </c>
      <c r="F841" s="12" t="n">
        <v>0.7378</v>
      </c>
      <c r="G841" s="12" t="n">
        <v>0.85</v>
      </c>
      <c r="H841" s="12" t="n">
        <v>0.75</v>
      </c>
      <c r="I841" s="12" t="n">
        <v>0.8098</v>
      </c>
      <c r="J841" s="12" t="n">
        <v>0.3016</v>
      </c>
      <c r="K841" s="12" t="n">
        <v>0.4864</v>
      </c>
      <c r="L841" s="3" t="n">
        <v>4</v>
      </c>
      <c r="M841" s="12" t="n">
        <f aca="false">Z841-W841</f>
        <v>0.00477500000000003</v>
      </c>
      <c r="N841" s="12" t="n">
        <f aca="false">IFERROR((Z841-J841)/L841,"")</f>
        <v>0.04619375</v>
      </c>
      <c r="O841" s="3" t="n">
        <v>13</v>
      </c>
      <c r="P841" s="13" t="b">
        <f aca="false">FALSE()</f>
        <v>0</v>
      </c>
      <c r="Q841" s="3" t="s">
        <v>166</v>
      </c>
      <c r="R841" s="12" t="n">
        <v>0.854</v>
      </c>
      <c r="S841" s="12" t="n">
        <v>0.308</v>
      </c>
      <c r="T841" s="3" t="n">
        <v>0.1243</v>
      </c>
      <c r="U841" s="12" t="n">
        <v>0.3432</v>
      </c>
      <c r="V841" s="12" t="n">
        <v>0.3301</v>
      </c>
      <c r="W841" s="12" t="n">
        <v>0.4816</v>
      </c>
      <c r="X841" s="3" t="n">
        <v>0.2973</v>
      </c>
      <c r="Y841" s="3" t="n">
        <v>0.7118</v>
      </c>
      <c r="Z841" s="14" t="n">
        <f aca="false">Assumptions!$B$3*R841+Assumptions!$B$4*S841+IF(AA841=1,Assumptions!$B$11,Assumptions!$B$5)*X841+IF(AA841=1,Assumptions!$B$12,Assumptions!$B$6)*T841+Assumptions!$B$7*U841+Assumptions!$B$8*V841+Assumptions!$B$9*Y841</f>
        <v>0.486375</v>
      </c>
      <c r="AA841" s="3" t="n">
        <v>1</v>
      </c>
    </row>
    <row r="842" customFormat="false" ht="15" hidden="false" customHeight="false" outlineLevel="0" collapsed="false">
      <c r="A842" s="3" t="s">
        <v>1027</v>
      </c>
      <c r="B842" s="3" t="n">
        <v>320</v>
      </c>
      <c r="C842" s="11" t="str">
        <f aca="false">IF(M842&gt;=Assumptions!$B$17,"S+",IF(M842&gt;=Assumptions!$B$18,"S",IF(M842&gt;=Assumptions!$B$19,"A",IF(M842&gt;=Assumptions!$B$20,"B",IF(M842&gt;=Assumptions!$B$21,"C",IF(M842&gt;=Assumptions!$B$22,"D","F"))))))</f>
        <v>D</v>
      </c>
      <c r="D842" s="3" t="s">
        <v>175</v>
      </c>
      <c r="E842" s="3" t="n">
        <v>1</v>
      </c>
      <c r="F842" s="12" t="n">
        <v>0.6888</v>
      </c>
      <c r="G842" s="12" t="n">
        <v>0.45</v>
      </c>
      <c r="H842" s="12" t="n">
        <v>0.75</v>
      </c>
      <c r="I842" s="12" t="n">
        <v>0.5458</v>
      </c>
      <c r="J842" s="12" t="n">
        <v>0.2411</v>
      </c>
      <c r="K842" s="12" t="n">
        <v>0.4296</v>
      </c>
      <c r="L842" s="3" t="n">
        <v>5.61</v>
      </c>
      <c r="M842" s="12" t="n">
        <f aca="false">Z842-W842</f>
        <v>0.00441699999999995</v>
      </c>
      <c r="N842" s="12" t="n">
        <f aca="false">IFERROR((Z842-J842)/L842,"")</f>
        <v>0.033603743315508</v>
      </c>
      <c r="O842" s="3" t="n">
        <v>19</v>
      </c>
      <c r="P842" s="13" t="b">
        <f aca="false">FALSE()</f>
        <v>0</v>
      </c>
      <c r="Q842" s="3" t="s">
        <v>166</v>
      </c>
      <c r="R842" s="12" t="n">
        <v>0.6906</v>
      </c>
      <c r="S842" s="12" t="n">
        <v>0.4766</v>
      </c>
      <c r="T842" s="3" t="n">
        <v>0.1443</v>
      </c>
      <c r="U842" s="12" t="n">
        <v>0.2632</v>
      </c>
      <c r="V842" s="12" t="n">
        <v>0.4809</v>
      </c>
      <c r="W842" s="12" t="n">
        <v>0.4252</v>
      </c>
      <c r="X842" s="3" t="n">
        <v>0.2071</v>
      </c>
      <c r="Y842" s="3" t="n">
        <v>0.489</v>
      </c>
      <c r="Z842" s="14" t="n">
        <f aca="false">Assumptions!$B$3*R842+Assumptions!$B$4*S842+IF(AA842=1,Assumptions!$B$11,Assumptions!$B$5)*X842+IF(AA842=1,Assumptions!$B$12,Assumptions!$B$6)*T842+Assumptions!$B$7*U842+Assumptions!$B$8*V842+Assumptions!$B$9*Y842</f>
        <v>0.429617</v>
      </c>
      <c r="AA842" s="3" t="n">
        <v>0</v>
      </c>
    </row>
    <row r="843" customFormat="false" ht="15" hidden="false" customHeight="false" outlineLevel="0" collapsed="false">
      <c r="A843" s="3" t="s">
        <v>1028</v>
      </c>
      <c r="B843" s="3" t="n">
        <v>335</v>
      </c>
      <c r="C843" s="11" t="str">
        <f aca="false">IF(M843&gt;=Assumptions!$B$17,"S+",IF(M843&gt;=Assumptions!$B$18,"S",IF(M843&gt;=Assumptions!$B$19,"A",IF(M843&gt;=Assumptions!$B$20,"B",IF(M843&gt;=Assumptions!$B$21,"C",IF(M843&gt;=Assumptions!$B$22,"D","F"))))))</f>
        <v>D</v>
      </c>
      <c r="D843" s="3" t="s">
        <v>183</v>
      </c>
      <c r="E843" s="3" t="n">
        <v>1</v>
      </c>
      <c r="F843" s="12" t="n">
        <v>0.6573</v>
      </c>
      <c r="G843" s="12" t="n">
        <v>0.24</v>
      </c>
      <c r="H843" s="12" t="n">
        <v>0.5456</v>
      </c>
      <c r="I843" s="12" t="n">
        <v>0.4332</v>
      </c>
      <c r="J843" s="12" t="n">
        <v>0.3406</v>
      </c>
      <c r="K843" s="12" t="n">
        <v>0.4801</v>
      </c>
      <c r="L843" s="3" t="n">
        <v>5.61</v>
      </c>
      <c r="M843" s="12" t="n">
        <f aca="false">Z843-W843</f>
        <v>0.00399199999999994</v>
      </c>
      <c r="N843" s="12" t="n">
        <f aca="false">IFERROR((Z843-J843)/L843,"")</f>
        <v>0.0248648841354724</v>
      </c>
      <c r="O843" s="3" t="n">
        <v>19</v>
      </c>
      <c r="P843" s="13" t="b">
        <f aca="false">FALSE()</f>
        <v>0</v>
      </c>
      <c r="Q843" s="3" t="s">
        <v>166</v>
      </c>
      <c r="R843" s="12" t="n">
        <v>0.6743</v>
      </c>
      <c r="S843" s="12" t="n">
        <v>0.4796</v>
      </c>
      <c r="T843" s="3" t="n">
        <v>0.1162</v>
      </c>
      <c r="U843" s="12" t="n">
        <v>0.332</v>
      </c>
      <c r="V843" s="12" t="n">
        <v>0.5508</v>
      </c>
      <c r="W843" s="12" t="n">
        <v>0.4761</v>
      </c>
      <c r="X843" s="3" t="n">
        <v>0.3977</v>
      </c>
      <c r="Y843" s="3" t="n">
        <v>0.3895</v>
      </c>
      <c r="Z843" s="14" t="n">
        <f aca="false">Assumptions!$B$3*R843+Assumptions!$B$4*S843+IF(AA843=1,Assumptions!$B$11,Assumptions!$B$5)*X843+IF(AA843=1,Assumptions!$B$12,Assumptions!$B$6)*T843+Assumptions!$B$7*U843+Assumptions!$B$8*V843+Assumptions!$B$9*Y843</f>
        <v>0.480092</v>
      </c>
      <c r="AA843" s="3" t="n">
        <v>1</v>
      </c>
    </row>
    <row r="844" customFormat="false" ht="15" hidden="false" customHeight="false" outlineLevel="0" collapsed="false">
      <c r="A844" s="3" t="s">
        <v>1029</v>
      </c>
      <c r="B844" s="3" t="n">
        <v>485</v>
      </c>
      <c r="C844" s="11" t="str">
        <f aca="false">IF(M844&gt;=Assumptions!$B$17,"S+",IF(M844&gt;=Assumptions!$B$18,"S",IF(M844&gt;=Assumptions!$B$19,"A",IF(M844&gt;=Assumptions!$B$20,"B",IF(M844&gt;=Assumptions!$B$21,"C",IF(M844&gt;=Assumptions!$B$22,"D","F"))))))</f>
        <v>D</v>
      </c>
      <c r="D844" s="3" t="s">
        <v>253</v>
      </c>
      <c r="E844" s="3" t="n">
        <v>7</v>
      </c>
      <c r="F844" s="12" t="n">
        <v>0.6711</v>
      </c>
      <c r="G844" s="12" t="n">
        <v>0.4</v>
      </c>
      <c r="H844" s="12" t="n">
        <v>0.75</v>
      </c>
      <c r="I844" s="12" t="n">
        <v>0.5567</v>
      </c>
      <c r="J844" s="12" t="n">
        <v>0.3512</v>
      </c>
      <c r="K844" s="12" t="n">
        <v>0.5334</v>
      </c>
      <c r="L844" s="3" t="n">
        <v>4</v>
      </c>
      <c r="M844" s="12" t="n">
        <f aca="false">Z844-W844</f>
        <v>0.00396700000000005</v>
      </c>
      <c r="N844" s="12" t="n">
        <f aca="false">IFERROR((Z844-J844)/L844,"")</f>
        <v>0.04556675</v>
      </c>
      <c r="O844" s="3" t="n">
        <v>13</v>
      </c>
      <c r="P844" s="13" t="b">
        <f aca="false">FALSE()</f>
        <v>0</v>
      </c>
      <c r="Q844" s="3" t="s">
        <v>166</v>
      </c>
      <c r="R844" s="12" t="n">
        <v>0.7331</v>
      </c>
      <c r="S844" s="12" t="n">
        <v>0.5972</v>
      </c>
      <c r="T844" s="3" t="n">
        <v>0.1355</v>
      </c>
      <c r="U844" s="12" t="n">
        <v>0.2722</v>
      </c>
      <c r="V844" s="12" t="n">
        <v>0.4619</v>
      </c>
      <c r="W844" s="12" t="n">
        <v>0.5295</v>
      </c>
      <c r="X844" s="3" t="n">
        <v>0.6442</v>
      </c>
      <c r="Y844" s="3" t="n">
        <v>0.5592</v>
      </c>
      <c r="Z844" s="14" t="n">
        <f aca="false">Assumptions!$B$3*R844+Assumptions!$B$4*S844+IF(AA844=1,Assumptions!$B$11,Assumptions!$B$5)*X844+IF(AA844=1,Assumptions!$B$12,Assumptions!$B$6)*T844+Assumptions!$B$7*U844+Assumptions!$B$8*V844+Assumptions!$B$9*Y844</f>
        <v>0.533467</v>
      </c>
      <c r="AA844" s="3" t="n">
        <v>0</v>
      </c>
    </row>
    <row r="845" customFormat="false" ht="15" hidden="false" customHeight="false" outlineLevel="0" collapsed="false">
      <c r="A845" s="3" t="s">
        <v>1030</v>
      </c>
      <c r="B845" s="3" t="n">
        <v>365</v>
      </c>
      <c r="C845" s="11" t="str">
        <f aca="false">IF(M845&gt;=Assumptions!$B$17,"S+",IF(M845&gt;=Assumptions!$B$18,"S",IF(M845&gt;=Assumptions!$B$19,"A",IF(M845&gt;=Assumptions!$B$20,"B",IF(M845&gt;=Assumptions!$B$21,"C",IF(M845&gt;=Assumptions!$B$22,"D","F"))))))</f>
        <v>D</v>
      </c>
      <c r="D845" s="3" t="s">
        <v>186</v>
      </c>
      <c r="E845" s="3" t="n">
        <v>2</v>
      </c>
      <c r="F845" s="12" t="n">
        <v>0.4802</v>
      </c>
      <c r="G845" s="12" t="n">
        <v>0.45</v>
      </c>
      <c r="H845" s="12" t="n">
        <v>0.75</v>
      </c>
      <c r="I845" s="12" t="n">
        <v>0.5154</v>
      </c>
      <c r="J845" s="12" t="n">
        <v>0.2519</v>
      </c>
      <c r="K845" s="12" t="n">
        <v>0.4821</v>
      </c>
      <c r="L845" s="3" t="n">
        <v>3.69</v>
      </c>
      <c r="M845" s="12" t="n">
        <f aca="false">Z845-W845</f>
        <v>0.00386500000000006</v>
      </c>
      <c r="N845" s="12" t="n">
        <f aca="false">IFERROR((Z845-J845)/L845,"")</f>
        <v>0.0623753387533876</v>
      </c>
      <c r="O845" s="3" t="n">
        <v>18</v>
      </c>
      <c r="P845" s="13" t="b">
        <f aca="false">FALSE()</f>
        <v>0</v>
      </c>
      <c r="Q845" s="3" t="s">
        <v>166</v>
      </c>
      <c r="R845" s="12" t="n">
        <v>0.58</v>
      </c>
      <c r="S845" s="12" t="n">
        <v>0.4914</v>
      </c>
      <c r="T845" s="3" t="n">
        <v>0.2498</v>
      </c>
      <c r="U845" s="12" t="n">
        <v>0.265</v>
      </c>
      <c r="V845" s="12" t="n">
        <v>0.5101</v>
      </c>
      <c r="W845" s="12" t="n">
        <v>0.4782</v>
      </c>
      <c r="X845" s="3" t="n">
        <v>0.5158</v>
      </c>
      <c r="Y845" s="3" t="n">
        <v>0.4116</v>
      </c>
      <c r="Z845" s="14" t="n">
        <f aca="false">Assumptions!$B$3*R845+Assumptions!$B$4*S845+IF(AA845=1,Assumptions!$B$11,Assumptions!$B$5)*X845+IF(AA845=1,Assumptions!$B$12,Assumptions!$B$6)*T845+Assumptions!$B$7*U845+Assumptions!$B$8*V845+Assumptions!$B$9*Y845</f>
        <v>0.482065</v>
      </c>
      <c r="AA845" s="3" t="n">
        <v>1</v>
      </c>
    </row>
    <row r="846" customFormat="false" ht="15" hidden="false" customHeight="false" outlineLevel="0" collapsed="false">
      <c r="A846" s="3" t="s">
        <v>1031</v>
      </c>
      <c r="B846" s="3" t="n">
        <v>355</v>
      </c>
      <c r="C846" s="11" t="str">
        <f aca="false">IF(M846&gt;=Assumptions!$B$17,"S+",IF(M846&gt;=Assumptions!$B$18,"S",IF(M846&gt;=Assumptions!$B$19,"A",IF(M846&gt;=Assumptions!$B$20,"B",IF(M846&gt;=Assumptions!$B$21,"C",IF(M846&gt;=Assumptions!$B$22,"D","F"))))))</f>
        <v>D</v>
      </c>
      <c r="D846" s="3" t="s">
        <v>186</v>
      </c>
      <c r="E846" s="3" t="n">
        <v>3</v>
      </c>
      <c r="F846" s="12" t="n">
        <v>0.621</v>
      </c>
      <c r="G846" s="12" t="n">
        <v>0.85</v>
      </c>
      <c r="H846" s="12" t="n">
        <v>0.75</v>
      </c>
      <c r="I846" s="12" t="n">
        <v>0.7888</v>
      </c>
      <c r="J846" s="12" t="n">
        <v>0.3176</v>
      </c>
      <c r="K846" s="12" t="n">
        <v>0.4635</v>
      </c>
      <c r="L846" s="3" t="n">
        <v>3.82</v>
      </c>
      <c r="M846" s="12" t="n">
        <f aca="false">Z846-W846</f>
        <v>0.00384499999999999</v>
      </c>
      <c r="N846" s="12" t="n">
        <f aca="false">IFERROR((Z846-J846)/L846,"")</f>
        <v>0.038205497382199</v>
      </c>
      <c r="O846" s="3" t="n">
        <v>17</v>
      </c>
      <c r="P846" s="13" t="b">
        <f aca="false">FALSE()</f>
        <v>0</v>
      </c>
      <c r="Q846" s="3" t="s">
        <v>166</v>
      </c>
      <c r="R846" s="12" t="n">
        <v>0.6297</v>
      </c>
      <c r="S846" s="12" t="n">
        <v>0.4356</v>
      </c>
      <c r="T846" s="3" t="n">
        <v>0.0691</v>
      </c>
      <c r="U846" s="12" t="n">
        <v>0.3258</v>
      </c>
      <c r="V846" s="12" t="n">
        <v>0.3849</v>
      </c>
      <c r="W846" s="12" t="n">
        <v>0.4597</v>
      </c>
      <c r="X846" s="3" t="n">
        <v>0.365</v>
      </c>
      <c r="Y846" s="3" t="n">
        <v>0.692</v>
      </c>
      <c r="Z846" s="14" t="n">
        <f aca="false">Assumptions!$B$3*R846+Assumptions!$B$4*S846+IF(AA846=1,Assumptions!$B$11,Assumptions!$B$5)*X846+IF(AA846=1,Assumptions!$B$12,Assumptions!$B$6)*T846+Assumptions!$B$7*U846+Assumptions!$B$8*V846+Assumptions!$B$9*Y846</f>
        <v>0.463545</v>
      </c>
      <c r="AA846" s="3" t="n">
        <v>1</v>
      </c>
    </row>
    <row r="847" customFormat="false" ht="15" hidden="false" customHeight="false" outlineLevel="0" collapsed="false">
      <c r="A847" s="3" t="s">
        <v>1032</v>
      </c>
      <c r="B847" s="3" t="n">
        <v>350</v>
      </c>
      <c r="C847" s="11" t="str">
        <f aca="false">IF(M847&gt;=Assumptions!$B$17,"S+",IF(M847&gt;=Assumptions!$B$18,"S",IF(M847&gt;=Assumptions!$B$19,"A",IF(M847&gt;=Assumptions!$B$20,"B",IF(M847&gt;=Assumptions!$B$21,"C",IF(M847&gt;=Assumptions!$B$22,"D","F"))))))</f>
        <v>D</v>
      </c>
      <c r="D847" s="3" t="s">
        <v>218</v>
      </c>
      <c r="E847" s="3" t="n">
        <v>1</v>
      </c>
      <c r="F847" s="12" t="n">
        <v>0.741</v>
      </c>
      <c r="G847" s="12" t="n">
        <v>0.6</v>
      </c>
      <c r="H847" s="12" t="n">
        <v>0.75</v>
      </c>
      <c r="I847" s="12" t="n">
        <v>0.6751</v>
      </c>
      <c r="J847" s="12" t="n">
        <v>0.3477</v>
      </c>
      <c r="K847" s="12" t="n">
        <v>0.527</v>
      </c>
      <c r="L847" s="3" t="n">
        <v>6.68</v>
      </c>
      <c r="M847" s="12" t="n">
        <f aca="false">Z847-W847</f>
        <v>0.00264600000000004</v>
      </c>
      <c r="N847" s="12" t="n">
        <f aca="false">IFERROR((Z847-J847)/L847,"")</f>
        <v>0.0268332335329341</v>
      </c>
      <c r="O847" s="3" t="n">
        <v>19</v>
      </c>
      <c r="P847" s="13" t="b">
        <f aca="false">FALSE()</f>
        <v>0</v>
      </c>
      <c r="Q847" s="3" t="s">
        <v>166</v>
      </c>
      <c r="R847" s="12" t="n">
        <v>0.7441</v>
      </c>
      <c r="S847" s="12" t="n">
        <v>0.3277</v>
      </c>
      <c r="T847" s="3" t="n">
        <v>0.3384</v>
      </c>
      <c r="U847" s="12" t="n">
        <v>0.4859</v>
      </c>
      <c r="V847" s="12" t="n">
        <v>0.4647</v>
      </c>
      <c r="W847" s="12" t="n">
        <v>0.5243</v>
      </c>
      <c r="X847" s="3" t="n">
        <v>0.479</v>
      </c>
      <c r="Y847" s="3" t="n">
        <v>0.6737</v>
      </c>
      <c r="Z847" s="14" t="n">
        <f aca="false">Assumptions!$B$3*R847+Assumptions!$B$4*S847+IF(AA847=1,Assumptions!$B$11,Assumptions!$B$5)*X847+IF(AA847=1,Assumptions!$B$12,Assumptions!$B$6)*T847+Assumptions!$B$7*U847+Assumptions!$B$8*V847+Assumptions!$B$9*Y847</f>
        <v>0.526946</v>
      </c>
      <c r="AA847" s="3" t="n">
        <v>0</v>
      </c>
    </row>
    <row r="848" customFormat="false" ht="15" hidden="false" customHeight="false" outlineLevel="0" collapsed="false">
      <c r="A848" s="3" t="s">
        <v>1033</v>
      </c>
      <c r="B848" s="3" t="n">
        <v>485</v>
      </c>
      <c r="C848" s="11" t="str">
        <f aca="false">IF(M848&gt;=Assumptions!$B$17,"S+",IF(M848&gt;=Assumptions!$B$18,"S",IF(M848&gt;=Assumptions!$B$19,"A",IF(M848&gt;=Assumptions!$B$20,"B",IF(M848&gt;=Assumptions!$B$21,"C",IF(M848&gt;=Assumptions!$B$22,"D","F"))))))</f>
        <v>D</v>
      </c>
      <c r="D848" s="3" t="s">
        <v>228</v>
      </c>
      <c r="E848" s="3" t="n">
        <v>1</v>
      </c>
      <c r="F848" s="12" t="n">
        <v>0.8202</v>
      </c>
      <c r="G848" s="12" t="n">
        <v>0.6</v>
      </c>
      <c r="H848" s="12" t="n">
        <v>0.75</v>
      </c>
      <c r="I848" s="12" t="n">
        <v>0.7005</v>
      </c>
      <c r="J848" s="12" t="n">
        <v>0.3487</v>
      </c>
      <c r="K848" s="12" t="n">
        <v>0.4792</v>
      </c>
      <c r="L848" s="3" t="n">
        <v>3.47</v>
      </c>
      <c r="M848" s="12" t="n">
        <f aca="false">Z848-W848</f>
        <v>0.002552</v>
      </c>
      <c r="N848" s="12" t="n">
        <f aca="false">IFERROR((Z848-J848)/L848,"")</f>
        <v>0.0376230547550432</v>
      </c>
      <c r="O848" s="3" t="n">
        <v>19</v>
      </c>
      <c r="P848" s="13" t="b">
        <f aca="false">FALSE()</f>
        <v>0</v>
      </c>
      <c r="Q848" s="3" t="s">
        <v>166</v>
      </c>
      <c r="R848" s="12" t="n">
        <v>0.7644</v>
      </c>
      <c r="S848" s="12" t="n">
        <v>0.4667</v>
      </c>
      <c r="T848" s="3" t="n">
        <v>0.2266</v>
      </c>
      <c r="U848" s="12" t="n">
        <v>0.3643</v>
      </c>
      <c r="V848" s="12" t="n">
        <v>0.4463</v>
      </c>
      <c r="W848" s="12" t="n">
        <v>0.4767</v>
      </c>
      <c r="X848" s="3" t="n">
        <v>0.2248</v>
      </c>
      <c r="Y848" s="3" t="n">
        <v>0.6182</v>
      </c>
      <c r="Z848" s="14" t="n">
        <f aca="false">Assumptions!$B$3*R848+Assumptions!$B$4*S848+IF(AA848=1,Assumptions!$B$11,Assumptions!$B$5)*X848+IF(AA848=1,Assumptions!$B$12,Assumptions!$B$6)*T848+Assumptions!$B$7*U848+Assumptions!$B$8*V848+Assumptions!$B$9*Y848</f>
        <v>0.479252</v>
      </c>
      <c r="AA848" s="3" t="n">
        <v>0</v>
      </c>
    </row>
    <row r="849" customFormat="false" ht="15" hidden="false" customHeight="false" outlineLevel="0" collapsed="false">
      <c r="A849" s="3" t="s">
        <v>1034</v>
      </c>
      <c r="B849" s="3" t="n">
        <v>520</v>
      </c>
      <c r="C849" s="11" t="str">
        <f aca="false">IF(M849&gt;=Assumptions!$B$17,"S+",IF(M849&gt;=Assumptions!$B$18,"S",IF(M849&gt;=Assumptions!$B$19,"A",IF(M849&gt;=Assumptions!$B$20,"B",IF(M849&gt;=Assumptions!$B$21,"C",IF(M849&gt;=Assumptions!$B$22,"D","F"))))))</f>
        <v>D</v>
      </c>
      <c r="D849" s="3" t="s">
        <v>253</v>
      </c>
      <c r="E849" s="3" t="n">
        <v>6</v>
      </c>
      <c r="F849" s="12" t="n">
        <v>0.9875</v>
      </c>
      <c r="G849" s="12" t="n">
        <v>0.4</v>
      </c>
      <c r="H849" s="12" t="n">
        <v>0.75</v>
      </c>
      <c r="I849" s="12" t="n">
        <v>0.658</v>
      </c>
      <c r="J849" s="12" t="n">
        <v>0.3025</v>
      </c>
      <c r="K849" s="12" t="n">
        <v>0.5279</v>
      </c>
      <c r="L849" s="3" t="n">
        <v>5</v>
      </c>
      <c r="M849" s="12" t="n">
        <f aca="false">Z849-W849</f>
        <v>0.00131800000000004</v>
      </c>
      <c r="N849" s="12" t="n">
        <f aca="false">IFERROR((Z849-J849)/L849,"")</f>
        <v>0.0450836</v>
      </c>
      <c r="O849" s="3" t="n">
        <v>14</v>
      </c>
      <c r="P849" s="13" t="b">
        <f aca="false">FALSE()</f>
        <v>0</v>
      </c>
      <c r="Q849" s="3" t="s">
        <v>166</v>
      </c>
      <c r="R849" s="12" t="n">
        <v>0.8116</v>
      </c>
      <c r="S849" s="12" t="n">
        <v>0.5004</v>
      </c>
      <c r="T849" s="3" t="n">
        <v>0.213</v>
      </c>
      <c r="U849" s="12" t="n">
        <v>0.1813</v>
      </c>
      <c r="V849" s="12" t="n">
        <v>0.5228</v>
      </c>
      <c r="W849" s="12" t="n">
        <v>0.5266</v>
      </c>
      <c r="X849" s="3" t="n">
        <v>0.4674</v>
      </c>
      <c r="Y849" s="3" t="n">
        <v>0.6586</v>
      </c>
      <c r="Z849" s="14" t="n">
        <f aca="false">Assumptions!$B$3*R849+Assumptions!$B$4*S849+IF(AA849=1,Assumptions!$B$11,Assumptions!$B$5)*X849+IF(AA849=1,Assumptions!$B$12,Assumptions!$B$6)*T849+Assumptions!$B$7*U849+Assumptions!$B$8*V849+Assumptions!$B$9*Y849</f>
        <v>0.527918</v>
      </c>
      <c r="AA849" s="3" t="n">
        <v>0</v>
      </c>
    </row>
    <row r="850" customFormat="false" ht="15" hidden="false" customHeight="false" outlineLevel="0" collapsed="false">
      <c r="A850" s="3" t="s">
        <v>1035</v>
      </c>
      <c r="B850" s="3" t="n">
        <v>455</v>
      </c>
      <c r="C850" s="11" t="str">
        <f aca="false">IF(M850&gt;=Assumptions!$B$17,"S+",IF(M850&gt;=Assumptions!$B$18,"S",IF(M850&gt;=Assumptions!$B$19,"A",IF(M850&gt;=Assumptions!$B$20,"B",IF(M850&gt;=Assumptions!$B$21,"C",IF(M850&gt;=Assumptions!$B$22,"D","F"))))))</f>
        <v>D</v>
      </c>
      <c r="D850" s="3" t="s">
        <v>218</v>
      </c>
      <c r="E850" s="3" t="n">
        <v>1</v>
      </c>
      <c r="F850" s="12" t="n">
        <v>0.4375</v>
      </c>
      <c r="G850" s="12" t="n">
        <v>0.6</v>
      </c>
      <c r="H850" s="12" t="n">
        <v>0.75</v>
      </c>
      <c r="I850" s="12" t="n">
        <v>0.578</v>
      </c>
      <c r="J850" s="12" t="n">
        <v>0.3689</v>
      </c>
      <c r="K850" s="12" t="n">
        <v>0.5216</v>
      </c>
      <c r="L850" s="3" t="n">
        <v>3.66</v>
      </c>
      <c r="M850" s="12" t="n">
        <f aca="false">Z850-W850</f>
        <v>0.00119000000000002</v>
      </c>
      <c r="N850" s="12" t="n">
        <f aca="false">IFERROR((Z850-J850)/L850,"")</f>
        <v>0.0417185792349727</v>
      </c>
      <c r="O850" s="3" t="n">
        <v>19</v>
      </c>
      <c r="P850" s="13" t="b">
        <f aca="false">FALSE()</f>
        <v>0</v>
      </c>
      <c r="Q850" s="3" t="s">
        <v>166</v>
      </c>
      <c r="R850" s="12" t="n">
        <v>0.7059</v>
      </c>
      <c r="S850" s="12" t="n">
        <v>0.7268</v>
      </c>
      <c r="T850" s="3" t="n">
        <v>0.1122</v>
      </c>
      <c r="U850" s="12" t="n">
        <v>0.4008</v>
      </c>
      <c r="V850" s="12" t="n">
        <v>0.5602</v>
      </c>
      <c r="W850" s="12" t="n">
        <v>0.5204</v>
      </c>
      <c r="X850" s="3" t="n">
        <v>0.384</v>
      </c>
      <c r="Y850" s="3" t="n">
        <v>0.5243</v>
      </c>
      <c r="Z850" s="14" t="n">
        <f aca="false">Assumptions!$B$3*R850+Assumptions!$B$4*S850+IF(AA850=1,Assumptions!$B$11,Assumptions!$B$5)*X850+IF(AA850=1,Assumptions!$B$12,Assumptions!$B$6)*T850+Assumptions!$B$7*U850+Assumptions!$B$8*V850+Assumptions!$B$9*Y850</f>
        <v>0.52159</v>
      </c>
      <c r="AA850" s="3" t="n">
        <v>0</v>
      </c>
    </row>
    <row r="851" customFormat="false" ht="15" hidden="false" customHeight="false" outlineLevel="0" collapsed="false">
      <c r="A851" s="3" t="s">
        <v>1036</v>
      </c>
      <c r="B851" s="3" t="n">
        <v>302</v>
      </c>
      <c r="C851" s="11" t="str">
        <f aca="false">IF(M851&gt;=Assumptions!$B$17,"S+",IF(M851&gt;=Assumptions!$B$18,"S",IF(M851&gt;=Assumptions!$B$19,"A",IF(M851&gt;=Assumptions!$B$20,"B",IF(M851&gt;=Assumptions!$B$21,"C",IF(M851&gt;=Assumptions!$B$22,"D","F"))))))</f>
        <v>D</v>
      </c>
      <c r="D851" s="3" t="s">
        <v>175</v>
      </c>
      <c r="E851" s="3" t="n">
        <v>2</v>
      </c>
      <c r="F851" s="12" t="n">
        <v>0.5965</v>
      </c>
      <c r="G851" s="12" t="n">
        <v>0.45</v>
      </c>
      <c r="H851" s="12" t="n">
        <v>0.75</v>
      </c>
      <c r="I851" s="12" t="n">
        <v>0.532</v>
      </c>
      <c r="J851" s="12" t="n">
        <v>0.2907</v>
      </c>
      <c r="K851" s="12" t="n">
        <v>0.4386</v>
      </c>
      <c r="L851" s="3" t="n">
        <v>5.72</v>
      </c>
      <c r="M851" s="12" t="n">
        <f aca="false">Z851-W851</f>
        <v>0.00102700000000006</v>
      </c>
      <c r="N851" s="12" t="n">
        <f aca="false">IFERROR((Z851-J851)/L851,"")</f>
        <v>0.0258613636363636</v>
      </c>
      <c r="O851" s="3" t="n">
        <v>18</v>
      </c>
      <c r="P851" s="13" t="b">
        <f aca="false">FALSE()</f>
        <v>0</v>
      </c>
      <c r="Q851" s="3" t="s">
        <v>166</v>
      </c>
      <c r="R851" s="12" t="n">
        <v>0.6036</v>
      </c>
      <c r="S851" s="12" t="n">
        <v>0.5058</v>
      </c>
      <c r="T851" s="3" t="n">
        <v>0.094</v>
      </c>
      <c r="U851" s="12" t="n">
        <v>0.235</v>
      </c>
      <c r="V851" s="12" t="n">
        <v>0.5101</v>
      </c>
      <c r="W851" s="12" t="n">
        <v>0.4376</v>
      </c>
      <c r="X851" s="3" t="n">
        <v>0.316</v>
      </c>
      <c r="Y851" s="3" t="n">
        <v>0.4661</v>
      </c>
      <c r="Z851" s="14" t="n">
        <f aca="false">Assumptions!$B$3*R851+Assumptions!$B$4*S851+IF(AA851=1,Assumptions!$B$11,Assumptions!$B$5)*X851+IF(AA851=1,Assumptions!$B$12,Assumptions!$B$6)*T851+Assumptions!$B$7*U851+Assumptions!$B$8*V851+Assumptions!$B$9*Y851</f>
        <v>0.438627</v>
      </c>
      <c r="AA851" s="3" t="n">
        <v>1</v>
      </c>
    </row>
    <row r="852" customFormat="false" ht="15" hidden="false" customHeight="false" outlineLevel="0" collapsed="false">
      <c r="A852" s="3" t="s">
        <v>1037</v>
      </c>
      <c r="B852" s="3" t="n">
        <v>480</v>
      </c>
      <c r="C852" s="11" t="str">
        <f aca="false">IF(M852&gt;=Assumptions!$B$17,"S+",IF(M852&gt;=Assumptions!$B$18,"S",IF(M852&gt;=Assumptions!$B$19,"A",IF(M852&gt;=Assumptions!$B$20,"B",IF(M852&gt;=Assumptions!$B$21,"C",IF(M852&gt;=Assumptions!$B$22,"D","F"))))))</f>
        <v>D</v>
      </c>
      <c r="D852" s="3" t="s">
        <v>218</v>
      </c>
      <c r="E852" s="3" t="n">
        <v>1</v>
      </c>
      <c r="F852" s="12" t="n">
        <v>0.8921</v>
      </c>
      <c r="G852" s="12" t="n">
        <v>1</v>
      </c>
      <c r="H852" s="12" t="n">
        <v>0.75</v>
      </c>
      <c r="I852" s="12" t="n">
        <v>0.9155</v>
      </c>
      <c r="J852" s="12" t="n">
        <v>0.3535</v>
      </c>
      <c r="K852" s="12" t="n">
        <v>0.5142</v>
      </c>
      <c r="L852" s="3" t="n">
        <v>4.37</v>
      </c>
      <c r="M852" s="12" t="n">
        <f aca="false">Z852-W852</f>
        <v>0.00101700000000005</v>
      </c>
      <c r="N852" s="12" t="n">
        <f aca="false">IFERROR((Z852-J852)/L852,"")</f>
        <v>0.0367773455377574</v>
      </c>
      <c r="O852" s="3" t="n">
        <v>19</v>
      </c>
      <c r="P852" s="13" t="b">
        <f aca="false">FALSE()</f>
        <v>0</v>
      </c>
      <c r="Q852" s="3" t="s">
        <v>166</v>
      </c>
      <c r="R852" s="12" t="n">
        <v>0.8124</v>
      </c>
      <c r="S852" s="12" t="n">
        <v>0.5807</v>
      </c>
      <c r="T852" s="3" t="n">
        <v>0.1827</v>
      </c>
      <c r="U852" s="12" t="n">
        <v>0.251</v>
      </c>
      <c r="V852" s="12" t="n">
        <v>0.4552</v>
      </c>
      <c r="W852" s="12" t="n">
        <v>0.5132</v>
      </c>
      <c r="X852" s="3" t="n">
        <v>0.2857</v>
      </c>
      <c r="Y852" s="3" t="n">
        <v>0.7308</v>
      </c>
      <c r="Z852" s="14" t="n">
        <f aca="false">Assumptions!$B$3*R852+Assumptions!$B$4*S852+IF(AA852=1,Assumptions!$B$11,Assumptions!$B$5)*X852+IF(AA852=1,Assumptions!$B$12,Assumptions!$B$6)*T852+Assumptions!$B$7*U852+Assumptions!$B$8*V852+Assumptions!$B$9*Y852</f>
        <v>0.514217</v>
      </c>
      <c r="AA852" s="3" t="n">
        <v>0</v>
      </c>
    </row>
    <row r="853" customFormat="false" ht="15" hidden="false" customHeight="false" outlineLevel="0" collapsed="false">
      <c r="A853" s="3" t="s">
        <v>1038</v>
      </c>
      <c r="B853" s="3" t="n">
        <v>485</v>
      </c>
      <c r="C853" s="11" t="str">
        <f aca="false">IF(M853&gt;=Assumptions!$B$17,"S+",IF(M853&gt;=Assumptions!$B$18,"S",IF(M853&gt;=Assumptions!$B$19,"A",IF(M853&gt;=Assumptions!$B$20,"B",IF(M853&gt;=Assumptions!$B$21,"C",IF(M853&gt;=Assumptions!$B$22,"D","F"))))))</f>
        <v>D</v>
      </c>
      <c r="D853" s="3" t="s">
        <v>228</v>
      </c>
      <c r="E853" s="3" t="n">
        <v>4</v>
      </c>
      <c r="F853" s="12" t="n">
        <v>0.9412</v>
      </c>
      <c r="G853" s="12" t="n">
        <v>0.6</v>
      </c>
      <c r="H853" s="12" t="n">
        <v>0.75</v>
      </c>
      <c r="I853" s="12" t="n">
        <v>0.7392</v>
      </c>
      <c r="J853" s="12" t="n">
        <v>0.3337</v>
      </c>
      <c r="K853" s="12" t="n">
        <v>0.4725</v>
      </c>
      <c r="L853" s="3" t="n">
        <v>4.94</v>
      </c>
      <c r="M853" s="12" t="n">
        <f aca="false">Z853-W853</f>
        <v>0.000960000000000016</v>
      </c>
      <c r="N853" s="12" t="n">
        <f aca="false">IFERROR((Z853-J853)/L853,"")</f>
        <v>0.0280890688259109</v>
      </c>
      <c r="O853" s="3" t="n">
        <v>16</v>
      </c>
      <c r="P853" s="13" t="b">
        <f aca="false">FALSE()</f>
        <v>0</v>
      </c>
      <c r="Q853" s="3" t="s">
        <v>166</v>
      </c>
      <c r="R853" s="12" t="n">
        <v>0.83</v>
      </c>
      <c r="S853" s="12" t="n">
        <v>0.2685</v>
      </c>
      <c r="T853" s="3" t="n">
        <v>0.1409</v>
      </c>
      <c r="U853" s="12" t="n">
        <v>0.4182</v>
      </c>
      <c r="V853" s="12" t="n">
        <v>0.3905</v>
      </c>
      <c r="W853" s="12" t="n">
        <v>0.4715</v>
      </c>
      <c r="X853" s="3" t="n">
        <v>0.2687</v>
      </c>
      <c r="Y853" s="3" t="n">
        <v>0.7171</v>
      </c>
      <c r="Z853" s="14" t="n">
        <f aca="false">Assumptions!$B$3*R853+Assumptions!$B$4*S853+IF(AA853=1,Assumptions!$B$11,Assumptions!$B$5)*X853+IF(AA853=1,Assumptions!$B$12,Assumptions!$B$6)*T853+Assumptions!$B$7*U853+Assumptions!$B$8*V853+Assumptions!$B$9*Y853</f>
        <v>0.47246</v>
      </c>
      <c r="AA853" s="3" t="n">
        <v>0</v>
      </c>
    </row>
    <row r="854" customFormat="false" ht="15" hidden="false" customHeight="false" outlineLevel="0" collapsed="false">
      <c r="A854" s="3" t="s">
        <v>1039</v>
      </c>
      <c r="B854" s="3" t="n">
        <v>428</v>
      </c>
      <c r="C854" s="11" t="str">
        <f aca="false">IF(M854&gt;=Assumptions!$B$17,"S+",IF(M854&gt;=Assumptions!$B$18,"S",IF(M854&gt;=Assumptions!$B$19,"A",IF(M854&gt;=Assumptions!$B$20,"B",IF(M854&gt;=Assumptions!$B$21,"C",IF(M854&gt;=Assumptions!$B$22,"D","F"))))))</f>
        <v>D</v>
      </c>
      <c r="D854" s="3" t="s">
        <v>190</v>
      </c>
      <c r="E854" s="3" t="n">
        <v>2</v>
      </c>
      <c r="F854" s="12" t="n">
        <v>0.674</v>
      </c>
      <c r="G854" s="12" t="n">
        <v>0.6</v>
      </c>
      <c r="H854" s="12" t="n">
        <v>0.75</v>
      </c>
      <c r="I854" s="12" t="n">
        <v>0.6581</v>
      </c>
      <c r="J854" s="12" t="n">
        <v>0.3291</v>
      </c>
      <c r="K854" s="12" t="n">
        <v>0.4973</v>
      </c>
      <c r="L854" s="3" t="n">
        <v>4.75</v>
      </c>
      <c r="M854" s="12" t="n">
        <f aca="false">Z854-W854</f>
        <v>0.000919000000000003</v>
      </c>
      <c r="N854" s="12" t="n">
        <f aca="false">IFERROR((Z854-J854)/L854,"")</f>
        <v>0.0354145263157895</v>
      </c>
      <c r="O854" s="3" t="n">
        <v>18</v>
      </c>
      <c r="P854" s="13" t="b">
        <f aca="false">FALSE()</f>
        <v>0</v>
      </c>
      <c r="Q854" s="3" t="s">
        <v>166</v>
      </c>
      <c r="R854" s="12" t="n">
        <v>0.7786</v>
      </c>
      <c r="S854" s="12" t="n">
        <v>0.4291</v>
      </c>
      <c r="T854" s="3" t="n">
        <v>0.3889</v>
      </c>
      <c r="U854" s="12" t="n">
        <v>0.376</v>
      </c>
      <c r="V854" s="12" t="n">
        <v>0.3516</v>
      </c>
      <c r="W854" s="12" t="n">
        <v>0.4964</v>
      </c>
      <c r="X854" s="3" t="n">
        <v>0.2654</v>
      </c>
      <c r="Y854" s="3" t="n">
        <v>0.6511</v>
      </c>
      <c r="Z854" s="14" t="n">
        <f aca="false">Assumptions!$B$3*R854+Assumptions!$B$4*S854+IF(AA854=1,Assumptions!$B$11,Assumptions!$B$5)*X854+IF(AA854=1,Assumptions!$B$12,Assumptions!$B$6)*T854+Assumptions!$B$7*U854+Assumptions!$B$8*V854+Assumptions!$B$9*Y854</f>
        <v>0.497319</v>
      </c>
      <c r="AA854" s="3" t="n">
        <v>0</v>
      </c>
    </row>
    <row r="855" customFormat="false" ht="15" hidden="false" customHeight="false" outlineLevel="0" collapsed="false">
      <c r="A855" s="3" t="s">
        <v>1040</v>
      </c>
      <c r="B855" s="3" t="n">
        <v>400</v>
      </c>
      <c r="C855" s="11" t="str">
        <f aca="false">IF(M855&gt;=Assumptions!$B$17,"S+",IF(M855&gt;=Assumptions!$B$18,"S",IF(M855&gt;=Assumptions!$B$19,"A",IF(M855&gt;=Assumptions!$B$20,"B",IF(M855&gt;=Assumptions!$B$21,"C",IF(M855&gt;=Assumptions!$B$22,"D","F"))))))</f>
        <v>D</v>
      </c>
      <c r="D855" s="3" t="s">
        <v>253</v>
      </c>
      <c r="E855" s="3" t="n">
        <v>2</v>
      </c>
      <c r="F855" s="12" t="n">
        <v>0.9498</v>
      </c>
      <c r="G855" s="12" t="n">
        <v>0.4</v>
      </c>
      <c r="H855" s="12" t="n">
        <v>0.75</v>
      </c>
      <c r="I855" s="12" t="n">
        <v>0.6459</v>
      </c>
      <c r="J855" s="12" t="n">
        <v>0.4021</v>
      </c>
      <c r="K855" s="12" t="n">
        <v>0.531</v>
      </c>
      <c r="L855" s="3" t="n">
        <v>4.64</v>
      </c>
      <c r="M855" s="12" t="n">
        <f aca="false">Z855-W855</f>
        <v>0.000786999999999982</v>
      </c>
      <c r="N855" s="12" t="n">
        <f aca="false">IFERROR((Z855-J855)/L855,"")</f>
        <v>0.0277773706896552</v>
      </c>
      <c r="O855" s="3" t="n">
        <v>18</v>
      </c>
      <c r="P855" s="13" t="b">
        <f aca="false">FALSE()</f>
        <v>0</v>
      </c>
      <c r="Q855" s="3" t="s">
        <v>166</v>
      </c>
      <c r="R855" s="12" t="n">
        <v>0.7969</v>
      </c>
      <c r="S855" s="12" t="n">
        <v>0.2868</v>
      </c>
      <c r="T855" s="3" t="n">
        <v>0.5236</v>
      </c>
      <c r="U855" s="12" t="n">
        <v>0.3547</v>
      </c>
      <c r="V855" s="12" t="n">
        <v>0.4695</v>
      </c>
      <c r="W855" s="12" t="n">
        <v>0.5302</v>
      </c>
      <c r="X855" s="3" t="n">
        <v>0.4436</v>
      </c>
      <c r="Y855" s="3" t="n">
        <v>0.5985</v>
      </c>
      <c r="Z855" s="14" t="n">
        <f aca="false">Assumptions!$B$3*R855+Assumptions!$B$4*S855+IF(AA855=1,Assumptions!$B$11,Assumptions!$B$5)*X855+IF(AA855=1,Assumptions!$B$12,Assumptions!$B$6)*T855+Assumptions!$B$7*U855+Assumptions!$B$8*V855+Assumptions!$B$9*Y855</f>
        <v>0.530987</v>
      </c>
      <c r="AA855" s="3" t="n">
        <v>0</v>
      </c>
    </row>
    <row r="856" customFormat="false" ht="15" hidden="false" customHeight="false" outlineLevel="0" collapsed="false">
      <c r="A856" s="3" t="s">
        <v>1041</v>
      </c>
      <c r="B856" s="3" t="n">
        <v>330</v>
      </c>
      <c r="C856" s="11" t="str">
        <f aca="false">IF(M856&gt;=Assumptions!$B$17,"S+",IF(M856&gt;=Assumptions!$B$18,"S",IF(M856&gt;=Assumptions!$B$19,"A",IF(M856&gt;=Assumptions!$B$20,"B",IF(M856&gt;=Assumptions!$B$21,"C",IF(M856&gt;=Assumptions!$B$22,"D","F"))))))</f>
        <v>D</v>
      </c>
      <c r="D856" s="3" t="s">
        <v>186</v>
      </c>
      <c r="E856" s="3" t="n">
        <v>1</v>
      </c>
      <c r="F856" s="12" t="n">
        <v>0.5806</v>
      </c>
      <c r="G856" s="12" t="n">
        <v>0.85</v>
      </c>
      <c r="H856" s="12" t="n">
        <v>0.75</v>
      </c>
      <c r="I856" s="12" t="n">
        <v>0.7815</v>
      </c>
      <c r="J856" s="12" t="n">
        <v>0.2496</v>
      </c>
      <c r="K856" s="12" t="n">
        <v>0.4365</v>
      </c>
      <c r="L856" s="3" t="n">
        <v>5.74</v>
      </c>
      <c r="M856" s="12" t="n">
        <f aca="false">Z856-W856</f>
        <v>0.000770999999999911</v>
      </c>
      <c r="N856" s="12" t="n">
        <f aca="false">IFERROR((Z856-J856)/L856,"")</f>
        <v>0.0325733449477352</v>
      </c>
      <c r="O856" s="3" t="n">
        <v>19</v>
      </c>
      <c r="P856" s="13" t="b">
        <f aca="false">FALSE()</f>
        <v>0</v>
      </c>
      <c r="Q856" s="3" t="s">
        <v>166</v>
      </c>
      <c r="R856" s="12" t="n">
        <v>0.7825</v>
      </c>
      <c r="S856" s="12" t="n">
        <v>0.2733</v>
      </c>
      <c r="T856" s="3" t="n">
        <v>0.1326</v>
      </c>
      <c r="U856" s="12" t="n">
        <v>0.3158</v>
      </c>
      <c r="V856" s="12" t="n">
        <v>0.3172</v>
      </c>
      <c r="W856" s="12" t="n">
        <v>0.4358</v>
      </c>
      <c r="X856" s="3" t="n">
        <v>0.1955</v>
      </c>
      <c r="Y856" s="3" t="n">
        <v>0.7343</v>
      </c>
      <c r="Z856" s="14" t="n">
        <f aca="false">Assumptions!$B$3*R856+Assumptions!$B$4*S856+IF(AA856=1,Assumptions!$B$11,Assumptions!$B$5)*X856+IF(AA856=1,Assumptions!$B$12,Assumptions!$B$6)*T856+Assumptions!$B$7*U856+Assumptions!$B$8*V856+Assumptions!$B$9*Y856</f>
        <v>0.436571</v>
      </c>
      <c r="AA856" s="3" t="n">
        <v>1</v>
      </c>
    </row>
    <row r="857" customFormat="false" ht="15" hidden="false" customHeight="false" outlineLevel="0" collapsed="false">
      <c r="A857" s="3" t="s">
        <v>1042</v>
      </c>
      <c r="B857" s="3" t="n">
        <v>310</v>
      </c>
      <c r="C857" s="11" t="str">
        <f aca="false">IF(M857&gt;=Assumptions!$B$17,"S+",IF(M857&gt;=Assumptions!$B$18,"S",IF(M857&gt;=Assumptions!$B$19,"A",IF(M857&gt;=Assumptions!$B$20,"B",IF(M857&gt;=Assumptions!$B$21,"C",IF(M857&gt;=Assumptions!$B$22,"D","F"))))))</f>
        <v>D</v>
      </c>
      <c r="D857" s="3" t="s">
        <v>253</v>
      </c>
      <c r="E857" s="3" t="n">
        <v>4</v>
      </c>
      <c r="F857" s="12" t="n">
        <v>0.6681</v>
      </c>
      <c r="G857" s="12" t="n">
        <v>1</v>
      </c>
      <c r="H857" s="12" t="n">
        <v>0.75</v>
      </c>
      <c r="I857" s="12" t="n">
        <v>0.8438</v>
      </c>
      <c r="J857" s="12" t="n">
        <v>0.2223</v>
      </c>
      <c r="K857" s="12" t="n">
        <v>0.5303</v>
      </c>
      <c r="L857" s="3" t="n">
        <v>6.88</v>
      </c>
      <c r="M857" s="12" t="n">
        <f aca="false">Z857-W857</f>
        <v>-0.000114999999999976</v>
      </c>
      <c r="N857" s="12" t="n">
        <f aca="false">IFERROR((Z857-J857)/L857,"")</f>
        <v>0.044765261627907</v>
      </c>
      <c r="O857" s="3" t="n">
        <v>16</v>
      </c>
      <c r="P857" s="13" t="b">
        <f aca="false">FALSE()</f>
        <v>0</v>
      </c>
      <c r="Q857" s="3" t="s">
        <v>166</v>
      </c>
      <c r="R857" s="12" t="n">
        <v>0.6338</v>
      </c>
      <c r="S857" s="12" t="n">
        <v>0.3492</v>
      </c>
      <c r="T857" s="3" t="n">
        <v>0.1988</v>
      </c>
      <c r="U857" s="12" t="n">
        <v>0.625</v>
      </c>
      <c r="V857" s="12" t="n">
        <v>0.5187</v>
      </c>
      <c r="W857" s="12" t="n">
        <v>0.5304</v>
      </c>
      <c r="X857" s="3" t="n">
        <v>0.5294</v>
      </c>
      <c r="Y857" s="3" t="n">
        <v>0.85</v>
      </c>
      <c r="Z857" s="14" t="n">
        <f aca="false">Assumptions!$B$3*R857+Assumptions!$B$4*S857+IF(AA857=1,Assumptions!$B$11,Assumptions!$B$5)*X857+IF(AA857=1,Assumptions!$B$12,Assumptions!$B$6)*T857+Assumptions!$B$7*U857+Assumptions!$B$8*V857+Assumptions!$B$9*Y857</f>
        <v>0.530285</v>
      </c>
      <c r="AA857" s="3" t="n">
        <v>0</v>
      </c>
    </row>
    <row r="858" customFormat="false" ht="15" hidden="false" customHeight="false" outlineLevel="0" collapsed="false">
      <c r="A858" s="3" t="s">
        <v>1043</v>
      </c>
      <c r="B858" s="3" t="n">
        <v>410</v>
      </c>
      <c r="C858" s="11" t="str">
        <f aca="false">IF(M858&gt;=Assumptions!$B$17,"S+",IF(M858&gt;=Assumptions!$B$18,"S",IF(M858&gt;=Assumptions!$B$19,"A",IF(M858&gt;=Assumptions!$B$20,"B",IF(M858&gt;=Assumptions!$B$21,"C",IF(M858&gt;=Assumptions!$B$22,"D","F"))))))</f>
        <v>D</v>
      </c>
      <c r="D858" s="3" t="s">
        <v>218</v>
      </c>
      <c r="E858" s="3" t="n">
        <v>7</v>
      </c>
      <c r="F858" s="12" t="n">
        <v>0.9209</v>
      </c>
      <c r="G858" s="12" t="n">
        <v>0.8</v>
      </c>
      <c r="H858" s="12" t="n">
        <v>0.75</v>
      </c>
      <c r="I858" s="12" t="n">
        <v>0.8287</v>
      </c>
      <c r="J858" s="12" t="n">
        <v>0.3514</v>
      </c>
      <c r="K858" s="12" t="n">
        <v>0.5005</v>
      </c>
      <c r="L858" s="3" t="n">
        <v>5</v>
      </c>
      <c r="M858" s="12" t="n">
        <f aca="false">Z858-W858</f>
        <v>-0.000406000000000017</v>
      </c>
      <c r="N858" s="12" t="n">
        <f aca="false">IFERROR((Z858-J858)/L858,"")</f>
        <v>0.0298188</v>
      </c>
      <c r="O858" s="3" t="n">
        <v>13</v>
      </c>
      <c r="P858" s="13" t="b">
        <f aca="false">FALSE()</f>
        <v>0</v>
      </c>
      <c r="Q858" s="3" t="s">
        <v>166</v>
      </c>
      <c r="R858" s="12" t="n">
        <v>0.8023</v>
      </c>
      <c r="S858" s="12" t="n">
        <v>0.3662</v>
      </c>
      <c r="T858" s="3" t="n">
        <v>0.1855</v>
      </c>
      <c r="U858" s="12" t="n">
        <v>0.2722</v>
      </c>
      <c r="V858" s="12" t="n">
        <v>0.5016</v>
      </c>
      <c r="W858" s="12" t="n">
        <v>0.5009</v>
      </c>
      <c r="X858" s="3" t="n">
        <v>0.3255</v>
      </c>
      <c r="Y858" s="3" t="n">
        <v>0.8023</v>
      </c>
      <c r="Z858" s="14" t="n">
        <f aca="false">Assumptions!$B$3*R858+Assumptions!$B$4*S858+IF(AA858=1,Assumptions!$B$11,Assumptions!$B$5)*X858+IF(AA858=1,Assumptions!$B$12,Assumptions!$B$6)*T858+Assumptions!$B$7*U858+Assumptions!$B$8*V858+Assumptions!$B$9*Y858</f>
        <v>0.500494</v>
      </c>
      <c r="AA858" s="3" t="n">
        <v>0</v>
      </c>
    </row>
    <row r="859" customFormat="false" ht="15" hidden="false" customHeight="false" outlineLevel="0" collapsed="false">
      <c r="A859" s="3" t="s">
        <v>1044</v>
      </c>
      <c r="B859" s="3" t="n">
        <v>384</v>
      </c>
      <c r="C859" s="11" t="str">
        <f aca="false">IF(M859&gt;=Assumptions!$B$17,"S+",IF(M859&gt;=Assumptions!$B$18,"S",IF(M859&gt;=Assumptions!$B$19,"A",IF(M859&gt;=Assumptions!$B$20,"B",IF(M859&gt;=Assumptions!$B$21,"C",IF(M859&gt;=Assumptions!$B$22,"D","F"))))))</f>
        <v>D</v>
      </c>
      <c r="D859" s="3" t="s">
        <v>186</v>
      </c>
      <c r="E859" s="3" t="n">
        <v>1</v>
      </c>
      <c r="F859" s="12" t="n">
        <v>0.5766</v>
      </c>
      <c r="G859" s="12" t="n">
        <v>0.45</v>
      </c>
      <c r="H859" s="12" t="n">
        <v>0.75</v>
      </c>
      <c r="I859" s="12" t="n">
        <v>0.5328</v>
      </c>
      <c r="J859" s="12" t="n">
        <v>0.2906</v>
      </c>
      <c r="K859" s="12" t="n">
        <v>0.4579</v>
      </c>
      <c r="L859" s="3" t="n">
        <v>4.11</v>
      </c>
      <c r="M859" s="12" t="n">
        <f aca="false">Z859-W859</f>
        <v>-0.00116200000000005</v>
      </c>
      <c r="N859" s="12" t="n">
        <f aca="false">IFERROR((Z859-J859)/L859,"")</f>
        <v>0.0407148418491484</v>
      </c>
      <c r="O859" s="3" t="n">
        <v>19</v>
      </c>
      <c r="P859" s="13" t="b">
        <f aca="false">FALSE()</f>
        <v>0</v>
      </c>
      <c r="Q859" s="3" t="s">
        <v>166</v>
      </c>
      <c r="R859" s="12" t="n">
        <v>0.6366</v>
      </c>
      <c r="S859" s="12" t="n">
        <v>0.5636</v>
      </c>
      <c r="T859" s="3" t="n">
        <v>0.2781</v>
      </c>
      <c r="U859" s="12" t="n">
        <v>0.2712</v>
      </c>
      <c r="V859" s="12" t="n">
        <v>0.5104</v>
      </c>
      <c r="W859" s="12" t="n">
        <v>0.4591</v>
      </c>
      <c r="X859" s="3" t="n">
        <v>0.2886</v>
      </c>
      <c r="Y859" s="3" t="n">
        <v>0.4423</v>
      </c>
      <c r="Z859" s="14" t="n">
        <f aca="false">Assumptions!$B$3*R859+Assumptions!$B$4*S859+IF(AA859=1,Assumptions!$B$11,Assumptions!$B$5)*X859+IF(AA859=1,Assumptions!$B$12,Assumptions!$B$6)*T859+Assumptions!$B$7*U859+Assumptions!$B$8*V859+Assumptions!$B$9*Y859</f>
        <v>0.457938</v>
      </c>
      <c r="AA859" s="3" t="n">
        <v>1</v>
      </c>
    </row>
    <row r="860" customFormat="false" ht="15" hidden="false" customHeight="false" outlineLevel="0" collapsed="false">
      <c r="A860" s="3" t="s">
        <v>1045</v>
      </c>
      <c r="B860" s="3" t="n">
        <v>413</v>
      </c>
      <c r="C860" s="11" t="str">
        <f aca="false">IF(M860&gt;=Assumptions!$B$17,"S+",IF(M860&gt;=Assumptions!$B$18,"S",IF(M860&gt;=Assumptions!$B$19,"A",IF(M860&gt;=Assumptions!$B$20,"B",IF(M860&gt;=Assumptions!$B$21,"C",IF(M860&gt;=Assumptions!$B$22,"D","F"))))))</f>
        <v>D</v>
      </c>
      <c r="D860" s="3" t="s">
        <v>228</v>
      </c>
      <c r="E860" s="3" t="n">
        <v>2</v>
      </c>
      <c r="F860" s="12" t="n">
        <v>0.6794</v>
      </c>
      <c r="G860" s="12" t="n">
        <v>0.6</v>
      </c>
      <c r="H860" s="12" t="n">
        <v>0.75</v>
      </c>
      <c r="I860" s="12" t="n">
        <v>0.6554</v>
      </c>
      <c r="J860" s="12" t="n">
        <v>0.3315</v>
      </c>
      <c r="K860" s="12" t="n">
        <v>0.4818</v>
      </c>
      <c r="L860" s="3" t="n">
        <v>3.72</v>
      </c>
      <c r="M860" s="12" t="n">
        <f aca="false">Z860-W860</f>
        <v>-0.00142500000000001</v>
      </c>
      <c r="N860" s="12" t="n">
        <f aca="false">IFERROR((Z860-J860)/L860,"")</f>
        <v>0.0403965053763441</v>
      </c>
      <c r="O860" s="3" t="n">
        <v>18</v>
      </c>
      <c r="P860" s="13" t="b">
        <f aca="false">FALSE()</f>
        <v>0</v>
      </c>
      <c r="Q860" s="3" t="s">
        <v>166</v>
      </c>
      <c r="R860" s="12" t="n">
        <v>0.6543</v>
      </c>
      <c r="S860" s="12" t="n">
        <v>0.5584</v>
      </c>
      <c r="T860" s="3" t="n">
        <v>0.2313</v>
      </c>
      <c r="U860" s="12" t="n">
        <v>0.3889</v>
      </c>
      <c r="V860" s="12" t="n">
        <v>0.4923</v>
      </c>
      <c r="W860" s="12" t="n">
        <v>0.4832</v>
      </c>
      <c r="X860" s="3" t="n">
        <v>0.2793</v>
      </c>
      <c r="Y860" s="3" t="n">
        <v>0.6241</v>
      </c>
      <c r="Z860" s="14" t="n">
        <f aca="false">Assumptions!$B$3*R860+Assumptions!$B$4*S860+IF(AA860=1,Assumptions!$B$11,Assumptions!$B$5)*X860+IF(AA860=1,Assumptions!$B$12,Assumptions!$B$6)*T860+Assumptions!$B$7*U860+Assumptions!$B$8*V860+Assumptions!$B$9*Y860</f>
        <v>0.481775</v>
      </c>
      <c r="AA860" s="3" t="n">
        <v>0</v>
      </c>
    </row>
    <row r="861" customFormat="false" ht="15" hidden="false" customHeight="false" outlineLevel="0" collapsed="false">
      <c r="A861" s="3" t="s">
        <v>1046</v>
      </c>
      <c r="B861" s="3" t="n">
        <v>300</v>
      </c>
      <c r="C861" s="11" t="str">
        <f aca="false">IF(M861&gt;=Assumptions!$B$17,"S+",IF(M861&gt;=Assumptions!$B$18,"S",IF(M861&gt;=Assumptions!$B$19,"A",IF(M861&gt;=Assumptions!$B$20,"B",IF(M861&gt;=Assumptions!$B$21,"C",IF(M861&gt;=Assumptions!$B$22,"D","F"))))))</f>
        <v>D</v>
      </c>
      <c r="D861" s="3" t="s">
        <v>186</v>
      </c>
      <c r="E861" s="3" t="n">
        <v>1</v>
      </c>
      <c r="F861" s="12" t="n">
        <v>0.515</v>
      </c>
      <c r="G861" s="12" t="n">
        <v>0.85</v>
      </c>
      <c r="H861" s="12" t="n">
        <v>0.75</v>
      </c>
      <c r="I861" s="12" t="n">
        <v>0.7697</v>
      </c>
      <c r="J861" s="12" t="n">
        <v>0.3183</v>
      </c>
      <c r="K861" s="12" t="n">
        <v>0.4503</v>
      </c>
      <c r="L861" s="3" t="n">
        <v>5.66</v>
      </c>
      <c r="M861" s="12" t="n">
        <f aca="false">Z861-W861</f>
        <v>-0.00172199999999995</v>
      </c>
      <c r="N861" s="12" t="n">
        <f aca="false">IFERROR((Z861-J861)/L861,"")</f>
        <v>0.023317667844523</v>
      </c>
      <c r="O861" s="3" t="n">
        <v>19</v>
      </c>
      <c r="P861" s="13" t="b">
        <f aca="false">FALSE()</f>
        <v>0</v>
      </c>
      <c r="Q861" s="3" t="s">
        <v>166</v>
      </c>
      <c r="R861" s="12" t="n">
        <v>0.8317</v>
      </c>
      <c r="S861" s="12" t="n">
        <v>0.2409</v>
      </c>
      <c r="T861" s="3" t="n">
        <v>0.1061</v>
      </c>
      <c r="U861" s="12" t="n">
        <v>0.4535</v>
      </c>
      <c r="V861" s="12" t="n">
        <v>0.3047</v>
      </c>
      <c r="W861" s="12" t="n">
        <v>0.452</v>
      </c>
      <c r="X861" s="3" t="n">
        <v>0.1825</v>
      </c>
      <c r="Y861" s="3" t="n">
        <v>0.7099</v>
      </c>
      <c r="Z861" s="14" t="n">
        <f aca="false">Assumptions!$B$3*R861+Assumptions!$B$4*S861+IF(AA861=1,Assumptions!$B$11,Assumptions!$B$5)*X861+IF(AA861=1,Assumptions!$B$12,Assumptions!$B$6)*T861+Assumptions!$B$7*U861+Assumptions!$B$8*V861+Assumptions!$B$9*Y861</f>
        <v>0.450278</v>
      </c>
      <c r="AA861" s="3" t="n">
        <v>1</v>
      </c>
    </row>
    <row r="862" customFormat="false" ht="15" hidden="false" customHeight="false" outlineLevel="0" collapsed="false">
      <c r="A862" s="3" t="s">
        <v>1047</v>
      </c>
      <c r="B862" s="3" t="n">
        <v>269</v>
      </c>
      <c r="C862" s="11" t="str">
        <f aca="false">IF(M862&gt;=Assumptions!$B$17,"S+",IF(M862&gt;=Assumptions!$B$18,"S",IF(M862&gt;=Assumptions!$B$19,"A",IF(M862&gt;=Assumptions!$B$20,"B",IF(M862&gt;=Assumptions!$B$21,"C",IF(M862&gt;=Assumptions!$B$22,"D","F"))))))</f>
        <v>D</v>
      </c>
      <c r="D862" s="3" t="s">
        <v>171</v>
      </c>
      <c r="E862" s="3" t="n">
        <v>1</v>
      </c>
      <c r="F862" s="12" t="n">
        <v>0.5398</v>
      </c>
      <c r="G862" s="12" t="n">
        <v>0.6</v>
      </c>
      <c r="H862" s="12" t="n">
        <v>0.75</v>
      </c>
      <c r="I862" s="12" t="n">
        <v>0.6192</v>
      </c>
      <c r="J862" s="12" t="n">
        <v>0.2799</v>
      </c>
      <c r="K862" s="12" t="n">
        <v>0.398</v>
      </c>
      <c r="L862" s="3" t="n">
        <v>6.74</v>
      </c>
      <c r="M862" s="12" t="n">
        <f aca="false">Z862-W862</f>
        <v>-0.00184699999999999</v>
      </c>
      <c r="N862" s="12" t="n">
        <f aca="false">IFERROR((Z862-J862)/L862,"")</f>
        <v>0.0175152818991098</v>
      </c>
      <c r="O862" s="3" t="n">
        <v>19</v>
      </c>
      <c r="P862" s="13" t="b">
        <f aca="false">FALSE()</f>
        <v>0</v>
      </c>
      <c r="Q862" s="3" t="s">
        <v>166</v>
      </c>
      <c r="R862" s="12" t="n">
        <v>0.5028</v>
      </c>
      <c r="S862" s="12" t="n">
        <v>0.4239</v>
      </c>
      <c r="T862" s="3" t="n">
        <v>0.0622</v>
      </c>
      <c r="U862" s="12" t="n">
        <v>0.4373</v>
      </c>
      <c r="V862" s="12" t="n">
        <v>0.4878</v>
      </c>
      <c r="W862" s="12" t="n">
        <v>0.3998</v>
      </c>
      <c r="X862" s="3" t="n">
        <v>0.1931</v>
      </c>
      <c r="Y862" s="3" t="n">
        <v>0.5742</v>
      </c>
      <c r="Z862" s="14" t="n">
        <f aca="false">Assumptions!$B$3*R862+Assumptions!$B$4*S862+IF(AA862=1,Assumptions!$B$11,Assumptions!$B$5)*X862+IF(AA862=1,Assumptions!$B$12,Assumptions!$B$6)*T862+Assumptions!$B$7*U862+Assumptions!$B$8*V862+Assumptions!$B$9*Y862</f>
        <v>0.397953</v>
      </c>
      <c r="AA862" s="3" t="n">
        <v>1</v>
      </c>
    </row>
    <row r="863" customFormat="false" ht="15" hidden="false" customHeight="false" outlineLevel="0" collapsed="false">
      <c r="A863" s="3" t="s">
        <v>1048</v>
      </c>
      <c r="B863" s="3" t="n">
        <v>446</v>
      </c>
      <c r="C863" s="11" t="str">
        <f aca="false">IF(M863&gt;=Assumptions!$B$17,"S+",IF(M863&gt;=Assumptions!$B$18,"S",IF(M863&gt;=Assumptions!$B$19,"A",IF(M863&gt;=Assumptions!$B$20,"B",IF(M863&gt;=Assumptions!$B$21,"C",IF(M863&gt;=Assumptions!$B$22,"D","F"))))))</f>
        <v>D</v>
      </c>
      <c r="D863" s="3" t="s">
        <v>190</v>
      </c>
      <c r="E863" s="3" t="n">
        <v>2</v>
      </c>
      <c r="F863" s="12" t="n">
        <v>0.8733</v>
      </c>
      <c r="G863" s="12" t="n">
        <v>0.8</v>
      </c>
      <c r="H863" s="12" t="n">
        <v>0.75</v>
      </c>
      <c r="I863" s="12" t="n">
        <v>0.8179</v>
      </c>
      <c r="J863" s="12" t="n">
        <v>0.3454</v>
      </c>
      <c r="K863" s="12" t="n">
        <v>0.4854</v>
      </c>
      <c r="L863" s="3" t="n">
        <v>3.94</v>
      </c>
      <c r="M863" s="12" t="n">
        <f aca="false">Z863-W863</f>
        <v>-0.00197200000000003</v>
      </c>
      <c r="N863" s="12" t="n">
        <f aca="false">IFERROR((Z863-J863)/L863,"")</f>
        <v>0.0355401015228426</v>
      </c>
      <c r="O863" s="3" t="n">
        <v>18</v>
      </c>
      <c r="P863" s="13" t="b">
        <f aca="false">FALSE()</f>
        <v>0</v>
      </c>
      <c r="Q863" s="3" t="s">
        <v>166</v>
      </c>
      <c r="R863" s="12" t="n">
        <v>0.7021</v>
      </c>
      <c r="S863" s="12" t="n">
        <v>0.3522</v>
      </c>
      <c r="T863" s="3" t="n">
        <v>0.532</v>
      </c>
      <c r="U863" s="12" t="n">
        <v>0.3034</v>
      </c>
      <c r="V863" s="12" t="n">
        <v>0.4556</v>
      </c>
      <c r="W863" s="12" t="n">
        <v>0.4874</v>
      </c>
      <c r="X863" s="3" t="n">
        <v>0.1576</v>
      </c>
      <c r="Y863" s="3" t="n">
        <v>0.8054</v>
      </c>
      <c r="Z863" s="14" t="n">
        <f aca="false">Assumptions!$B$3*R863+Assumptions!$B$4*S863+IF(AA863=1,Assumptions!$B$11,Assumptions!$B$5)*X863+IF(AA863=1,Assumptions!$B$12,Assumptions!$B$6)*T863+Assumptions!$B$7*U863+Assumptions!$B$8*V863+Assumptions!$B$9*Y863</f>
        <v>0.485428</v>
      </c>
      <c r="AA863" s="3" t="n">
        <v>0</v>
      </c>
    </row>
    <row r="864" customFormat="false" ht="15" hidden="false" customHeight="false" outlineLevel="0" collapsed="false">
      <c r="A864" s="3" t="s">
        <v>1049</v>
      </c>
      <c r="B864" s="3" t="n">
        <v>485</v>
      </c>
      <c r="C864" s="11" t="str">
        <f aca="false">IF(M864&gt;=Assumptions!$B$17,"S+",IF(M864&gt;=Assumptions!$B$18,"S",IF(M864&gt;=Assumptions!$B$19,"A",IF(M864&gt;=Assumptions!$B$20,"B",IF(M864&gt;=Assumptions!$B$21,"C",IF(M864&gt;=Assumptions!$B$22,"D","F"))))))</f>
        <v>D</v>
      </c>
      <c r="D864" s="3" t="s">
        <v>253</v>
      </c>
      <c r="E864" s="3" t="n">
        <v>4</v>
      </c>
      <c r="F864" s="12" t="n">
        <v>0.7005</v>
      </c>
      <c r="G864" s="12" t="n">
        <v>0.6</v>
      </c>
      <c r="H864" s="12" t="n">
        <v>0.75</v>
      </c>
      <c r="I864" s="12" t="n">
        <v>0.6622</v>
      </c>
      <c r="J864" s="12" t="n">
        <v>0.3227</v>
      </c>
      <c r="K864" s="12" t="n">
        <v>0.5244</v>
      </c>
      <c r="L864" s="3" t="n">
        <v>3.81</v>
      </c>
      <c r="M864" s="12" t="n">
        <f aca="false">Z864-W864</f>
        <v>-0.00219199999999997</v>
      </c>
      <c r="N864" s="12" t="n">
        <f aca="false">IFERROR((Z864-J864)/L864,"")</f>
        <v>0.0529417322834646</v>
      </c>
      <c r="O864" s="3" t="n">
        <v>16</v>
      </c>
      <c r="P864" s="13" t="b">
        <f aca="false">FALSE()</f>
        <v>0</v>
      </c>
      <c r="Q864" s="3" t="s">
        <v>166</v>
      </c>
      <c r="R864" s="12" t="n">
        <v>0.7186</v>
      </c>
      <c r="S864" s="12" t="n">
        <v>0.5077</v>
      </c>
      <c r="T864" s="3" t="n">
        <v>0.1026</v>
      </c>
      <c r="U864" s="12" t="n">
        <v>0.3654</v>
      </c>
      <c r="V864" s="12" t="n">
        <v>0.4239</v>
      </c>
      <c r="W864" s="12" t="n">
        <v>0.5266</v>
      </c>
      <c r="X864" s="3" t="n">
        <v>0.6371</v>
      </c>
      <c r="Y864" s="3" t="n">
        <v>0.64</v>
      </c>
      <c r="Z864" s="14" t="n">
        <f aca="false">Assumptions!$B$3*R864+Assumptions!$B$4*S864+IF(AA864=1,Assumptions!$B$11,Assumptions!$B$5)*X864+IF(AA864=1,Assumptions!$B$12,Assumptions!$B$6)*T864+Assumptions!$B$7*U864+Assumptions!$B$8*V864+Assumptions!$B$9*Y864</f>
        <v>0.524408</v>
      </c>
      <c r="AA864" s="3" t="n">
        <v>0</v>
      </c>
    </row>
    <row r="865" customFormat="false" ht="15" hidden="false" customHeight="false" outlineLevel="0" collapsed="false">
      <c r="A865" s="3" t="s">
        <v>1050</v>
      </c>
      <c r="B865" s="3" t="n">
        <v>505</v>
      </c>
      <c r="C865" s="11" t="str">
        <f aca="false">IF(M865&gt;=Assumptions!$B$17,"S+",IF(M865&gt;=Assumptions!$B$18,"S",IF(M865&gt;=Assumptions!$B$19,"A",IF(M865&gt;=Assumptions!$B$20,"B",IF(M865&gt;=Assumptions!$B$21,"C",IF(M865&gt;=Assumptions!$B$22,"D","F"))))))</f>
        <v>D</v>
      </c>
      <c r="D865" s="3" t="s">
        <v>218</v>
      </c>
      <c r="E865" s="3" t="n">
        <v>7</v>
      </c>
      <c r="F865" s="12" t="n">
        <v>0.8849</v>
      </c>
      <c r="G865" s="12" t="n">
        <v>0.4</v>
      </c>
      <c r="H865" s="12" t="n">
        <v>0.75</v>
      </c>
      <c r="I865" s="12" t="n">
        <v>0.6252</v>
      </c>
      <c r="J865" s="12" t="n">
        <v>0.3381</v>
      </c>
      <c r="K865" s="12" t="n">
        <v>0.492</v>
      </c>
      <c r="L865" s="3" t="n">
        <v>4</v>
      </c>
      <c r="M865" s="12" t="n">
        <f aca="false">Z865-W865</f>
        <v>-0.00215899999999997</v>
      </c>
      <c r="N865" s="12" t="n">
        <f aca="false">IFERROR((Z865-J865)/L865,"")</f>
        <v>0.03848525</v>
      </c>
      <c r="O865" s="3" t="n">
        <v>13</v>
      </c>
      <c r="P865" s="13" t="b">
        <f aca="false">FALSE()</f>
        <v>0</v>
      </c>
      <c r="Q865" s="3" t="s">
        <v>166</v>
      </c>
      <c r="R865" s="12" t="n">
        <v>0.7799</v>
      </c>
      <c r="S865" s="12" t="n">
        <v>0.4718</v>
      </c>
      <c r="T865" s="3" t="n">
        <v>0.2568</v>
      </c>
      <c r="U865" s="12" t="n">
        <v>0.2663</v>
      </c>
      <c r="V865" s="12" t="n">
        <v>0.4727</v>
      </c>
      <c r="W865" s="12" t="n">
        <v>0.4942</v>
      </c>
      <c r="X865" s="3" t="n">
        <v>0.2899</v>
      </c>
      <c r="Y865" s="3" t="n">
        <v>0.6267</v>
      </c>
      <c r="Z865" s="14" t="n">
        <f aca="false">Assumptions!$B$3*R865+Assumptions!$B$4*S865+IF(AA865=1,Assumptions!$B$11,Assumptions!$B$5)*X865+IF(AA865=1,Assumptions!$B$12,Assumptions!$B$6)*T865+Assumptions!$B$7*U865+Assumptions!$B$8*V865+Assumptions!$B$9*Y865</f>
        <v>0.492041</v>
      </c>
      <c r="AA865" s="3" t="n">
        <v>0</v>
      </c>
    </row>
    <row r="866" customFormat="false" ht="15" hidden="false" customHeight="false" outlineLevel="0" collapsed="false">
      <c r="A866" s="3" t="s">
        <v>1051</v>
      </c>
      <c r="B866" s="3" t="n">
        <v>505</v>
      </c>
      <c r="C866" s="11" t="str">
        <f aca="false">IF(M866&gt;=Assumptions!$B$17,"S+",IF(M866&gt;=Assumptions!$B$18,"S",IF(M866&gt;=Assumptions!$B$19,"A",IF(M866&gt;=Assumptions!$B$20,"B",IF(M866&gt;=Assumptions!$B$21,"C",IF(M866&gt;=Assumptions!$B$22,"D","F"))))))</f>
        <v>D</v>
      </c>
      <c r="D866" s="3" t="s">
        <v>253</v>
      </c>
      <c r="E866" s="3" t="n">
        <v>6</v>
      </c>
      <c r="F866" s="12" t="n">
        <v>0.5607</v>
      </c>
      <c r="G866" s="12" t="n">
        <v>0.6</v>
      </c>
      <c r="H866" s="12" t="n">
        <v>0.75</v>
      </c>
      <c r="I866" s="12" t="n">
        <v>0.6174</v>
      </c>
      <c r="J866" s="12" t="n">
        <v>0.3276</v>
      </c>
      <c r="K866" s="12" t="n">
        <v>0.5242</v>
      </c>
      <c r="L866" s="3" t="n">
        <v>5</v>
      </c>
      <c r="M866" s="12" t="n">
        <f aca="false">Z866-W866</f>
        <v>-0.00237200000000004</v>
      </c>
      <c r="N866" s="12" t="n">
        <f aca="false">IFERROR((Z866-J866)/L866,"")</f>
        <v>0.0393256</v>
      </c>
      <c r="O866" s="3" t="n">
        <v>14</v>
      </c>
      <c r="P866" s="13" t="b">
        <f aca="false">FALSE()</f>
        <v>0</v>
      </c>
      <c r="Q866" s="3" t="s">
        <v>166</v>
      </c>
      <c r="R866" s="12" t="n">
        <v>0.7352</v>
      </c>
      <c r="S866" s="12" t="n">
        <v>0.5133</v>
      </c>
      <c r="T866" s="3" t="n">
        <v>0.3832</v>
      </c>
      <c r="U866" s="12" t="n">
        <v>0.3242</v>
      </c>
      <c r="V866" s="12" t="n">
        <v>0.4809</v>
      </c>
      <c r="W866" s="12" t="n">
        <v>0.5266</v>
      </c>
      <c r="X866" s="3" t="n">
        <v>0.3913</v>
      </c>
      <c r="Y866" s="3" t="n">
        <v>0.6217</v>
      </c>
      <c r="Z866" s="14" t="n">
        <f aca="false">Assumptions!$B$3*R866+Assumptions!$B$4*S866+IF(AA866=1,Assumptions!$B$11,Assumptions!$B$5)*X866+IF(AA866=1,Assumptions!$B$12,Assumptions!$B$6)*T866+Assumptions!$B$7*U866+Assumptions!$B$8*V866+Assumptions!$B$9*Y866</f>
        <v>0.524228</v>
      </c>
      <c r="AA866" s="3" t="n">
        <v>0</v>
      </c>
    </row>
    <row r="867" customFormat="false" ht="15" hidden="false" customHeight="false" outlineLevel="0" collapsed="false">
      <c r="A867" s="3" t="s">
        <v>1052</v>
      </c>
      <c r="B867" s="3" t="n">
        <v>400</v>
      </c>
      <c r="C867" s="11" t="str">
        <f aca="false">IF(M867&gt;=Assumptions!$B$17,"S+",IF(M867&gt;=Assumptions!$B$18,"S",IF(M867&gt;=Assumptions!$B$19,"A",IF(M867&gt;=Assumptions!$B$20,"B",IF(M867&gt;=Assumptions!$B$21,"C",IF(M867&gt;=Assumptions!$B$22,"D","F"))))))</f>
        <v>D</v>
      </c>
      <c r="D867" s="3" t="s">
        <v>253</v>
      </c>
      <c r="E867" s="3" t="n">
        <v>2</v>
      </c>
      <c r="F867" s="12" t="n">
        <v>0.8548</v>
      </c>
      <c r="G867" s="12" t="n">
        <v>0.6</v>
      </c>
      <c r="H867" s="12" t="n">
        <v>0.75</v>
      </c>
      <c r="I867" s="12" t="n">
        <v>0.7115</v>
      </c>
      <c r="J867" s="12" t="n">
        <v>0.3679</v>
      </c>
      <c r="K867" s="12" t="n">
        <v>0.4956</v>
      </c>
      <c r="L867" s="3" t="n">
        <v>5.67</v>
      </c>
      <c r="M867" s="12" t="n">
        <f aca="false">Z867-W867</f>
        <v>-0.00264999999999999</v>
      </c>
      <c r="N867" s="12" t="n">
        <f aca="false">IFERROR((Z867-J867)/L867,"")</f>
        <v>0.0225308641975309</v>
      </c>
      <c r="O867" s="3" t="n">
        <v>18</v>
      </c>
      <c r="P867" s="13" t="b">
        <f aca="false">FALSE()</f>
        <v>0</v>
      </c>
      <c r="Q867" s="3" t="s">
        <v>166</v>
      </c>
      <c r="R867" s="12" t="n">
        <v>0.7164</v>
      </c>
      <c r="S867" s="12" t="n">
        <v>0.3701</v>
      </c>
      <c r="T867" s="3" t="n">
        <v>0.3053</v>
      </c>
      <c r="U867" s="12" t="n">
        <v>0.4573</v>
      </c>
      <c r="V867" s="12" t="n">
        <v>0.4849</v>
      </c>
      <c r="W867" s="12" t="n">
        <v>0.4983</v>
      </c>
      <c r="X867" s="3" t="n">
        <v>0.3026</v>
      </c>
      <c r="Y867" s="3" t="n">
        <v>0.6975</v>
      </c>
      <c r="Z867" s="14" t="n">
        <f aca="false">Assumptions!$B$3*R867+Assumptions!$B$4*S867+IF(AA867=1,Assumptions!$B$11,Assumptions!$B$5)*X867+IF(AA867=1,Assumptions!$B$12,Assumptions!$B$6)*T867+Assumptions!$B$7*U867+Assumptions!$B$8*V867+Assumptions!$B$9*Y867</f>
        <v>0.49565</v>
      </c>
      <c r="AA867" s="3" t="n">
        <v>0</v>
      </c>
    </row>
    <row r="868" customFormat="false" ht="15" hidden="false" customHeight="false" outlineLevel="0" collapsed="false">
      <c r="A868" s="3" t="s">
        <v>1053</v>
      </c>
      <c r="B868" s="3" t="n">
        <v>303</v>
      </c>
      <c r="C868" s="11" t="str">
        <f aca="false">IF(M868&gt;=Assumptions!$B$17,"S+",IF(M868&gt;=Assumptions!$B$18,"S",IF(M868&gt;=Assumptions!$B$19,"A",IF(M868&gt;=Assumptions!$B$20,"B",IF(M868&gt;=Assumptions!$B$21,"C",IF(M868&gt;=Assumptions!$B$22,"D","F"))))))</f>
        <v>D</v>
      </c>
      <c r="D868" s="3" t="s">
        <v>171</v>
      </c>
      <c r="E868" s="3" t="n">
        <v>1</v>
      </c>
      <c r="F868" s="12" t="n">
        <v>0.6191</v>
      </c>
      <c r="G868" s="12" t="n">
        <v>0.6</v>
      </c>
      <c r="H868" s="12" t="n">
        <v>0.75</v>
      </c>
      <c r="I868" s="12" t="n">
        <v>0.6334</v>
      </c>
      <c r="J868" s="12" t="n">
        <v>0.2628</v>
      </c>
      <c r="K868" s="12" t="n">
        <v>0.4164</v>
      </c>
      <c r="L868" s="3" t="n">
        <v>5.63</v>
      </c>
      <c r="M868" s="12" t="n">
        <f aca="false">Z868-W868</f>
        <v>-0.002884</v>
      </c>
      <c r="N868" s="12" t="n">
        <f aca="false">IFERROR((Z868-J868)/L868,"")</f>
        <v>0.0272852575488455</v>
      </c>
      <c r="O868" s="3" t="n">
        <v>19</v>
      </c>
      <c r="P868" s="13" t="b">
        <f aca="false">FALSE()</f>
        <v>0</v>
      </c>
      <c r="Q868" s="3" t="s">
        <v>166</v>
      </c>
      <c r="R868" s="12" t="n">
        <v>0.5181</v>
      </c>
      <c r="S868" s="12" t="n">
        <v>0.5056</v>
      </c>
      <c r="T868" s="3" t="n">
        <v>0.0958</v>
      </c>
      <c r="U868" s="12" t="n">
        <v>0.2793</v>
      </c>
      <c r="V868" s="12" t="n">
        <v>0.5602</v>
      </c>
      <c r="W868" s="12" t="n">
        <v>0.4193</v>
      </c>
      <c r="X868" s="3" t="n">
        <v>0.2354</v>
      </c>
      <c r="Y868" s="3" t="n">
        <v>0.5599</v>
      </c>
      <c r="Z868" s="14" t="n">
        <f aca="false">Assumptions!$B$3*R868+Assumptions!$B$4*S868+IF(AA868=1,Assumptions!$B$11,Assumptions!$B$5)*X868+IF(AA868=1,Assumptions!$B$12,Assumptions!$B$6)*T868+Assumptions!$B$7*U868+Assumptions!$B$8*V868+Assumptions!$B$9*Y868</f>
        <v>0.416416</v>
      </c>
      <c r="AA868" s="3" t="n">
        <v>1</v>
      </c>
    </row>
    <row r="869" customFormat="false" ht="15" hidden="false" customHeight="false" outlineLevel="0" collapsed="false">
      <c r="A869" s="3" t="s">
        <v>1054</v>
      </c>
      <c r="B869" s="3" t="n">
        <v>480</v>
      </c>
      <c r="C869" s="11" t="str">
        <f aca="false">IF(M869&gt;=Assumptions!$B$17,"S+",IF(M869&gt;=Assumptions!$B$18,"S",IF(M869&gt;=Assumptions!$B$19,"A",IF(M869&gt;=Assumptions!$B$20,"B",IF(M869&gt;=Assumptions!$B$21,"C",IF(M869&gt;=Assumptions!$B$22,"D","F"))))))</f>
        <v>D</v>
      </c>
      <c r="D869" s="3" t="s">
        <v>218</v>
      </c>
      <c r="E869" s="3" t="n">
        <v>1</v>
      </c>
      <c r="F869" s="12" t="n">
        <v>0.7937</v>
      </c>
      <c r="G869" s="12" t="n">
        <v>0.6</v>
      </c>
      <c r="H869" s="12" t="n">
        <v>0.75</v>
      </c>
      <c r="I869" s="12" t="n">
        <v>0.692</v>
      </c>
      <c r="J869" s="12" t="n">
        <v>0.386</v>
      </c>
      <c r="K869" s="12" t="n">
        <v>0.5111</v>
      </c>
      <c r="L869" s="3" t="n">
        <v>3.76</v>
      </c>
      <c r="M869" s="12" t="n">
        <f aca="false">Z869-W869</f>
        <v>-0.00287999999999999</v>
      </c>
      <c r="N869" s="12" t="n">
        <f aca="false">IFERROR((Z869-J869)/L869,"")</f>
        <v>0.0332765957446809</v>
      </c>
      <c r="O869" s="3" t="n">
        <v>19</v>
      </c>
      <c r="P869" s="13" t="b">
        <f aca="false">FALSE()</f>
        <v>0</v>
      </c>
      <c r="Q869" s="3" t="s">
        <v>201</v>
      </c>
      <c r="R869" s="12" t="n">
        <v>0.7656</v>
      </c>
      <c r="S869" s="12" t="n">
        <v>0.5747</v>
      </c>
      <c r="T869" s="3" t="n">
        <v>0.175</v>
      </c>
      <c r="U869" s="12" t="n">
        <v>0.3117</v>
      </c>
      <c r="V869" s="12" t="n">
        <v>0.4497</v>
      </c>
      <c r="W869" s="12" t="n">
        <v>0.514</v>
      </c>
      <c r="X869" s="3" t="n">
        <v>0.3722</v>
      </c>
      <c r="Y869" s="3" t="n">
        <v>0.6467</v>
      </c>
      <c r="Z869" s="14" t="n">
        <f aca="false">Assumptions!$B$3*R869+Assumptions!$B$4*S869+IF(AA869=1,Assumptions!$B$11,Assumptions!$B$5)*X869+IF(AA869=1,Assumptions!$B$12,Assumptions!$B$6)*T869+Assumptions!$B$7*U869+Assumptions!$B$8*V869+Assumptions!$B$9*Y869</f>
        <v>0.51112</v>
      </c>
      <c r="AA869" s="3" t="n">
        <v>0</v>
      </c>
    </row>
    <row r="870" customFormat="false" ht="15" hidden="false" customHeight="false" outlineLevel="0" collapsed="false">
      <c r="A870" s="3" t="s">
        <v>1055</v>
      </c>
      <c r="B870" s="3" t="n">
        <v>405</v>
      </c>
      <c r="C870" s="11" t="str">
        <f aca="false">IF(M870&gt;=Assumptions!$B$17,"S+",IF(M870&gt;=Assumptions!$B$18,"S",IF(M870&gt;=Assumptions!$B$19,"A",IF(M870&gt;=Assumptions!$B$20,"B",IF(M870&gt;=Assumptions!$B$21,"C",IF(M870&gt;=Assumptions!$B$22,"D","F"))))))</f>
        <v>D</v>
      </c>
      <c r="D870" s="3" t="s">
        <v>253</v>
      </c>
      <c r="E870" s="3" t="n">
        <v>2</v>
      </c>
      <c r="F870" s="12" t="n">
        <v>0.448</v>
      </c>
      <c r="G870" s="12" t="n">
        <v>0.6</v>
      </c>
      <c r="H870" s="12" t="n">
        <v>0.75</v>
      </c>
      <c r="I870" s="12" t="n">
        <v>0.5814</v>
      </c>
      <c r="J870" s="12" t="n">
        <v>0.3591</v>
      </c>
      <c r="K870" s="12" t="n">
        <v>0.5086</v>
      </c>
      <c r="L870" s="3" t="n">
        <v>3.92</v>
      </c>
      <c r="M870" s="12" t="n">
        <f aca="false">Z870-W870</f>
        <v>-0.00316000000000005</v>
      </c>
      <c r="N870" s="12" t="n">
        <f aca="false">IFERROR((Z870-J870)/L870,"")</f>
        <v>0.0381479591836735</v>
      </c>
      <c r="O870" s="3" t="n">
        <v>18</v>
      </c>
      <c r="P870" s="13" t="b">
        <f aca="false">FALSE()</f>
        <v>0</v>
      </c>
      <c r="Q870" s="3" t="s">
        <v>166</v>
      </c>
      <c r="R870" s="12" t="n">
        <v>0.5186</v>
      </c>
      <c r="S870" s="12" t="n">
        <v>0.5582</v>
      </c>
      <c r="T870" s="3" t="n">
        <v>0.1795</v>
      </c>
      <c r="U870" s="12" t="n">
        <v>0.4402</v>
      </c>
      <c r="V870" s="12" t="n">
        <v>0.4458</v>
      </c>
      <c r="W870" s="12" t="n">
        <v>0.5118</v>
      </c>
      <c r="X870" s="3" t="n">
        <v>0.7501</v>
      </c>
      <c r="Y870" s="3" t="n">
        <v>0.5546</v>
      </c>
      <c r="Z870" s="14" t="n">
        <f aca="false">Assumptions!$B$3*R870+Assumptions!$B$4*S870+IF(AA870=1,Assumptions!$B$11,Assumptions!$B$5)*X870+IF(AA870=1,Assumptions!$B$12,Assumptions!$B$6)*T870+Assumptions!$B$7*U870+Assumptions!$B$8*V870+Assumptions!$B$9*Y870</f>
        <v>0.50864</v>
      </c>
      <c r="AA870" s="3" t="n">
        <v>0</v>
      </c>
    </row>
    <row r="871" customFormat="false" ht="15" hidden="false" customHeight="false" outlineLevel="0" collapsed="false">
      <c r="A871" s="3" t="s">
        <v>1056</v>
      </c>
      <c r="B871" s="3" t="n">
        <v>325</v>
      </c>
      <c r="C871" s="11" t="str">
        <f aca="false">IF(M871&gt;=Assumptions!$B$17,"S+",IF(M871&gt;=Assumptions!$B$18,"S",IF(M871&gt;=Assumptions!$B$19,"A",IF(M871&gt;=Assumptions!$B$20,"B",IF(M871&gt;=Assumptions!$B$21,"C",IF(M871&gt;=Assumptions!$B$22,"D","F"))))))</f>
        <v>D</v>
      </c>
      <c r="D871" s="3" t="s">
        <v>218</v>
      </c>
      <c r="E871" s="3" t="n">
        <v>1</v>
      </c>
      <c r="F871" s="12" t="n">
        <v>0.7134</v>
      </c>
      <c r="G871" s="12" t="n">
        <v>0.6</v>
      </c>
      <c r="H871" s="12" t="n">
        <v>0.75</v>
      </c>
      <c r="I871" s="12" t="n">
        <v>0.6663</v>
      </c>
      <c r="J871" s="12" t="n">
        <v>0.3072</v>
      </c>
      <c r="K871" s="12" t="n">
        <v>0.5217</v>
      </c>
      <c r="L871" s="3" t="n">
        <v>5.82</v>
      </c>
      <c r="M871" s="12" t="n">
        <f aca="false">Z871-W871</f>
        <v>-0.00316299999999992</v>
      </c>
      <c r="N871" s="12" t="n">
        <f aca="false">IFERROR((Z871-J871)/L871,"")</f>
        <v>0.036862027491409</v>
      </c>
      <c r="O871" s="3" t="n">
        <v>19</v>
      </c>
      <c r="P871" s="13" t="b">
        <f aca="false">FALSE()</f>
        <v>0</v>
      </c>
      <c r="Q871" s="3" t="s">
        <v>166</v>
      </c>
      <c r="R871" s="12" t="n">
        <v>0.7263</v>
      </c>
      <c r="S871" s="12" t="n">
        <v>0.546</v>
      </c>
      <c r="T871" s="3" t="n">
        <v>0.0561</v>
      </c>
      <c r="U871" s="12" t="n">
        <v>0.4494</v>
      </c>
      <c r="V871" s="12" t="n">
        <v>0.5337</v>
      </c>
      <c r="W871" s="12" t="n">
        <v>0.5249</v>
      </c>
      <c r="X871" s="3" t="n">
        <v>0.4795</v>
      </c>
      <c r="Y871" s="3" t="n">
        <v>0.639</v>
      </c>
      <c r="Z871" s="14" t="n">
        <f aca="false">Assumptions!$B$3*R871+Assumptions!$B$4*S871+IF(AA871=1,Assumptions!$B$11,Assumptions!$B$5)*X871+IF(AA871=1,Assumptions!$B$12,Assumptions!$B$6)*T871+Assumptions!$B$7*U871+Assumptions!$B$8*V871+Assumptions!$B$9*Y871</f>
        <v>0.521737</v>
      </c>
      <c r="AA871" s="3" t="n">
        <v>0</v>
      </c>
    </row>
    <row r="872" customFormat="false" ht="15" hidden="false" customHeight="false" outlineLevel="0" collapsed="false">
      <c r="A872" s="3" t="s">
        <v>1057</v>
      </c>
      <c r="B872" s="3" t="n">
        <v>460</v>
      </c>
      <c r="C872" s="11" t="str">
        <f aca="false">IF(M872&gt;=Assumptions!$B$17,"S+",IF(M872&gt;=Assumptions!$B$18,"S",IF(M872&gt;=Assumptions!$B$19,"A",IF(M872&gt;=Assumptions!$B$20,"B",IF(M872&gt;=Assumptions!$B$21,"C",IF(M872&gt;=Assumptions!$B$22,"D","F"))))))</f>
        <v>D</v>
      </c>
      <c r="D872" s="3" t="s">
        <v>218</v>
      </c>
      <c r="E872" s="3" t="n">
        <v>3</v>
      </c>
      <c r="F872" s="12" t="n">
        <v>0.855</v>
      </c>
      <c r="G872" s="12" t="n">
        <v>0.6</v>
      </c>
      <c r="H872" s="12" t="n">
        <v>0.75</v>
      </c>
      <c r="I872" s="12" t="n">
        <v>0.7116</v>
      </c>
      <c r="J872" s="12" t="n">
        <v>0.336</v>
      </c>
      <c r="K872" s="12" t="n">
        <v>0.5046</v>
      </c>
      <c r="L872" s="3" t="n">
        <v>3.88</v>
      </c>
      <c r="M872" s="12" t="n">
        <f aca="false">Z872-W872</f>
        <v>-0.00363399999999992</v>
      </c>
      <c r="N872" s="12" t="n">
        <f aca="false">IFERROR((Z872-J872)/L872,"")</f>
        <v>0.0434448453608248</v>
      </c>
      <c r="O872" s="3" t="n">
        <v>17</v>
      </c>
      <c r="P872" s="13" t="b">
        <f aca="false">FALSE()</f>
        <v>0</v>
      </c>
      <c r="Q872" s="3" t="s">
        <v>166</v>
      </c>
      <c r="R872" s="12" t="n">
        <v>0.7563</v>
      </c>
      <c r="S872" s="12" t="n">
        <v>0.4605</v>
      </c>
      <c r="T872" s="3" t="n">
        <v>0.0862</v>
      </c>
      <c r="U872" s="12" t="n">
        <v>0.4163</v>
      </c>
      <c r="V872" s="12" t="n">
        <v>0.3497</v>
      </c>
      <c r="W872" s="12" t="n">
        <v>0.5082</v>
      </c>
      <c r="X872" s="3" t="n">
        <v>0.5137</v>
      </c>
      <c r="Y872" s="3" t="n">
        <v>0.6622</v>
      </c>
      <c r="Z872" s="14" t="n">
        <f aca="false">Assumptions!$B$3*R872+Assumptions!$B$4*S872+IF(AA872=1,Assumptions!$B$11,Assumptions!$B$5)*X872+IF(AA872=1,Assumptions!$B$12,Assumptions!$B$6)*T872+Assumptions!$B$7*U872+Assumptions!$B$8*V872+Assumptions!$B$9*Y872</f>
        <v>0.504566</v>
      </c>
      <c r="AA872" s="3" t="n">
        <v>0</v>
      </c>
    </row>
    <row r="873" customFormat="false" ht="15" hidden="false" customHeight="false" outlineLevel="0" collapsed="false">
      <c r="A873" s="3" t="s">
        <v>1058</v>
      </c>
      <c r="B873" s="3" t="n">
        <v>476</v>
      </c>
      <c r="C873" s="11" t="str">
        <f aca="false">IF(M873&gt;=Assumptions!$B$17,"S+",IF(M873&gt;=Assumptions!$B$18,"S",IF(M873&gt;=Assumptions!$B$19,"A",IF(M873&gt;=Assumptions!$B$20,"B",IF(M873&gt;=Assumptions!$B$21,"C",IF(M873&gt;=Assumptions!$B$22,"D","F"))))))</f>
        <v>D</v>
      </c>
      <c r="D873" s="3" t="s">
        <v>197</v>
      </c>
      <c r="E873" s="3" t="n">
        <v>1</v>
      </c>
      <c r="F873" s="12" t="n">
        <v>0.7881</v>
      </c>
      <c r="G873" s="12" t="n">
        <v>0.4</v>
      </c>
      <c r="H873" s="12" t="n">
        <v>0.75</v>
      </c>
      <c r="I873" s="12" t="n">
        <v>0.6175</v>
      </c>
      <c r="J873" s="12" t="n">
        <v>0.3766</v>
      </c>
      <c r="K873" s="12" t="n">
        <v>0.5009</v>
      </c>
      <c r="L873" s="3" t="n">
        <v>5.74</v>
      </c>
      <c r="M873" s="12" t="n">
        <f aca="false">Z873-W873</f>
        <v>-0.00393399999999999</v>
      </c>
      <c r="N873" s="12" t="n">
        <f aca="false">IFERROR((Z873-J873)/L873,"")</f>
        <v>0.0216491289198606</v>
      </c>
      <c r="O873" s="3" t="n">
        <v>19</v>
      </c>
      <c r="P873" s="13" t="b">
        <f aca="false">FALSE()</f>
        <v>0</v>
      </c>
      <c r="Q873" s="3" t="s">
        <v>166</v>
      </c>
      <c r="R873" s="12" t="n">
        <v>0.6675</v>
      </c>
      <c r="S873" s="12" t="n">
        <v>0.5316</v>
      </c>
      <c r="T873" s="3" t="n">
        <v>0.4908</v>
      </c>
      <c r="U873" s="12" t="n">
        <v>0.3765</v>
      </c>
      <c r="V873" s="12" t="n">
        <v>0.4708</v>
      </c>
      <c r="W873" s="12" t="n">
        <v>0.5048</v>
      </c>
      <c r="X873" s="3" t="n">
        <v>0.2582</v>
      </c>
      <c r="Y873" s="3" t="n">
        <v>0.5793</v>
      </c>
      <c r="Z873" s="14" t="n">
        <f aca="false">Assumptions!$B$3*R873+Assumptions!$B$4*S873+IF(AA873=1,Assumptions!$B$11,Assumptions!$B$5)*X873+IF(AA873=1,Assumptions!$B$12,Assumptions!$B$6)*T873+Assumptions!$B$7*U873+Assumptions!$B$8*V873+Assumptions!$B$9*Y873</f>
        <v>0.500866</v>
      </c>
      <c r="AA873" s="3" t="n">
        <v>0</v>
      </c>
    </row>
    <row r="874" customFormat="false" ht="15" hidden="false" customHeight="false" outlineLevel="0" collapsed="false">
      <c r="A874" s="3" t="s">
        <v>1059</v>
      </c>
      <c r="B874" s="3" t="n">
        <v>390</v>
      </c>
      <c r="C874" s="11" t="str">
        <f aca="false">IF(M874&gt;=Assumptions!$B$17,"S+",IF(M874&gt;=Assumptions!$B$18,"S",IF(M874&gt;=Assumptions!$B$19,"A",IF(M874&gt;=Assumptions!$B$20,"B",IF(M874&gt;=Assumptions!$B$21,"C",IF(M874&gt;=Assumptions!$B$22,"D","F"))))))</f>
        <v>D</v>
      </c>
      <c r="D874" s="3" t="s">
        <v>190</v>
      </c>
      <c r="E874" s="3" t="n">
        <v>3</v>
      </c>
      <c r="F874" s="12" t="n">
        <v>0.5748</v>
      </c>
      <c r="G874" s="12" t="n">
        <v>0.8</v>
      </c>
      <c r="H874" s="12" t="n">
        <v>0.75</v>
      </c>
      <c r="I874" s="12" t="n">
        <v>0.7044</v>
      </c>
      <c r="J874" s="12" t="n">
        <v>0.3063</v>
      </c>
      <c r="K874" s="12" t="n">
        <v>0.4783</v>
      </c>
      <c r="L874" s="3" t="n">
        <v>3.82</v>
      </c>
      <c r="M874" s="12" t="n">
        <f aca="false">Z874-W874</f>
        <v>-0.00433899999999993</v>
      </c>
      <c r="N874" s="12" t="n">
        <f aca="false">IFERROR((Z874-J874)/L874,"")</f>
        <v>0.0450159685863874</v>
      </c>
      <c r="O874" s="3" t="n">
        <v>17</v>
      </c>
      <c r="P874" s="13" t="b">
        <f aca="false">FALSE()</f>
        <v>0</v>
      </c>
      <c r="Q874" s="3" t="s">
        <v>166</v>
      </c>
      <c r="R874" s="12" t="n">
        <v>0.6885</v>
      </c>
      <c r="S874" s="12" t="n">
        <v>0.3346</v>
      </c>
      <c r="T874" s="3" t="n">
        <v>0.1976</v>
      </c>
      <c r="U874" s="12" t="n">
        <v>0.3665</v>
      </c>
      <c r="V874" s="12" t="n">
        <v>0.4869</v>
      </c>
      <c r="W874" s="12" t="n">
        <v>0.4826</v>
      </c>
      <c r="X874" s="3" t="n">
        <v>0.433</v>
      </c>
      <c r="Y874" s="3" t="n">
        <v>0.6586</v>
      </c>
      <c r="Z874" s="14" t="n">
        <f aca="false">Assumptions!$B$3*R874+Assumptions!$B$4*S874+IF(AA874=1,Assumptions!$B$11,Assumptions!$B$5)*X874+IF(AA874=1,Assumptions!$B$12,Assumptions!$B$6)*T874+Assumptions!$B$7*U874+Assumptions!$B$8*V874+Assumptions!$B$9*Y874</f>
        <v>0.478261</v>
      </c>
      <c r="AA874" s="3" t="n">
        <v>0</v>
      </c>
    </row>
    <row r="875" customFormat="false" ht="15" hidden="false" customHeight="false" outlineLevel="0" collapsed="false">
      <c r="A875" s="3" t="s">
        <v>1060</v>
      </c>
      <c r="B875" s="3" t="n">
        <v>510</v>
      </c>
      <c r="C875" s="11" t="str">
        <f aca="false">IF(M875&gt;=Assumptions!$B$17,"S+",IF(M875&gt;=Assumptions!$B$18,"S",IF(M875&gt;=Assumptions!$B$19,"A",IF(M875&gt;=Assumptions!$B$20,"B",IF(M875&gt;=Assumptions!$B$21,"C",IF(M875&gt;=Assumptions!$B$22,"D","F"))))))</f>
        <v>D</v>
      </c>
      <c r="D875" s="3" t="s">
        <v>253</v>
      </c>
      <c r="E875" s="3" t="n">
        <v>4</v>
      </c>
      <c r="F875" s="12" t="n">
        <v>0.9378</v>
      </c>
      <c r="G875" s="12" t="n">
        <v>0.4</v>
      </c>
      <c r="H875" s="12" t="n">
        <v>0.75</v>
      </c>
      <c r="I875" s="12" t="n">
        <v>0.6421</v>
      </c>
      <c r="J875" s="12" t="n">
        <v>0.3764</v>
      </c>
      <c r="K875" s="12" t="n">
        <v>0.5229</v>
      </c>
      <c r="L875" s="3" t="n">
        <v>3.94</v>
      </c>
      <c r="M875" s="12" t="n">
        <f aca="false">Z875-W875</f>
        <v>-0.00430000000000008</v>
      </c>
      <c r="N875" s="12" t="n">
        <f aca="false">IFERROR((Z875-J875)/L875,"")</f>
        <v>0.0371827411167512</v>
      </c>
      <c r="O875" s="3" t="n">
        <v>16</v>
      </c>
      <c r="P875" s="13" t="b">
        <f aca="false">FALSE()</f>
        <v>0</v>
      </c>
      <c r="Q875" s="3" t="s">
        <v>166</v>
      </c>
      <c r="R875" s="12" t="n">
        <v>0.7593</v>
      </c>
      <c r="S875" s="12" t="n">
        <v>0.4548</v>
      </c>
      <c r="T875" s="3" t="n">
        <v>0.4894</v>
      </c>
      <c r="U875" s="12" t="n">
        <v>0.2452</v>
      </c>
      <c r="V875" s="12" t="n">
        <v>0.5772</v>
      </c>
      <c r="W875" s="12" t="n">
        <v>0.5272</v>
      </c>
      <c r="X875" s="3" t="n">
        <v>0.2952</v>
      </c>
      <c r="Y875" s="3" t="n">
        <v>0.6329</v>
      </c>
      <c r="Z875" s="14" t="n">
        <f aca="false">Assumptions!$B$3*R875+Assumptions!$B$4*S875+IF(AA875=1,Assumptions!$B$11,Assumptions!$B$5)*X875+IF(AA875=1,Assumptions!$B$12,Assumptions!$B$6)*T875+Assumptions!$B$7*U875+Assumptions!$B$8*V875+Assumptions!$B$9*Y875</f>
        <v>0.5229</v>
      </c>
      <c r="AA875" s="3" t="n">
        <v>0</v>
      </c>
    </row>
    <row r="876" customFormat="false" ht="15" hidden="false" customHeight="false" outlineLevel="0" collapsed="false">
      <c r="A876" s="3" t="s">
        <v>1061</v>
      </c>
      <c r="B876" s="3" t="n">
        <v>325</v>
      </c>
      <c r="C876" s="11" t="str">
        <f aca="false">IF(M876&gt;=Assumptions!$B$17,"S+",IF(M876&gt;=Assumptions!$B$18,"S",IF(M876&gt;=Assumptions!$B$19,"A",IF(M876&gt;=Assumptions!$B$20,"B",IF(M876&gt;=Assumptions!$B$21,"C",IF(M876&gt;=Assumptions!$B$22,"D","F"))))))</f>
        <v>D</v>
      </c>
      <c r="D876" s="3" t="s">
        <v>218</v>
      </c>
      <c r="E876" s="3" t="n">
        <v>1</v>
      </c>
      <c r="F876" s="12" t="n">
        <v>0.7134</v>
      </c>
      <c r="G876" s="12" t="n">
        <v>0.6</v>
      </c>
      <c r="H876" s="12" t="n">
        <v>0.75</v>
      </c>
      <c r="I876" s="12" t="n">
        <v>0.6663</v>
      </c>
      <c r="J876" s="12" t="n">
        <v>0.299</v>
      </c>
      <c r="K876" s="12" t="n">
        <v>0.5186</v>
      </c>
      <c r="L876" s="3" t="n">
        <v>5.76</v>
      </c>
      <c r="M876" s="12" t="n">
        <f aca="false">Z876-W876</f>
        <v>-0.00467099999999998</v>
      </c>
      <c r="N876" s="12" t="n">
        <f aca="false">IFERROR((Z876-J876)/L876,"")</f>
        <v>0.0381300347222222</v>
      </c>
      <c r="O876" s="3" t="n">
        <v>19</v>
      </c>
      <c r="P876" s="13" t="b">
        <f aca="false">FALSE()</f>
        <v>0</v>
      </c>
      <c r="Q876" s="3" t="s">
        <v>166</v>
      </c>
      <c r="R876" s="12" t="n">
        <v>0.7254</v>
      </c>
      <c r="S876" s="12" t="n">
        <v>0.5151</v>
      </c>
      <c r="T876" s="3" t="n">
        <v>0.0561</v>
      </c>
      <c r="U876" s="12" t="n">
        <v>0.4696</v>
      </c>
      <c r="V876" s="12" t="n">
        <v>0.503</v>
      </c>
      <c r="W876" s="12" t="n">
        <v>0.5233</v>
      </c>
      <c r="X876" s="3" t="n">
        <v>0.5048</v>
      </c>
      <c r="Y876" s="3" t="n">
        <v>0.6297</v>
      </c>
      <c r="Z876" s="14" t="n">
        <f aca="false">Assumptions!$B$3*R876+Assumptions!$B$4*S876+IF(AA876=1,Assumptions!$B$11,Assumptions!$B$5)*X876+IF(AA876=1,Assumptions!$B$12,Assumptions!$B$6)*T876+Assumptions!$B$7*U876+Assumptions!$B$8*V876+Assumptions!$B$9*Y876</f>
        <v>0.518629</v>
      </c>
      <c r="AA876" s="3" t="n">
        <v>0</v>
      </c>
    </row>
    <row r="877" customFormat="false" ht="15" hidden="false" customHeight="false" outlineLevel="0" collapsed="false">
      <c r="A877" s="3" t="s">
        <v>1062</v>
      </c>
      <c r="B877" s="3" t="n">
        <v>442</v>
      </c>
      <c r="C877" s="11" t="str">
        <f aca="false">IF(M877&gt;=Assumptions!$B$17,"S+",IF(M877&gt;=Assumptions!$B$18,"S",IF(M877&gt;=Assumptions!$B$19,"A",IF(M877&gt;=Assumptions!$B$20,"B",IF(M877&gt;=Assumptions!$B$21,"C",IF(M877&gt;=Assumptions!$B$22,"D","F"))))))</f>
        <v>D</v>
      </c>
      <c r="D877" s="3" t="s">
        <v>190</v>
      </c>
      <c r="E877" s="3" t="n">
        <v>2</v>
      </c>
      <c r="F877" s="12" t="n">
        <v>0.7946</v>
      </c>
      <c r="G877" s="12" t="n">
        <v>0.4</v>
      </c>
      <c r="H877" s="12" t="n">
        <v>0.75</v>
      </c>
      <c r="I877" s="12" t="n">
        <v>0.62</v>
      </c>
      <c r="J877" s="12" t="n">
        <v>0.3695</v>
      </c>
      <c r="K877" s="12" t="n">
        <v>0.4902</v>
      </c>
      <c r="L877" s="3" t="n">
        <v>3.69</v>
      </c>
      <c r="M877" s="12" t="n">
        <f aca="false">Z877-W877</f>
        <v>-0.00532099999999997</v>
      </c>
      <c r="N877" s="12" t="n">
        <f aca="false">IFERROR((Z877-J877)/L877,"")</f>
        <v>0.0327043360433604</v>
      </c>
      <c r="O877" s="3" t="n">
        <v>18</v>
      </c>
      <c r="P877" s="13" t="b">
        <f aca="false">FALSE()</f>
        <v>0</v>
      </c>
      <c r="Q877" s="3" t="s">
        <v>166</v>
      </c>
      <c r="R877" s="12" t="n">
        <v>0.7368</v>
      </c>
      <c r="S877" s="12" t="n">
        <v>0.4904</v>
      </c>
      <c r="T877" s="3" t="n">
        <v>0.5314</v>
      </c>
      <c r="U877" s="12" t="n">
        <v>0.2222</v>
      </c>
      <c r="V877" s="12" t="n">
        <v>0.4579</v>
      </c>
      <c r="W877" s="12" t="n">
        <v>0.4955</v>
      </c>
      <c r="X877" s="3" t="n">
        <v>0.1929</v>
      </c>
      <c r="Y877" s="3" t="n">
        <v>0.5783</v>
      </c>
      <c r="Z877" s="14" t="n">
        <f aca="false">Assumptions!$B$3*R877+Assumptions!$B$4*S877+IF(AA877=1,Assumptions!$B$11,Assumptions!$B$5)*X877+IF(AA877=1,Assumptions!$B$12,Assumptions!$B$6)*T877+Assumptions!$B$7*U877+Assumptions!$B$8*V877+Assumptions!$B$9*Y877</f>
        <v>0.490179</v>
      </c>
      <c r="AA877" s="3" t="n">
        <v>0</v>
      </c>
    </row>
    <row r="878" customFormat="false" ht="15" hidden="false" customHeight="false" outlineLevel="0" collapsed="false">
      <c r="A878" s="3" t="s">
        <v>1063</v>
      </c>
      <c r="B878" s="3" t="n">
        <v>440</v>
      </c>
      <c r="C878" s="11" t="str">
        <f aca="false">IF(M878&gt;=Assumptions!$B$17,"S+",IF(M878&gt;=Assumptions!$B$18,"S",IF(M878&gt;=Assumptions!$B$19,"A",IF(M878&gt;=Assumptions!$B$20,"B",IF(M878&gt;=Assumptions!$B$21,"C",IF(M878&gt;=Assumptions!$B$22,"D","F"))))))</f>
        <v>D</v>
      </c>
      <c r="D878" s="3" t="s">
        <v>197</v>
      </c>
      <c r="E878" s="3" t="n">
        <v>1</v>
      </c>
      <c r="F878" s="12" t="n">
        <v>0.7632</v>
      </c>
      <c r="G878" s="12" t="n">
        <v>0.4</v>
      </c>
      <c r="H878" s="12" t="n">
        <v>0.75</v>
      </c>
      <c r="I878" s="12" t="n">
        <v>0.608</v>
      </c>
      <c r="J878" s="12" t="n">
        <v>0.3511</v>
      </c>
      <c r="K878" s="12" t="n">
        <v>0.4918</v>
      </c>
      <c r="L878" s="3" t="n">
        <v>3.34</v>
      </c>
      <c r="M878" s="12" t="n">
        <f aca="false">Z878-W878</f>
        <v>-0.00562699999999999</v>
      </c>
      <c r="N878" s="12" t="n">
        <f aca="false">IFERROR((Z878-J878)/L878,"")</f>
        <v>0.0421176646706587</v>
      </c>
      <c r="O878" s="3" t="n">
        <v>19</v>
      </c>
      <c r="P878" s="13" t="b">
        <f aca="false">FALSE()</f>
        <v>0</v>
      </c>
      <c r="Q878" s="3" t="s">
        <v>166</v>
      </c>
      <c r="R878" s="12" t="n">
        <v>0.729</v>
      </c>
      <c r="S878" s="12" t="n">
        <v>0.498</v>
      </c>
      <c r="T878" s="3" t="n">
        <v>0.4406</v>
      </c>
      <c r="U878" s="12" t="n">
        <v>0.2955</v>
      </c>
      <c r="V878" s="12" t="n">
        <v>0.4905</v>
      </c>
      <c r="W878" s="12" t="n">
        <v>0.4974</v>
      </c>
      <c r="X878" s="3" t="n">
        <v>0.2221</v>
      </c>
      <c r="Y878" s="3" t="n">
        <v>0.5562</v>
      </c>
      <c r="Z878" s="14" t="n">
        <f aca="false">Assumptions!$B$3*R878+Assumptions!$B$4*S878+IF(AA878=1,Assumptions!$B$11,Assumptions!$B$5)*X878+IF(AA878=1,Assumptions!$B$12,Assumptions!$B$6)*T878+Assumptions!$B$7*U878+Assumptions!$B$8*V878+Assumptions!$B$9*Y878</f>
        <v>0.491773</v>
      </c>
      <c r="AA878" s="3" t="n">
        <v>0</v>
      </c>
    </row>
    <row r="879" customFormat="false" ht="15" hidden="false" customHeight="false" outlineLevel="0" collapsed="false">
      <c r="A879" s="3" t="s">
        <v>1064</v>
      </c>
      <c r="B879" s="3" t="n">
        <v>273</v>
      </c>
      <c r="C879" s="11" t="str">
        <f aca="false">IF(M879&gt;=Assumptions!$B$17,"S+",IF(M879&gt;=Assumptions!$B$18,"S",IF(M879&gt;=Assumptions!$B$19,"A",IF(M879&gt;=Assumptions!$B$20,"B",IF(M879&gt;=Assumptions!$B$21,"C",IF(M879&gt;=Assumptions!$B$22,"D","F"))))))</f>
        <v>D</v>
      </c>
      <c r="D879" s="3" t="s">
        <v>186</v>
      </c>
      <c r="E879" s="3" t="n">
        <v>1</v>
      </c>
      <c r="F879" s="12" t="n">
        <v>0.3214</v>
      </c>
      <c r="G879" s="12" t="n">
        <v>0.6</v>
      </c>
      <c r="H879" s="12" t="n">
        <v>0.75</v>
      </c>
      <c r="I879" s="12" t="n">
        <v>0.5798</v>
      </c>
      <c r="J879" s="12" t="n">
        <v>0.2054</v>
      </c>
      <c r="K879" s="12" t="n">
        <v>0.4545</v>
      </c>
      <c r="L879" s="3" t="n">
        <v>5.61</v>
      </c>
      <c r="M879" s="12" t="n">
        <f aca="false">Z879-W879</f>
        <v>-0.00585199999999991</v>
      </c>
      <c r="N879" s="12" t="n">
        <f aca="false">IFERROR((Z879-J879)/L879,"")</f>
        <v>0.0443935828877005</v>
      </c>
      <c r="O879" s="3" t="n">
        <v>19</v>
      </c>
      <c r="P879" s="13" t="b">
        <f aca="false">FALSE()</f>
        <v>0</v>
      </c>
      <c r="Q879" s="3" t="s">
        <v>166</v>
      </c>
      <c r="R879" s="12" t="n">
        <v>0.601</v>
      </c>
      <c r="S879" s="12" t="n">
        <v>0.3472</v>
      </c>
      <c r="T879" s="3" t="n">
        <v>0.1893</v>
      </c>
      <c r="U879" s="12" t="n">
        <v>0.336</v>
      </c>
      <c r="V879" s="12" t="n">
        <v>0.503</v>
      </c>
      <c r="W879" s="12" t="n">
        <v>0.4603</v>
      </c>
      <c r="X879" s="3" t="n">
        <v>0.3989</v>
      </c>
      <c r="Y879" s="3" t="n">
        <v>0.5387</v>
      </c>
      <c r="Z879" s="14" t="n">
        <f aca="false">Assumptions!$B$3*R879+Assumptions!$B$4*S879+IF(AA879=1,Assumptions!$B$11,Assumptions!$B$5)*X879+IF(AA879=1,Assumptions!$B$12,Assumptions!$B$6)*T879+Assumptions!$B$7*U879+Assumptions!$B$8*V879+Assumptions!$B$9*Y879</f>
        <v>0.454448</v>
      </c>
      <c r="AA879" s="3" t="n">
        <v>1</v>
      </c>
    </row>
    <row r="880" customFormat="false" ht="15" hidden="false" customHeight="false" outlineLevel="0" collapsed="false">
      <c r="A880" s="3" t="s">
        <v>1065</v>
      </c>
      <c r="B880" s="3" t="n">
        <v>320</v>
      </c>
      <c r="C880" s="11" t="str">
        <f aca="false">IF(M880&gt;=Assumptions!$B$17,"S+",IF(M880&gt;=Assumptions!$B$18,"S",IF(M880&gt;=Assumptions!$B$19,"A",IF(M880&gt;=Assumptions!$B$20,"B",IF(M880&gt;=Assumptions!$B$21,"C",IF(M880&gt;=Assumptions!$B$22,"D","F"))))))</f>
        <v>D</v>
      </c>
      <c r="D880" s="3" t="s">
        <v>228</v>
      </c>
      <c r="E880" s="3" t="n">
        <v>1</v>
      </c>
      <c r="F880" s="12" t="n">
        <v>0.5394</v>
      </c>
      <c r="G880" s="12" t="n">
        <v>0.6</v>
      </c>
      <c r="H880" s="12" t="n">
        <v>0.75</v>
      </c>
      <c r="I880" s="12" t="n">
        <v>0.6106</v>
      </c>
      <c r="J880" s="12" t="n">
        <v>0.3035</v>
      </c>
      <c r="K880" s="12" t="n">
        <v>0.4623</v>
      </c>
      <c r="L880" s="3" t="n">
        <v>6.47</v>
      </c>
      <c r="M880" s="12" t="n">
        <f aca="false">Z880-W880</f>
        <v>-0.00618600000000003</v>
      </c>
      <c r="N880" s="12" t="n">
        <f aca="false">IFERROR((Z880-J880)/L880,"")</f>
        <v>0.0245462132921175</v>
      </c>
      <c r="O880" s="3" t="n">
        <v>19</v>
      </c>
      <c r="P880" s="13" t="b">
        <f aca="false">FALSE()</f>
        <v>0</v>
      </c>
      <c r="Q880" s="3" t="s">
        <v>166</v>
      </c>
      <c r="R880" s="12" t="n">
        <v>0.7289</v>
      </c>
      <c r="S880" s="12" t="n">
        <v>0.4394</v>
      </c>
      <c r="T880" s="3" t="n">
        <v>0.1353</v>
      </c>
      <c r="U880" s="12" t="n">
        <v>0.3765</v>
      </c>
      <c r="V880" s="12" t="n">
        <v>0.5056</v>
      </c>
      <c r="W880" s="12" t="n">
        <v>0.4685</v>
      </c>
      <c r="X880" s="3" t="n">
        <v>0.2678</v>
      </c>
      <c r="Y880" s="3" t="n">
        <v>0.5454</v>
      </c>
      <c r="Z880" s="14" t="n">
        <f aca="false">Assumptions!$B$3*R880+Assumptions!$B$4*S880+IF(AA880=1,Assumptions!$B$11,Assumptions!$B$5)*X880+IF(AA880=1,Assumptions!$B$12,Assumptions!$B$6)*T880+Assumptions!$B$7*U880+Assumptions!$B$8*V880+Assumptions!$B$9*Y880</f>
        <v>0.462314</v>
      </c>
      <c r="AA880" s="3" t="n">
        <v>0</v>
      </c>
    </row>
    <row r="881" customFormat="false" ht="15" hidden="false" customHeight="false" outlineLevel="0" collapsed="false">
      <c r="A881" s="3" t="s">
        <v>1066</v>
      </c>
      <c r="B881" s="3" t="n">
        <v>349</v>
      </c>
      <c r="C881" s="11" t="str">
        <f aca="false">IF(M881&gt;=Assumptions!$B$17,"S+",IF(M881&gt;=Assumptions!$B$18,"S",IF(M881&gt;=Assumptions!$B$19,"A",IF(M881&gt;=Assumptions!$B$20,"B",IF(M881&gt;=Assumptions!$B$21,"C",IF(M881&gt;=Assumptions!$B$22,"D","F"))))))</f>
        <v>D</v>
      </c>
      <c r="D881" s="3" t="s">
        <v>190</v>
      </c>
      <c r="E881" s="3" t="n">
        <v>2</v>
      </c>
      <c r="F881" s="12" t="n">
        <v>0.5574</v>
      </c>
      <c r="G881" s="12" t="n">
        <v>0.6</v>
      </c>
      <c r="H881" s="12" t="n">
        <v>0.75</v>
      </c>
      <c r="I881" s="12" t="n">
        <v>0.6138</v>
      </c>
      <c r="J881" s="12" t="n">
        <v>0.3126</v>
      </c>
      <c r="K881" s="12" t="n">
        <v>0.4894</v>
      </c>
      <c r="L881" s="3" t="n">
        <v>3.75</v>
      </c>
      <c r="M881" s="12" t="n">
        <f aca="false">Z881-W881</f>
        <v>-0.00664099999999995</v>
      </c>
      <c r="N881" s="12" t="n">
        <f aca="false">IFERROR((Z881-J881)/L881,"")</f>
        <v>0.0471624</v>
      </c>
      <c r="O881" s="3" t="n">
        <v>18</v>
      </c>
      <c r="P881" s="13" t="b">
        <f aca="false">FALSE()</f>
        <v>0</v>
      </c>
      <c r="Q881" s="3" t="s">
        <v>166</v>
      </c>
      <c r="R881" s="12" t="n">
        <v>0.6135</v>
      </c>
      <c r="S881" s="12" t="n">
        <v>0.3879</v>
      </c>
      <c r="T881" s="3" t="n">
        <v>0.308</v>
      </c>
      <c r="U881" s="12" t="n">
        <v>0.4786</v>
      </c>
      <c r="V881" s="12" t="n">
        <v>0.4848</v>
      </c>
      <c r="W881" s="12" t="n">
        <v>0.4961</v>
      </c>
      <c r="X881" s="3" t="n">
        <v>0.4771</v>
      </c>
      <c r="Y881" s="3" t="n">
        <v>0.5728</v>
      </c>
      <c r="Z881" s="14" t="n">
        <f aca="false">Assumptions!$B$3*R881+Assumptions!$B$4*S881+IF(AA881=1,Assumptions!$B$11,Assumptions!$B$5)*X881+IF(AA881=1,Assumptions!$B$12,Assumptions!$B$6)*T881+Assumptions!$B$7*U881+Assumptions!$B$8*V881+Assumptions!$B$9*Y881</f>
        <v>0.489459</v>
      </c>
      <c r="AA881" s="3" t="n">
        <v>0</v>
      </c>
    </row>
    <row r="882" customFormat="false" ht="15" hidden="false" customHeight="false" outlineLevel="0" collapsed="false">
      <c r="A882" s="3" t="s">
        <v>1067</v>
      </c>
      <c r="B882" s="3" t="n">
        <v>385</v>
      </c>
      <c r="C882" s="11" t="str">
        <f aca="false">IF(M882&gt;=Assumptions!$B$17,"S+",IF(M882&gt;=Assumptions!$B$18,"S",IF(M882&gt;=Assumptions!$B$19,"A",IF(M882&gt;=Assumptions!$B$20,"B",IF(M882&gt;=Assumptions!$B$21,"C",IF(M882&gt;=Assumptions!$B$22,"D","F"))))))</f>
        <v>D</v>
      </c>
      <c r="D882" s="3" t="s">
        <v>190</v>
      </c>
      <c r="E882" s="3" t="n">
        <v>1</v>
      </c>
      <c r="F882" s="12" t="n">
        <v>0.6825</v>
      </c>
      <c r="G882" s="12" t="n">
        <v>0.8</v>
      </c>
      <c r="H882" s="12" t="n">
        <v>0.75</v>
      </c>
      <c r="I882" s="12" t="n">
        <v>0.7453</v>
      </c>
      <c r="J882" s="12" t="n">
        <v>0.2842</v>
      </c>
      <c r="K882" s="12" t="n">
        <v>0.4489</v>
      </c>
      <c r="L882" s="3" t="n">
        <v>4.05</v>
      </c>
      <c r="M882" s="12" t="n">
        <f aca="false">Z882-W882</f>
        <v>-0.00691700000000001</v>
      </c>
      <c r="N882" s="12" t="n">
        <f aca="false">IFERROR((Z882-J882)/L882,"")</f>
        <v>0.0406624691358025</v>
      </c>
      <c r="O882" s="3" t="n">
        <v>19</v>
      </c>
      <c r="P882" s="13" t="b">
        <f aca="false">FALSE()</f>
        <v>0</v>
      </c>
      <c r="Q882" s="3" t="s">
        <v>166</v>
      </c>
      <c r="R882" s="12" t="n">
        <v>0.5876</v>
      </c>
      <c r="S882" s="12" t="n">
        <v>0.5172</v>
      </c>
      <c r="T882" s="3" t="n">
        <v>0.4028</v>
      </c>
      <c r="U882" s="12" t="n">
        <v>0.3441</v>
      </c>
      <c r="V882" s="12" t="n">
        <v>0.4905</v>
      </c>
      <c r="W882" s="12" t="n">
        <v>0.4558</v>
      </c>
      <c r="X882" s="3" t="n">
        <v>0.25</v>
      </c>
      <c r="Y882" s="3" t="n">
        <v>0.5405</v>
      </c>
      <c r="Z882" s="14" t="n">
        <f aca="false">Assumptions!$B$3*R882+Assumptions!$B$4*S882+IF(AA882=1,Assumptions!$B$11,Assumptions!$B$5)*X882+IF(AA882=1,Assumptions!$B$12,Assumptions!$B$6)*T882+Assumptions!$B$7*U882+Assumptions!$B$8*V882+Assumptions!$B$9*Y882</f>
        <v>0.448883</v>
      </c>
      <c r="AA882" s="3" t="n">
        <v>1</v>
      </c>
    </row>
    <row r="883" customFormat="false" ht="15" hidden="false" customHeight="false" outlineLevel="0" collapsed="false">
      <c r="A883" s="3" t="s">
        <v>1068</v>
      </c>
      <c r="B883" s="3" t="n">
        <v>360</v>
      </c>
      <c r="C883" s="11" t="str">
        <f aca="false">IF(M883&gt;=Assumptions!$B$17,"S+",IF(M883&gt;=Assumptions!$B$18,"S",IF(M883&gt;=Assumptions!$B$19,"A",IF(M883&gt;=Assumptions!$B$20,"B",IF(M883&gt;=Assumptions!$B$21,"C",IF(M883&gt;=Assumptions!$B$22,"D","F"))))))</f>
        <v>D</v>
      </c>
      <c r="D883" s="3" t="s">
        <v>173</v>
      </c>
      <c r="E883" s="3" t="n">
        <v>3</v>
      </c>
      <c r="F883" s="12" t="n">
        <v>0.64</v>
      </c>
      <c r="G883" s="12" t="n">
        <v>0.45</v>
      </c>
      <c r="H883" s="12" t="n">
        <v>0.75</v>
      </c>
      <c r="I883" s="12" t="n">
        <v>0.5442</v>
      </c>
      <c r="J883" s="12" t="n">
        <v>0.2643</v>
      </c>
      <c r="K883" s="12" t="n">
        <v>0.4107</v>
      </c>
      <c r="L883" s="3" t="n">
        <v>4.59</v>
      </c>
      <c r="M883" s="12" t="n">
        <f aca="false">Z883-W883</f>
        <v>-0.00729199999999997</v>
      </c>
      <c r="N883" s="12" t="n">
        <f aca="false">IFERROR((Z883-J883)/L883,"")</f>
        <v>0.0318971677559913</v>
      </c>
      <c r="O883" s="3" t="n">
        <v>17</v>
      </c>
      <c r="P883" s="13" t="b">
        <f aca="false">FALSE()</f>
        <v>0</v>
      </c>
      <c r="Q883" s="3" t="s">
        <v>166</v>
      </c>
      <c r="R883" s="12" t="n">
        <v>0.4908</v>
      </c>
      <c r="S883" s="12" t="n">
        <v>0.4731</v>
      </c>
      <c r="T883" s="3" t="n">
        <v>0.1289</v>
      </c>
      <c r="U883" s="12" t="n">
        <v>0.2896</v>
      </c>
      <c r="V883" s="12" t="n">
        <v>0.4773</v>
      </c>
      <c r="W883" s="12" t="n">
        <v>0.418</v>
      </c>
      <c r="X883" s="3" t="n">
        <v>0.3109</v>
      </c>
      <c r="Y883" s="3" t="n">
        <v>0.509</v>
      </c>
      <c r="Z883" s="14" t="n">
        <f aca="false">Assumptions!$B$3*R883+Assumptions!$B$4*S883+IF(AA883=1,Assumptions!$B$11,Assumptions!$B$5)*X883+IF(AA883=1,Assumptions!$B$12,Assumptions!$B$6)*T883+Assumptions!$B$7*U883+Assumptions!$B$8*V883+Assumptions!$B$9*Y883</f>
        <v>0.410708</v>
      </c>
      <c r="AA883" s="3" t="n">
        <v>1</v>
      </c>
    </row>
    <row r="884" customFormat="false" ht="15" hidden="false" customHeight="false" outlineLevel="0" collapsed="false">
      <c r="A884" s="3" t="s">
        <v>1069</v>
      </c>
      <c r="B884" s="3" t="n">
        <v>425</v>
      </c>
      <c r="C884" s="11" t="str">
        <f aca="false">IF(M884&gt;=Assumptions!$B$17,"S+",IF(M884&gt;=Assumptions!$B$18,"S",IF(M884&gt;=Assumptions!$B$19,"A",IF(M884&gt;=Assumptions!$B$20,"B",IF(M884&gt;=Assumptions!$B$21,"C",IF(M884&gt;=Assumptions!$B$22,"D","F"))))))</f>
        <v>D</v>
      </c>
      <c r="D884" s="3" t="s">
        <v>190</v>
      </c>
      <c r="E884" s="3" t="n">
        <v>2</v>
      </c>
      <c r="F884" s="12" t="n">
        <v>0.6886</v>
      </c>
      <c r="G884" s="12" t="n">
        <v>0.8</v>
      </c>
      <c r="H884" s="12" t="n">
        <v>0.75</v>
      </c>
      <c r="I884" s="12" t="n">
        <v>0.7477</v>
      </c>
      <c r="J884" s="12" t="n">
        <v>0.367</v>
      </c>
      <c r="K884" s="12" t="n">
        <v>0.4864</v>
      </c>
      <c r="L884" s="3" t="n">
        <v>4.17</v>
      </c>
      <c r="M884" s="12" t="n">
        <f aca="false">Z884-W884</f>
        <v>-0.00791000000000003</v>
      </c>
      <c r="N884" s="12" t="n">
        <f aca="false">IFERROR((Z884-J884)/L884,"")</f>
        <v>0.0286306954436451</v>
      </c>
      <c r="O884" s="3" t="n">
        <v>18</v>
      </c>
      <c r="P884" s="13" t="b">
        <f aca="false">FALSE()</f>
        <v>0</v>
      </c>
      <c r="Q884" s="3" t="s">
        <v>166</v>
      </c>
      <c r="R884" s="12" t="n">
        <v>0.7124</v>
      </c>
      <c r="S884" s="12" t="n">
        <v>0.4486</v>
      </c>
      <c r="T884" s="3" t="n">
        <v>0.313</v>
      </c>
      <c r="U884" s="12" t="n">
        <v>0.2735</v>
      </c>
      <c r="V884" s="12" t="n">
        <v>0.4556</v>
      </c>
      <c r="W884" s="12" t="n">
        <v>0.4943</v>
      </c>
      <c r="X884" s="3" t="n">
        <v>0.2715</v>
      </c>
      <c r="Y884" s="3" t="n">
        <v>0.7541</v>
      </c>
      <c r="Z884" s="14" t="n">
        <f aca="false">Assumptions!$B$3*R884+Assumptions!$B$4*S884+IF(AA884=1,Assumptions!$B$11,Assumptions!$B$5)*X884+IF(AA884=1,Assumptions!$B$12,Assumptions!$B$6)*T884+Assumptions!$B$7*U884+Assumptions!$B$8*V884+Assumptions!$B$9*Y884</f>
        <v>0.48639</v>
      </c>
      <c r="AA884" s="3" t="n">
        <v>0</v>
      </c>
    </row>
    <row r="885" customFormat="false" ht="15" hidden="false" customHeight="false" outlineLevel="0" collapsed="false">
      <c r="A885" s="3" t="s">
        <v>1070</v>
      </c>
      <c r="B885" s="3" t="n">
        <v>435</v>
      </c>
      <c r="C885" s="11" t="str">
        <f aca="false">IF(M885&gt;=Assumptions!$B$17,"S+",IF(M885&gt;=Assumptions!$B$18,"S",IF(M885&gt;=Assumptions!$B$19,"A",IF(M885&gt;=Assumptions!$B$20,"B",IF(M885&gt;=Assumptions!$B$21,"C",IF(M885&gt;=Assumptions!$B$22,"D","F"))))))</f>
        <v>D</v>
      </c>
      <c r="D885" s="3" t="s">
        <v>218</v>
      </c>
      <c r="E885" s="3" t="n">
        <v>2</v>
      </c>
      <c r="F885" s="12" t="n">
        <v>0.7435</v>
      </c>
      <c r="G885" s="12" t="n">
        <v>0.6</v>
      </c>
      <c r="H885" s="12" t="n">
        <v>0.75</v>
      </c>
      <c r="I885" s="12" t="n">
        <v>0.6759</v>
      </c>
      <c r="J885" s="12" t="n">
        <v>0.3929</v>
      </c>
      <c r="K885" s="12" t="n">
        <v>0.5126</v>
      </c>
      <c r="L885" s="3" t="n">
        <v>3.75</v>
      </c>
      <c r="M885" s="12" t="n">
        <f aca="false">Z885-W885</f>
        <v>-0.00798499999999991</v>
      </c>
      <c r="N885" s="12" t="n">
        <f aca="false">IFERROR((Z885-J885)/L885,"")</f>
        <v>0.031924</v>
      </c>
      <c r="O885" s="3" t="n">
        <v>18</v>
      </c>
      <c r="P885" s="13" t="b">
        <f aca="false">FALSE()</f>
        <v>0</v>
      </c>
      <c r="Q885" s="3" t="s">
        <v>166</v>
      </c>
      <c r="R885" s="12" t="n">
        <v>0.724</v>
      </c>
      <c r="S885" s="12" t="n">
        <v>0.4859</v>
      </c>
      <c r="T885" s="3" t="n">
        <v>0.3038</v>
      </c>
      <c r="U885" s="12" t="n">
        <v>0.5171</v>
      </c>
      <c r="V885" s="12" t="n">
        <v>0.4764</v>
      </c>
      <c r="W885" s="12" t="n">
        <v>0.5206</v>
      </c>
      <c r="X885" s="3" t="n">
        <v>0.2705</v>
      </c>
      <c r="Y885" s="3" t="n">
        <v>0.6764</v>
      </c>
      <c r="Z885" s="14" t="n">
        <f aca="false">Assumptions!$B$3*R885+Assumptions!$B$4*S885+IF(AA885=1,Assumptions!$B$11,Assumptions!$B$5)*X885+IF(AA885=1,Assumptions!$B$12,Assumptions!$B$6)*T885+Assumptions!$B$7*U885+Assumptions!$B$8*V885+Assumptions!$B$9*Y885</f>
        <v>0.512615</v>
      </c>
      <c r="AA885" s="3" t="n">
        <v>0</v>
      </c>
    </row>
    <row r="886" customFormat="false" ht="15" hidden="false" customHeight="false" outlineLevel="0" collapsed="false">
      <c r="A886" s="3" t="s">
        <v>1071</v>
      </c>
      <c r="B886" s="3" t="n">
        <v>500</v>
      </c>
      <c r="C886" s="11" t="str">
        <f aca="false">IF(M886&gt;=Assumptions!$B$17,"S+",IF(M886&gt;=Assumptions!$B$18,"S",IF(M886&gt;=Assumptions!$B$19,"A",IF(M886&gt;=Assumptions!$B$20,"B",IF(M886&gt;=Assumptions!$B$21,"C",IF(M886&gt;=Assumptions!$B$22,"D","F"))))))</f>
        <v>D</v>
      </c>
      <c r="D886" s="3" t="s">
        <v>253</v>
      </c>
      <c r="E886" s="3" t="n">
        <v>3</v>
      </c>
      <c r="F886" s="12" t="n">
        <v>0.8439</v>
      </c>
      <c r="G886" s="12" t="n">
        <v>0.6</v>
      </c>
      <c r="H886" s="12" t="n">
        <v>0.75</v>
      </c>
      <c r="I886" s="12" t="n">
        <v>0.708</v>
      </c>
      <c r="J886" s="12" t="n">
        <v>0.3915</v>
      </c>
      <c r="K886" s="12" t="n">
        <v>0.5151</v>
      </c>
      <c r="L886" s="3" t="n">
        <v>3.79</v>
      </c>
      <c r="M886" s="12" t="n">
        <f aca="false">Z886-W886</f>
        <v>-0.00805</v>
      </c>
      <c r="N886" s="12" t="n">
        <f aca="false">IFERROR((Z886-J886)/L886,"")</f>
        <v>0.032598944591029</v>
      </c>
      <c r="O886" s="3" t="n">
        <v>17</v>
      </c>
      <c r="P886" s="13" t="b">
        <f aca="false">FALSE()</f>
        <v>0</v>
      </c>
      <c r="Q886" s="3" t="s">
        <v>166</v>
      </c>
      <c r="R886" s="12" t="n">
        <v>0.8144</v>
      </c>
      <c r="S886" s="12" t="n">
        <v>0.4266</v>
      </c>
      <c r="T886" s="3" t="n">
        <v>0.4388</v>
      </c>
      <c r="U886" s="12" t="n">
        <v>0.2263</v>
      </c>
      <c r="V886" s="12" t="n">
        <v>0.4504</v>
      </c>
      <c r="W886" s="12" t="n">
        <v>0.5231</v>
      </c>
      <c r="X886" s="3" t="n">
        <v>0.2801</v>
      </c>
      <c r="Y886" s="3" t="n">
        <v>0.6967</v>
      </c>
      <c r="Z886" s="14" t="n">
        <f aca="false">Assumptions!$B$3*R886+Assumptions!$B$4*S886+IF(AA886=1,Assumptions!$B$11,Assumptions!$B$5)*X886+IF(AA886=1,Assumptions!$B$12,Assumptions!$B$6)*T886+Assumptions!$B$7*U886+Assumptions!$B$8*V886+Assumptions!$B$9*Y886</f>
        <v>0.51505</v>
      </c>
      <c r="AA886" s="3" t="n">
        <v>0</v>
      </c>
    </row>
    <row r="887" customFormat="false" ht="15" hidden="false" customHeight="false" outlineLevel="0" collapsed="false">
      <c r="A887" s="3" t="s">
        <v>1072</v>
      </c>
      <c r="B887" s="3" t="n">
        <v>514</v>
      </c>
      <c r="C887" s="11" t="str">
        <f aca="false">IF(M887&gt;=Assumptions!$B$17,"S+",IF(M887&gt;=Assumptions!$B$18,"S",IF(M887&gt;=Assumptions!$B$19,"A",IF(M887&gt;=Assumptions!$B$20,"B",IF(M887&gt;=Assumptions!$B$21,"C",IF(M887&gt;=Assumptions!$B$22,"D","F"))))))</f>
        <v>D</v>
      </c>
      <c r="D887" s="3" t="s">
        <v>218</v>
      </c>
      <c r="E887" s="3" t="n">
        <v>6</v>
      </c>
      <c r="F887" s="12" t="n">
        <v>0.949</v>
      </c>
      <c r="G887" s="12" t="n">
        <v>1</v>
      </c>
      <c r="H887" s="12" t="n">
        <v>0.75</v>
      </c>
      <c r="I887" s="12" t="n">
        <v>0.9337</v>
      </c>
      <c r="J887" s="12" t="n">
        <v>0.3817</v>
      </c>
      <c r="K887" s="12" t="n">
        <v>0.5006</v>
      </c>
      <c r="L887" s="3" t="n">
        <v>6</v>
      </c>
      <c r="M887" s="12" t="n">
        <f aca="false">Z887-W887</f>
        <v>-0.00861000000000001</v>
      </c>
      <c r="N887" s="12" t="n">
        <f aca="false">IFERROR((Z887-J887)/L887,"")</f>
        <v>0.019815</v>
      </c>
      <c r="O887" s="3" t="n">
        <v>14</v>
      </c>
      <c r="P887" s="13" t="b">
        <f aca="false">FALSE()</f>
        <v>0</v>
      </c>
      <c r="Q887" s="3" t="s">
        <v>166</v>
      </c>
      <c r="R887" s="12" t="n">
        <v>0.8543</v>
      </c>
      <c r="S887" s="12" t="n">
        <v>0.3606</v>
      </c>
      <c r="T887" s="3" t="n">
        <v>0.0344</v>
      </c>
      <c r="U887" s="12" t="n">
        <v>0.4835</v>
      </c>
      <c r="V887" s="12" t="n">
        <v>0.2324</v>
      </c>
      <c r="W887" s="12" t="n">
        <v>0.5092</v>
      </c>
      <c r="X887" s="3" t="n">
        <v>0.33</v>
      </c>
      <c r="Y887" s="3" t="n">
        <v>0.9354</v>
      </c>
      <c r="Z887" s="14" t="n">
        <f aca="false">Assumptions!$B$3*R887+Assumptions!$B$4*S887+IF(AA887=1,Assumptions!$B$11,Assumptions!$B$5)*X887+IF(AA887=1,Assumptions!$B$12,Assumptions!$B$6)*T887+Assumptions!$B$7*U887+Assumptions!$B$8*V887+Assumptions!$B$9*Y887</f>
        <v>0.50059</v>
      </c>
      <c r="AA887" s="3" t="n">
        <v>0</v>
      </c>
    </row>
    <row r="888" customFormat="false" ht="15" hidden="false" customHeight="false" outlineLevel="0" collapsed="false">
      <c r="A888" s="3" t="s">
        <v>1073</v>
      </c>
      <c r="B888" s="3" t="n">
        <v>463</v>
      </c>
      <c r="C888" s="11" t="str">
        <f aca="false">IF(M888&gt;=Assumptions!$B$17,"S+",IF(M888&gt;=Assumptions!$B$18,"S",IF(M888&gt;=Assumptions!$B$19,"A",IF(M888&gt;=Assumptions!$B$20,"B",IF(M888&gt;=Assumptions!$B$21,"C",IF(M888&gt;=Assumptions!$B$22,"D","F"))))))</f>
        <v>D</v>
      </c>
      <c r="D888" s="3" t="s">
        <v>218</v>
      </c>
      <c r="E888" s="3" t="n">
        <v>4</v>
      </c>
      <c r="F888" s="12" t="n">
        <v>0.7616</v>
      </c>
      <c r="G888" s="12" t="n">
        <v>0.6</v>
      </c>
      <c r="H888" s="12" t="n">
        <v>0.75</v>
      </c>
      <c r="I888" s="12" t="n">
        <v>0.6817</v>
      </c>
      <c r="J888" s="12" t="n">
        <v>0.3659</v>
      </c>
      <c r="K888" s="12" t="n">
        <v>0.4928</v>
      </c>
      <c r="L888" s="3" t="n">
        <v>3.81</v>
      </c>
      <c r="M888" s="12" t="n">
        <f aca="false">Z888-W888</f>
        <v>-0.00857199999999991</v>
      </c>
      <c r="N888" s="12" t="n">
        <f aca="false">IFERROR((Z888-J888)/L888,"")</f>
        <v>0.0333144356955381</v>
      </c>
      <c r="O888" s="3" t="n">
        <v>16</v>
      </c>
      <c r="P888" s="13" t="b">
        <f aca="false">FALSE()</f>
        <v>0</v>
      </c>
      <c r="Q888" s="3" t="s">
        <v>166</v>
      </c>
      <c r="R888" s="12" t="n">
        <v>0.6619</v>
      </c>
      <c r="S888" s="12" t="n">
        <v>0.4578</v>
      </c>
      <c r="T888" s="3" t="n">
        <v>0.3461</v>
      </c>
      <c r="U888" s="12" t="n">
        <v>0.3702</v>
      </c>
      <c r="V888" s="12" t="n">
        <v>0.4482</v>
      </c>
      <c r="W888" s="12" t="n">
        <v>0.5014</v>
      </c>
      <c r="X888" s="3" t="n">
        <v>0.359</v>
      </c>
      <c r="Y888" s="3" t="n">
        <v>0.6677</v>
      </c>
      <c r="Z888" s="14" t="n">
        <f aca="false">Assumptions!$B$3*R888+Assumptions!$B$4*S888+IF(AA888=1,Assumptions!$B$11,Assumptions!$B$5)*X888+IF(AA888=1,Assumptions!$B$12,Assumptions!$B$6)*T888+Assumptions!$B$7*U888+Assumptions!$B$8*V888+Assumptions!$B$9*Y888</f>
        <v>0.492828</v>
      </c>
      <c r="AA888" s="3" t="n">
        <v>0</v>
      </c>
    </row>
    <row r="889" customFormat="false" ht="15" hidden="false" customHeight="false" outlineLevel="0" collapsed="false">
      <c r="A889" s="3" t="s">
        <v>1074</v>
      </c>
      <c r="B889" s="3" t="n">
        <v>521</v>
      </c>
      <c r="C889" s="11" t="str">
        <f aca="false">IF(M889&gt;=Assumptions!$B$17,"S+",IF(M889&gt;=Assumptions!$B$18,"S",IF(M889&gt;=Assumptions!$B$19,"A",IF(M889&gt;=Assumptions!$B$20,"B",IF(M889&gt;=Assumptions!$B$21,"C",IF(M889&gt;=Assumptions!$B$22,"D","F"))))))</f>
        <v>D</v>
      </c>
      <c r="D889" s="3" t="s">
        <v>253</v>
      </c>
      <c r="E889" s="3" t="n">
        <v>7</v>
      </c>
      <c r="F889" s="12" t="n">
        <v>0.7198</v>
      </c>
      <c r="G889" s="12" t="n">
        <v>0.4</v>
      </c>
      <c r="H889" s="12" t="n">
        <v>0.75</v>
      </c>
      <c r="I889" s="12" t="n">
        <v>0.5723</v>
      </c>
      <c r="J889" s="12" t="n">
        <v>0.3778</v>
      </c>
      <c r="K889" s="12" t="n">
        <v>0.5206</v>
      </c>
      <c r="L889" s="3" t="n">
        <v>4</v>
      </c>
      <c r="M889" s="12" t="n">
        <f aca="false">Z889-W889</f>
        <v>-0.00887399999999994</v>
      </c>
      <c r="N889" s="12" t="n">
        <f aca="false">IFERROR((Z889-J889)/L889,"")</f>
        <v>0.0357065</v>
      </c>
      <c r="O889" s="3" t="n">
        <v>13</v>
      </c>
      <c r="P889" s="13" t="b">
        <f aca="false">FALSE()</f>
        <v>0</v>
      </c>
      <c r="Q889" s="3" t="s">
        <v>166</v>
      </c>
      <c r="R889" s="12" t="n">
        <v>0.857</v>
      </c>
      <c r="S889" s="12" t="n">
        <v>0.4277</v>
      </c>
      <c r="T889" s="3" t="n">
        <v>0.1405</v>
      </c>
      <c r="U889" s="12" t="n">
        <v>0.426</v>
      </c>
      <c r="V889" s="12" t="n">
        <v>0.2149</v>
      </c>
      <c r="W889" s="12" t="n">
        <v>0.5295</v>
      </c>
      <c r="X889" s="3" t="n">
        <v>0.5817</v>
      </c>
      <c r="Y889" s="3" t="n">
        <v>0.5748</v>
      </c>
      <c r="Z889" s="14" t="n">
        <f aca="false">Assumptions!$B$3*R889+Assumptions!$B$4*S889+IF(AA889=1,Assumptions!$B$11,Assumptions!$B$5)*X889+IF(AA889=1,Assumptions!$B$12,Assumptions!$B$6)*T889+Assumptions!$B$7*U889+Assumptions!$B$8*V889+Assumptions!$B$9*Y889</f>
        <v>0.520626</v>
      </c>
      <c r="AA889" s="3" t="n">
        <v>0</v>
      </c>
    </row>
    <row r="890" customFormat="false" ht="15" hidden="false" customHeight="false" outlineLevel="0" collapsed="false">
      <c r="A890" s="3" t="s">
        <v>1075</v>
      </c>
      <c r="B890" s="3" t="n">
        <v>325</v>
      </c>
      <c r="C890" s="11" t="str">
        <f aca="false">IF(M890&gt;=Assumptions!$B$17,"S+",IF(M890&gt;=Assumptions!$B$18,"S",IF(M890&gt;=Assumptions!$B$19,"A",IF(M890&gt;=Assumptions!$B$20,"B",IF(M890&gt;=Assumptions!$B$21,"C",IF(M890&gt;=Assumptions!$B$22,"D","F"))))))</f>
        <v>D</v>
      </c>
      <c r="D890" s="3" t="s">
        <v>183</v>
      </c>
      <c r="E890" s="3" t="n">
        <v>1</v>
      </c>
      <c r="F890" s="12" t="n">
        <v>0.6501</v>
      </c>
      <c r="G890" s="12" t="n">
        <v>0.76</v>
      </c>
      <c r="H890" s="12" t="n">
        <v>0.5476</v>
      </c>
      <c r="I890" s="12" t="n">
        <v>0.6761</v>
      </c>
      <c r="J890" s="12" t="n">
        <v>0.2941</v>
      </c>
      <c r="K890" s="12" t="n">
        <v>0.4839</v>
      </c>
      <c r="L890" s="3" t="n">
        <v>5.71</v>
      </c>
      <c r="M890" s="12" t="n">
        <f aca="false">Z890-W890</f>
        <v>-0.008934</v>
      </c>
      <c r="N890" s="12" t="n">
        <f aca="false">IFERROR((Z890-J890)/L890,"")</f>
        <v>0.0332339754816112</v>
      </c>
      <c r="O890" s="3" t="n">
        <v>19</v>
      </c>
      <c r="P890" s="13" t="b">
        <f aca="false">FALSE()</f>
        <v>0</v>
      </c>
      <c r="Q890" s="3" t="s">
        <v>166</v>
      </c>
      <c r="R890" s="12" t="n">
        <v>0.517</v>
      </c>
      <c r="S890" s="12" t="n">
        <v>0.5447</v>
      </c>
      <c r="T890" s="3" t="n">
        <v>0.1317</v>
      </c>
      <c r="U890" s="12" t="n">
        <v>0.4008</v>
      </c>
      <c r="V890" s="12" t="n">
        <v>0.4905</v>
      </c>
      <c r="W890" s="12" t="n">
        <v>0.4928</v>
      </c>
      <c r="X890" s="3" t="n">
        <v>0.4522</v>
      </c>
      <c r="Y890" s="3" t="n">
        <v>0.5991</v>
      </c>
      <c r="Z890" s="14" t="n">
        <f aca="false">Assumptions!$B$3*R890+Assumptions!$B$4*S890+IF(AA890=1,Assumptions!$B$11,Assumptions!$B$5)*X890+IF(AA890=1,Assumptions!$B$12,Assumptions!$B$6)*T890+Assumptions!$B$7*U890+Assumptions!$B$8*V890+Assumptions!$B$9*Y890</f>
        <v>0.483866</v>
      </c>
      <c r="AA890" s="3" t="n">
        <v>1</v>
      </c>
    </row>
    <row r="891" customFormat="false" ht="15" hidden="false" customHeight="false" outlineLevel="0" collapsed="false">
      <c r="A891" s="3" t="s">
        <v>1076</v>
      </c>
      <c r="B891" s="3" t="n">
        <v>468</v>
      </c>
      <c r="C891" s="11" t="str">
        <f aca="false">IF(M891&gt;=Assumptions!$B$17,"S+",IF(M891&gt;=Assumptions!$B$18,"S",IF(M891&gt;=Assumptions!$B$19,"A",IF(M891&gt;=Assumptions!$B$20,"B",IF(M891&gt;=Assumptions!$B$21,"C",IF(M891&gt;=Assumptions!$B$22,"D","F"))))))</f>
        <v>D</v>
      </c>
      <c r="D891" s="3" t="s">
        <v>218</v>
      </c>
      <c r="E891" s="3" t="n">
        <v>3</v>
      </c>
      <c r="F891" s="12" t="n">
        <v>0.9146</v>
      </c>
      <c r="G891" s="12" t="n">
        <v>1</v>
      </c>
      <c r="H891" s="12" t="n">
        <v>0.75</v>
      </c>
      <c r="I891" s="12" t="n">
        <v>0.9227</v>
      </c>
      <c r="J891" s="12" t="n">
        <v>0.3495</v>
      </c>
      <c r="K891" s="12" t="n">
        <v>0.4973</v>
      </c>
      <c r="L891" s="3" t="n">
        <v>4.82</v>
      </c>
      <c r="M891" s="12" t="n">
        <f aca="false">Z891-W891</f>
        <v>-0.00908899999999996</v>
      </c>
      <c r="N891" s="12" t="n">
        <f aca="false">IFERROR((Z891-J891)/L891,"")</f>
        <v>0.0306661825726141</v>
      </c>
      <c r="O891" s="3" t="n">
        <v>17</v>
      </c>
      <c r="P891" s="13" t="b">
        <f aca="false">FALSE()</f>
        <v>0</v>
      </c>
      <c r="Q891" s="3" t="s">
        <v>166</v>
      </c>
      <c r="R891" s="12" t="n">
        <v>0.8397</v>
      </c>
      <c r="S891" s="12" t="n">
        <v>0.3805</v>
      </c>
      <c r="T891" s="3" t="n">
        <v>0.1914</v>
      </c>
      <c r="U891" s="12" t="n">
        <v>0.3348</v>
      </c>
      <c r="V891" s="12" t="n">
        <v>0.4486</v>
      </c>
      <c r="W891" s="12" t="n">
        <v>0.5064</v>
      </c>
      <c r="X891" s="3" t="n">
        <v>0.1855</v>
      </c>
      <c r="Y891" s="3" t="n">
        <v>0.8644</v>
      </c>
      <c r="Z891" s="14" t="n">
        <f aca="false">Assumptions!$B$3*R891+Assumptions!$B$4*S891+IF(AA891=1,Assumptions!$B$11,Assumptions!$B$5)*X891+IF(AA891=1,Assumptions!$B$12,Assumptions!$B$6)*T891+Assumptions!$B$7*U891+Assumptions!$B$8*V891+Assumptions!$B$9*Y891</f>
        <v>0.497311</v>
      </c>
      <c r="AA891" s="3" t="n">
        <v>0</v>
      </c>
    </row>
    <row r="892" customFormat="false" ht="15" hidden="false" customHeight="false" outlineLevel="0" collapsed="false">
      <c r="A892" s="3" t="s">
        <v>1077</v>
      </c>
      <c r="B892" s="3" t="n">
        <v>425</v>
      </c>
      <c r="C892" s="11" t="str">
        <f aca="false">IF(M892&gt;=Assumptions!$B$17,"S+",IF(M892&gt;=Assumptions!$B$18,"S",IF(M892&gt;=Assumptions!$B$19,"A",IF(M892&gt;=Assumptions!$B$20,"B",IF(M892&gt;=Assumptions!$B$21,"C",IF(M892&gt;=Assumptions!$B$22,"D","F"))))))</f>
        <v>D</v>
      </c>
      <c r="D892" s="3" t="s">
        <v>218</v>
      </c>
      <c r="E892" s="3" t="n">
        <v>1</v>
      </c>
      <c r="F892" s="12" t="n">
        <v>0.9092</v>
      </c>
      <c r="G892" s="12" t="n">
        <v>0.4</v>
      </c>
      <c r="H892" s="12" t="n">
        <v>0.75</v>
      </c>
      <c r="I892" s="12" t="n">
        <v>0.633</v>
      </c>
      <c r="J892" s="12" t="n">
        <v>0.3567</v>
      </c>
      <c r="K892" s="12" t="n">
        <v>0.5049</v>
      </c>
      <c r="L892" s="3" t="n">
        <v>3.34</v>
      </c>
      <c r="M892" s="12" t="n">
        <f aca="false">Z892-W892</f>
        <v>-0.00916899999999998</v>
      </c>
      <c r="N892" s="12" t="n">
        <f aca="false">IFERROR((Z892-J892)/L892,"")</f>
        <v>0.0443805389221557</v>
      </c>
      <c r="O892" s="3" t="n">
        <v>19</v>
      </c>
      <c r="P892" s="13" t="b">
        <f aca="false">FALSE()</f>
        <v>0</v>
      </c>
      <c r="Q892" s="3" t="s">
        <v>166</v>
      </c>
      <c r="R892" s="12" t="n">
        <v>0.7678</v>
      </c>
      <c r="S892" s="12" t="n">
        <v>0.29</v>
      </c>
      <c r="T892" s="3" t="n">
        <v>0.7441</v>
      </c>
      <c r="U892" s="12" t="n">
        <v>0.3117</v>
      </c>
      <c r="V892" s="12" t="n">
        <v>0.4905</v>
      </c>
      <c r="W892" s="12" t="n">
        <v>0.5141</v>
      </c>
      <c r="X892" s="3" t="n">
        <v>0.1646</v>
      </c>
      <c r="Y892" s="3" t="n">
        <v>0.6105</v>
      </c>
      <c r="Z892" s="14" t="n">
        <f aca="false">Assumptions!$B$3*R892+Assumptions!$B$4*S892+IF(AA892=1,Assumptions!$B$11,Assumptions!$B$5)*X892+IF(AA892=1,Assumptions!$B$12,Assumptions!$B$6)*T892+Assumptions!$B$7*U892+Assumptions!$B$8*V892+Assumptions!$B$9*Y892</f>
        <v>0.504931</v>
      </c>
      <c r="AA892" s="3" t="n">
        <v>0</v>
      </c>
    </row>
    <row r="893" customFormat="false" ht="15" hidden="false" customHeight="false" outlineLevel="0" collapsed="false">
      <c r="A893" s="3" t="s">
        <v>1078</v>
      </c>
      <c r="B893" s="3" t="n">
        <v>405</v>
      </c>
      <c r="C893" s="11" t="str">
        <f aca="false">IF(M893&gt;=Assumptions!$B$17,"S+",IF(M893&gt;=Assumptions!$B$18,"S",IF(M893&gt;=Assumptions!$B$19,"A",IF(M893&gt;=Assumptions!$B$20,"B",IF(M893&gt;=Assumptions!$B$21,"C",IF(M893&gt;=Assumptions!$B$22,"D","F"))))))</f>
        <v>F</v>
      </c>
      <c r="D893" s="3" t="s">
        <v>197</v>
      </c>
      <c r="E893" s="3" t="n">
        <v>2</v>
      </c>
      <c r="F893" s="12" t="n">
        <v>0.4638</v>
      </c>
      <c r="G893" s="12" t="n">
        <v>1</v>
      </c>
      <c r="H893" s="12" t="n">
        <v>0.75</v>
      </c>
      <c r="I893" s="12" t="n">
        <v>0.7462</v>
      </c>
      <c r="J893" s="12" t="n">
        <v>0.3194</v>
      </c>
      <c r="K893" s="12" t="n">
        <v>0.4892</v>
      </c>
      <c r="L893" s="3" t="n">
        <v>4.75</v>
      </c>
      <c r="M893" s="12" t="n">
        <f aca="false">Z893-W893</f>
        <v>-0.01022</v>
      </c>
      <c r="N893" s="12" t="n">
        <f aca="false">IFERROR((Z893-J893)/L893,"")</f>
        <v>0.0357431578947369</v>
      </c>
      <c r="O893" s="3" t="n">
        <v>18</v>
      </c>
      <c r="P893" s="13" t="b">
        <f aca="false">FALSE()</f>
        <v>0</v>
      </c>
      <c r="Q893" s="3" t="s">
        <v>166</v>
      </c>
      <c r="R893" s="12" t="n">
        <v>0.6609</v>
      </c>
      <c r="S893" s="12" t="n">
        <v>0.5581</v>
      </c>
      <c r="T893" s="3" t="n">
        <v>0.1693</v>
      </c>
      <c r="U893" s="12" t="n">
        <v>0.4957</v>
      </c>
      <c r="V893" s="12" t="n">
        <v>0.4923</v>
      </c>
      <c r="W893" s="12" t="n">
        <v>0.4994</v>
      </c>
      <c r="X893" s="3" t="n">
        <v>0.2567</v>
      </c>
      <c r="Y893" s="3" t="n">
        <v>0.6852</v>
      </c>
      <c r="Z893" s="14" t="n">
        <f aca="false">Assumptions!$B$3*R893+Assumptions!$B$4*S893+IF(AA893=1,Assumptions!$B$11,Assumptions!$B$5)*X893+IF(AA893=1,Assumptions!$B$12,Assumptions!$B$6)*T893+Assumptions!$B$7*U893+Assumptions!$B$8*V893+Assumptions!$B$9*Y893</f>
        <v>0.48918</v>
      </c>
      <c r="AA893" s="3" t="n">
        <v>0</v>
      </c>
    </row>
    <row r="894" customFormat="false" ht="15" hidden="false" customHeight="false" outlineLevel="0" collapsed="false">
      <c r="A894" s="3" t="s">
        <v>1079</v>
      </c>
      <c r="B894" s="3" t="n">
        <v>350</v>
      </c>
      <c r="C894" s="11" t="str">
        <f aca="false">IF(M894&gt;=Assumptions!$B$17,"S+",IF(M894&gt;=Assumptions!$B$18,"S",IF(M894&gt;=Assumptions!$B$19,"A",IF(M894&gt;=Assumptions!$B$20,"B",IF(M894&gt;=Assumptions!$B$21,"C",IF(M894&gt;=Assumptions!$B$22,"D","F"))))))</f>
        <v>F</v>
      </c>
      <c r="D894" s="3" t="s">
        <v>228</v>
      </c>
      <c r="E894" s="3" t="n">
        <v>2</v>
      </c>
      <c r="F894" s="12" t="n">
        <v>0.6649</v>
      </c>
      <c r="G894" s="12" t="n">
        <v>0.4</v>
      </c>
      <c r="H894" s="12" t="n">
        <v>0.75</v>
      </c>
      <c r="I894" s="12" t="n">
        <v>0.5548</v>
      </c>
      <c r="J894" s="12" t="n">
        <v>0.2715</v>
      </c>
      <c r="K894" s="12" t="n">
        <v>0.4491</v>
      </c>
      <c r="L894" s="3" t="n">
        <v>3.56</v>
      </c>
      <c r="M894" s="12" t="n">
        <f aca="false">Z894-W894</f>
        <v>-0.010312</v>
      </c>
      <c r="N894" s="12" t="n">
        <f aca="false">IFERROR((Z894-J894)/L894,"")</f>
        <v>0.0498842696629213</v>
      </c>
      <c r="O894" s="3" t="n">
        <v>18</v>
      </c>
      <c r="P894" s="13" t="b">
        <f aca="false">FALSE()</f>
        <v>0</v>
      </c>
      <c r="Q894" s="3" t="s">
        <v>166</v>
      </c>
      <c r="R894" s="12" t="n">
        <v>0.669</v>
      </c>
      <c r="S894" s="12" t="n">
        <v>0.2642</v>
      </c>
      <c r="T894" s="3" t="n">
        <v>0.3248</v>
      </c>
      <c r="U894" s="12" t="n">
        <v>0.4573</v>
      </c>
      <c r="V894" s="12" t="n">
        <v>0.4458</v>
      </c>
      <c r="W894" s="12" t="n">
        <v>0.4594</v>
      </c>
      <c r="X894" s="3" t="n">
        <v>0.3244</v>
      </c>
      <c r="Y894" s="3" t="n">
        <v>0.4987</v>
      </c>
      <c r="Z894" s="14" t="n">
        <f aca="false">Assumptions!$B$3*R894+Assumptions!$B$4*S894+IF(AA894=1,Assumptions!$B$11,Assumptions!$B$5)*X894+IF(AA894=1,Assumptions!$B$12,Assumptions!$B$6)*T894+Assumptions!$B$7*U894+Assumptions!$B$8*V894+Assumptions!$B$9*Y894</f>
        <v>0.449088</v>
      </c>
      <c r="AA894" s="3" t="n">
        <v>0</v>
      </c>
    </row>
    <row r="895" customFormat="false" ht="15" hidden="false" customHeight="false" outlineLevel="0" collapsed="false">
      <c r="A895" s="3" t="s">
        <v>1080</v>
      </c>
      <c r="B895" s="3" t="n">
        <v>460</v>
      </c>
      <c r="C895" s="11" t="str">
        <f aca="false">IF(M895&gt;=Assumptions!$B$17,"S+",IF(M895&gt;=Assumptions!$B$18,"S",IF(M895&gt;=Assumptions!$B$19,"A",IF(M895&gt;=Assumptions!$B$20,"B",IF(M895&gt;=Assumptions!$B$21,"C",IF(M895&gt;=Assumptions!$B$22,"D","F"))))))</f>
        <v>F</v>
      </c>
      <c r="D895" s="3" t="s">
        <v>218</v>
      </c>
      <c r="E895" s="3" t="n">
        <v>1</v>
      </c>
      <c r="F895" s="12" t="n">
        <v>0.9562</v>
      </c>
      <c r="G895" s="12" t="n">
        <v>1</v>
      </c>
      <c r="H895" s="12" t="n">
        <v>0.75</v>
      </c>
      <c r="I895" s="12" t="n">
        <v>0.936</v>
      </c>
      <c r="J895" s="12" t="n">
        <v>0.3417</v>
      </c>
      <c r="K895" s="12" t="n">
        <v>0.5139</v>
      </c>
      <c r="L895" s="3" t="n">
        <v>4.66</v>
      </c>
      <c r="M895" s="12" t="n">
        <f aca="false">Z895-W895</f>
        <v>-0.010879</v>
      </c>
      <c r="N895" s="12" t="n">
        <f aca="false">IFERROR((Z895-J895)/L895,"")</f>
        <v>0.0369572961373391</v>
      </c>
      <c r="O895" s="3" t="n">
        <v>19</v>
      </c>
      <c r="P895" s="13" t="b">
        <f aca="false">FALSE()</f>
        <v>0</v>
      </c>
      <c r="Q895" s="3" t="s">
        <v>166</v>
      </c>
      <c r="R895" s="12" t="n">
        <v>0.8439</v>
      </c>
      <c r="S895" s="12" t="n">
        <v>0.3743</v>
      </c>
      <c r="T895" s="3" t="n">
        <v>0.3462</v>
      </c>
      <c r="U895" s="12" t="n">
        <v>0.3806</v>
      </c>
      <c r="V895" s="12" t="n">
        <v>0.3946</v>
      </c>
      <c r="W895" s="12" t="n">
        <v>0.5248</v>
      </c>
      <c r="X895" s="3" t="n">
        <v>0.1882</v>
      </c>
      <c r="Y895" s="3" t="n">
        <v>0.8524</v>
      </c>
      <c r="Z895" s="14" t="n">
        <f aca="false">Assumptions!$B$3*R895+Assumptions!$B$4*S895+IF(AA895=1,Assumptions!$B$11,Assumptions!$B$5)*X895+IF(AA895=1,Assumptions!$B$12,Assumptions!$B$6)*T895+Assumptions!$B$7*U895+Assumptions!$B$8*V895+Assumptions!$B$9*Y895</f>
        <v>0.513921</v>
      </c>
      <c r="AA895" s="3" t="n">
        <v>0</v>
      </c>
    </row>
    <row r="896" customFormat="false" ht="15" hidden="false" customHeight="false" outlineLevel="0" collapsed="false">
      <c r="A896" s="3" t="s">
        <v>1081</v>
      </c>
      <c r="B896" s="3" t="n">
        <v>355</v>
      </c>
      <c r="C896" s="11" t="str">
        <f aca="false">IF(M896&gt;=Assumptions!$B$17,"S+",IF(M896&gt;=Assumptions!$B$18,"S",IF(M896&gt;=Assumptions!$B$19,"A",IF(M896&gt;=Assumptions!$B$20,"B",IF(M896&gt;=Assumptions!$B$21,"C",IF(M896&gt;=Assumptions!$B$22,"D","F"))))))</f>
        <v>F</v>
      </c>
      <c r="D896" s="3" t="s">
        <v>186</v>
      </c>
      <c r="E896" s="3" t="n">
        <v>4</v>
      </c>
      <c r="F896" s="12" t="n">
        <v>0.4773</v>
      </c>
      <c r="G896" s="12" t="n">
        <v>1</v>
      </c>
      <c r="H896" s="12" t="n">
        <v>0.75</v>
      </c>
      <c r="I896" s="12" t="n">
        <v>0.8559</v>
      </c>
      <c r="J896" s="12" t="n">
        <v>0.2924</v>
      </c>
      <c r="K896" s="12" t="n">
        <v>0.47</v>
      </c>
      <c r="L896" s="3" t="n">
        <v>6</v>
      </c>
      <c r="M896" s="12" t="n">
        <f aca="false">Z896-W896</f>
        <v>-0.0110479999999999</v>
      </c>
      <c r="N896" s="12" t="n">
        <f aca="false">IFERROR((Z896-J896)/L896,"")</f>
        <v>0.029592</v>
      </c>
      <c r="O896" s="3" t="n">
        <v>16</v>
      </c>
      <c r="P896" s="13" t="b">
        <f aca="false">FALSE()</f>
        <v>0</v>
      </c>
      <c r="Q896" s="3" t="s">
        <v>166</v>
      </c>
      <c r="R896" s="12" t="n">
        <v>0.6352</v>
      </c>
      <c r="S896" s="12" t="n">
        <v>0.4722</v>
      </c>
      <c r="T896" s="3" t="n">
        <v>0.0131</v>
      </c>
      <c r="U896" s="12" t="n">
        <v>0.4567</v>
      </c>
      <c r="V896" s="12" t="n">
        <v>0.3716</v>
      </c>
      <c r="W896" s="12" t="n">
        <v>0.481</v>
      </c>
      <c r="X896" s="3" t="n">
        <v>0.3045</v>
      </c>
      <c r="Y896" s="3" t="n">
        <v>0.7382</v>
      </c>
      <c r="Z896" s="14" t="n">
        <f aca="false">Assumptions!$B$3*R896+Assumptions!$B$4*S896+IF(AA896=1,Assumptions!$B$11,Assumptions!$B$5)*X896+IF(AA896=1,Assumptions!$B$12,Assumptions!$B$6)*T896+Assumptions!$B$7*U896+Assumptions!$B$8*V896+Assumptions!$B$9*Y896</f>
        <v>0.469952</v>
      </c>
      <c r="AA896" s="3" t="n">
        <v>1</v>
      </c>
    </row>
    <row r="897" customFormat="false" ht="15" hidden="false" customHeight="false" outlineLevel="0" collapsed="false">
      <c r="A897" s="3" t="s">
        <v>1082</v>
      </c>
      <c r="B897" s="3" t="n">
        <v>350</v>
      </c>
      <c r="C897" s="11" t="str">
        <f aca="false">IF(M897&gt;=Assumptions!$B$17,"S+",IF(M897&gt;=Assumptions!$B$18,"S",IF(M897&gt;=Assumptions!$B$19,"A",IF(M897&gt;=Assumptions!$B$20,"B",IF(M897&gt;=Assumptions!$B$21,"C",IF(M897&gt;=Assumptions!$B$22,"D","F"))))))</f>
        <v>F</v>
      </c>
      <c r="D897" s="3" t="s">
        <v>186</v>
      </c>
      <c r="E897" s="3" t="n">
        <v>4</v>
      </c>
      <c r="F897" s="12" t="n">
        <v>0.4625</v>
      </c>
      <c r="G897" s="12" t="n">
        <v>0.85</v>
      </c>
      <c r="H897" s="12" t="n">
        <v>0.75</v>
      </c>
      <c r="I897" s="12" t="n">
        <v>0.7602</v>
      </c>
      <c r="J897" s="12" t="n">
        <v>0.208</v>
      </c>
      <c r="K897" s="12" t="n">
        <v>0.4344</v>
      </c>
      <c r="L897" s="3" t="n">
        <v>5.97</v>
      </c>
      <c r="M897" s="12" t="n">
        <f aca="false">Z897-W897</f>
        <v>-0.0115</v>
      </c>
      <c r="N897" s="12" t="n">
        <f aca="false">IFERROR((Z897-J897)/L897,"")</f>
        <v>0.0379229480737019</v>
      </c>
      <c r="O897" s="3" t="n">
        <v>16</v>
      </c>
      <c r="P897" s="13" t="b">
        <f aca="false">FALSE()</f>
        <v>0</v>
      </c>
      <c r="Q897" s="3" t="s">
        <v>166</v>
      </c>
      <c r="R897" s="12" t="n">
        <v>0.62</v>
      </c>
      <c r="S897" s="12" t="n">
        <v>0.3296</v>
      </c>
      <c r="T897" s="3" t="n">
        <v>0.0645</v>
      </c>
      <c r="U897" s="12" t="n">
        <v>0.3461</v>
      </c>
      <c r="V897" s="12" t="n">
        <v>0.3408</v>
      </c>
      <c r="W897" s="12" t="n">
        <v>0.4459</v>
      </c>
      <c r="X897" s="3" t="n">
        <v>0.3143</v>
      </c>
      <c r="Y897" s="3" t="n">
        <v>0.7365</v>
      </c>
      <c r="Z897" s="14" t="n">
        <f aca="false">Assumptions!$B$3*R897+Assumptions!$B$4*S897+IF(AA897=1,Assumptions!$B$11,Assumptions!$B$5)*X897+IF(AA897=1,Assumptions!$B$12,Assumptions!$B$6)*T897+Assumptions!$B$7*U897+Assumptions!$B$8*V897+Assumptions!$B$9*Y897</f>
        <v>0.4344</v>
      </c>
      <c r="AA897" s="3" t="n">
        <v>1</v>
      </c>
    </row>
    <row r="898" customFormat="false" ht="15" hidden="false" customHeight="false" outlineLevel="0" collapsed="false">
      <c r="A898" s="3" t="s">
        <v>1083</v>
      </c>
      <c r="B898" s="3" t="n">
        <v>520</v>
      </c>
      <c r="C898" s="11" t="str">
        <f aca="false">IF(M898&gt;=Assumptions!$B$17,"S+",IF(M898&gt;=Assumptions!$B$18,"S",IF(M898&gt;=Assumptions!$B$19,"A",IF(M898&gt;=Assumptions!$B$20,"B",IF(M898&gt;=Assumptions!$B$21,"C",IF(M898&gt;=Assumptions!$B$22,"D","F"))))))</f>
        <v>F</v>
      </c>
      <c r="D898" s="3" t="s">
        <v>218</v>
      </c>
      <c r="E898" s="3" t="n">
        <v>9</v>
      </c>
      <c r="F898" s="12" t="n">
        <v>0.7024</v>
      </c>
      <c r="G898" s="12" t="n">
        <v>0.4</v>
      </c>
      <c r="H898" s="12" t="n">
        <v>0.75</v>
      </c>
      <c r="I898" s="12" t="n">
        <v>0.5668</v>
      </c>
      <c r="J898" s="12" t="n">
        <v>0.3052</v>
      </c>
      <c r="K898" s="12" t="n">
        <v>0.4988</v>
      </c>
      <c r="L898" s="3" t="n">
        <v>4</v>
      </c>
      <c r="M898" s="12" t="n">
        <f aca="false">Z898-W898</f>
        <v>-0.011828</v>
      </c>
      <c r="N898" s="12" t="n">
        <f aca="false">IFERROR((Z898-J898)/L898,"")</f>
        <v>0.048393</v>
      </c>
      <c r="O898" s="3" t="n">
        <v>11</v>
      </c>
      <c r="P898" s="13" t="b">
        <f aca="false">FALSE()</f>
        <v>0</v>
      </c>
      <c r="Q898" s="3" t="s">
        <v>166</v>
      </c>
      <c r="R898" s="12" t="n">
        <v>0.7171</v>
      </c>
      <c r="S898" s="12" t="n">
        <v>0.5069</v>
      </c>
      <c r="T898" s="3" t="n">
        <v>0.2216</v>
      </c>
      <c r="U898" s="12" t="n">
        <v>0.3077</v>
      </c>
      <c r="V898" s="12" t="n">
        <v>0.5311</v>
      </c>
      <c r="W898" s="12" t="n">
        <v>0.5106</v>
      </c>
      <c r="X898" s="3" t="n">
        <v>0.3978</v>
      </c>
      <c r="Y898" s="3" t="n">
        <v>0.5686</v>
      </c>
      <c r="Z898" s="14" t="n">
        <f aca="false">Assumptions!$B$3*R898+Assumptions!$B$4*S898+IF(AA898=1,Assumptions!$B$11,Assumptions!$B$5)*X898+IF(AA898=1,Assumptions!$B$12,Assumptions!$B$6)*T898+Assumptions!$B$7*U898+Assumptions!$B$8*V898+Assumptions!$B$9*Y898</f>
        <v>0.498772</v>
      </c>
      <c r="AA898" s="3" t="n">
        <v>0</v>
      </c>
    </row>
    <row r="899" customFormat="false" ht="15" hidden="false" customHeight="false" outlineLevel="0" collapsed="false">
      <c r="A899" s="3" t="s">
        <v>1084</v>
      </c>
      <c r="B899" s="3" t="n">
        <v>405</v>
      </c>
      <c r="C899" s="11" t="str">
        <f aca="false">IF(M899&gt;=Assumptions!$B$17,"S+",IF(M899&gt;=Assumptions!$B$18,"S",IF(M899&gt;=Assumptions!$B$19,"A",IF(M899&gt;=Assumptions!$B$20,"B",IF(M899&gt;=Assumptions!$B$21,"C",IF(M899&gt;=Assumptions!$B$22,"D","F"))))))</f>
        <v>F</v>
      </c>
      <c r="D899" s="3" t="s">
        <v>253</v>
      </c>
      <c r="E899" s="3" t="n">
        <v>3</v>
      </c>
      <c r="F899" s="12" t="n">
        <v>0.9406</v>
      </c>
      <c r="G899" s="12" t="n">
        <v>0.6</v>
      </c>
      <c r="H899" s="12" t="n">
        <v>0.75</v>
      </c>
      <c r="I899" s="12" t="n">
        <v>0.739</v>
      </c>
      <c r="J899" s="12" t="n">
        <v>0.3651</v>
      </c>
      <c r="K899" s="12" t="n">
        <v>0.5183</v>
      </c>
      <c r="L899" s="3" t="n">
        <v>3.79</v>
      </c>
      <c r="M899" s="12" t="n">
        <f aca="false">Z899-W899</f>
        <v>-0.012425</v>
      </c>
      <c r="N899" s="12" t="n">
        <f aca="false">IFERROR((Z899-J899)/L899,"")</f>
        <v>0.0404155672823219</v>
      </c>
      <c r="O899" s="3" t="n">
        <v>17</v>
      </c>
      <c r="P899" s="13" t="b">
        <f aca="false">FALSE()</f>
        <v>0</v>
      </c>
      <c r="Q899" s="3" t="s">
        <v>166</v>
      </c>
      <c r="R899" s="12" t="n">
        <v>0.7003</v>
      </c>
      <c r="S899" s="12" t="n">
        <v>0.3662</v>
      </c>
      <c r="T899" s="3" t="n">
        <v>0.4309</v>
      </c>
      <c r="U899" s="12" t="n">
        <v>0.4661</v>
      </c>
      <c r="V899" s="12" t="n">
        <v>0.5251</v>
      </c>
      <c r="W899" s="12" t="n">
        <v>0.5307</v>
      </c>
      <c r="X899" s="3" t="n">
        <v>0.3268</v>
      </c>
      <c r="Y899" s="3" t="n">
        <v>0.729</v>
      </c>
      <c r="Z899" s="14" t="n">
        <f aca="false">Assumptions!$B$3*R899+Assumptions!$B$4*S899+IF(AA899=1,Assumptions!$B$11,Assumptions!$B$5)*X899+IF(AA899=1,Assumptions!$B$12,Assumptions!$B$6)*T899+Assumptions!$B$7*U899+Assumptions!$B$8*V899+Assumptions!$B$9*Y899</f>
        <v>0.518275</v>
      </c>
      <c r="AA899" s="3" t="n">
        <v>0</v>
      </c>
    </row>
    <row r="900" customFormat="false" ht="15" hidden="false" customHeight="false" outlineLevel="0" collapsed="false">
      <c r="A900" s="3" t="s">
        <v>1085</v>
      </c>
      <c r="B900" s="3" t="n">
        <v>405</v>
      </c>
      <c r="C900" s="11" t="str">
        <f aca="false">IF(M900&gt;=Assumptions!$B$17,"S+",IF(M900&gt;=Assumptions!$B$18,"S",IF(M900&gt;=Assumptions!$B$19,"A",IF(M900&gt;=Assumptions!$B$20,"B",IF(M900&gt;=Assumptions!$B$21,"C",IF(M900&gt;=Assumptions!$B$22,"D","F"))))))</f>
        <v>F</v>
      </c>
      <c r="D900" s="3" t="s">
        <v>197</v>
      </c>
      <c r="E900" s="3" t="n">
        <v>2</v>
      </c>
      <c r="F900" s="12" t="n">
        <v>0.8013</v>
      </c>
      <c r="G900" s="12" t="n">
        <v>0.6</v>
      </c>
      <c r="H900" s="12" t="n">
        <v>0.75</v>
      </c>
      <c r="I900" s="12" t="n">
        <v>0.7065</v>
      </c>
      <c r="J900" s="12" t="n">
        <v>0.3496</v>
      </c>
      <c r="K900" s="12" t="n">
        <v>0.4866</v>
      </c>
      <c r="L900" s="3" t="n">
        <v>3.89</v>
      </c>
      <c r="M900" s="12" t="n">
        <f aca="false">Z900-W900</f>
        <v>-0.012823</v>
      </c>
      <c r="N900" s="12" t="n">
        <f aca="false">IFERROR((Z900-J900)/L900,"")</f>
        <v>0.0352125964010283</v>
      </c>
      <c r="O900" s="3" t="n">
        <v>18</v>
      </c>
      <c r="P900" s="13" t="b">
        <f aca="false">FALSE()</f>
        <v>0</v>
      </c>
      <c r="Q900" s="3" t="s">
        <v>166</v>
      </c>
      <c r="R900" s="12" t="n">
        <v>0.6798</v>
      </c>
      <c r="S900" s="12" t="n">
        <v>0.38</v>
      </c>
      <c r="T900" s="3" t="n">
        <v>0.471</v>
      </c>
      <c r="U900" s="12" t="n">
        <v>0.3803</v>
      </c>
      <c r="V900" s="12" t="n">
        <v>0.4923</v>
      </c>
      <c r="W900" s="12" t="n">
        <v>0.4994</v>
      </c>
      <c r="X900" s="3" t="n">
        <v>0.2261</v>
      </c>
      <c r="Y900" s="3" t="n">
        <v>0.6795</v>
      </c>
      <c r="Z900" s="14" t="n">
        <f aca="false">Assumptions!$B$3*R900+Assumptions!$B$4*S900+IF(AA900=1,Assumptions!$B$11,Assumptions!$B$5)*X900+IF(AA900=1,Assumptions!$B$12,Assumptions!$B$6)*T900+Assumptions!$B$7*U900+Assumptions!$B$8*V900+Assumptions!$B$9*Y900</f>
        <v>0.486577</v>
      </c>
      <c r="AA900" s="3" t="n">
        <v>0</v>
      </c>
    </row>
    <row r="901" customFormat="false" ht="15" hidden="false" customHeight="false" outlineLevel="0" collapsed="false">
      <c r="A901" s="3" t="s">
        <v>1086</v>
      </c>
      <c r="B901" s="3" t="n">
        <v>395</v>
      </c>
      <c r="C901" s="11" t="str">
        <f aca="false">IF(M901&gt;=Assumptions!$B$17,"S+",IF(M901&gt;=Assumptions!$B$18,"S",IF(M901&gt;=Assumptions!$B$19,"A",IF(M901&gt;=Assumptions!$B$20,"B",IF(M901&gt;=Assumptions!$B$21,"C",IF(M901&gt;=Assumptions!$B$22,"D","F"))))))</f>
        <v>F</v>
      </c>
      <c r="D901" s="3" t="s">
        <v>253</v>
      </c>
      <c r="E901" s="3" t="n">
        <v>3</v>
      </c>
      <c r="F901" s="12" t="n">
        <v>0.6902</v>
      </c>
      <c r="G901" s="12" t="n">
        <v>0.8</v>
      </c>
      <c r="H901" s="12" t="n">
        <v>0.75</v>
      </c>
      <c r="I901" s="12" t="n">
        <v>0.7549</v>
      </c>
      <c r="J901" s="12" t="n">
        <v>0.3267</v>
      </c>
      <c r="K901" s="12" t="n">
        <v>0.5116</v>
      </c>
      <c r="L901" s="3" t="n">
        <v>4.82</v>
      </c>
      <c r="M901" s="12" t="n">
        <f aca="false">Z901-W901</f>
        <v>-0.0131560000000001</v>
      </c>
      <c r="N901" s="12" t="n">
        <f aca="false">IFERROR((Z901-J901)/L901,"")</f>
        <v>0.0383701244813278</v>
      </c>
      <c r="O901" s="3" t="n">
        <v>17</v>
      </c>
      <c r="P901" s="13" t="b">
        <f aca="false">FALSE()</f>
        <v>0</v>
      </c>
      <c r="Q901" s="3" t="s">
        <v>166</v>
      </c>
      <c r="R901" s="12" t="n">
        <v>0.7142</v>
      </c>
      <c r="S901" s="12" t="n">
        <v>0.582</v>
      </c>
      <c r="T901" s="3" t="n">
        <v>0.109</v>
      </c>
      <c r="U901" s="12" t="n">
        <v>0.2986</v>
      </c>
      <c r="V901" s="12" t="n">
        <v>0.4584</v>
      </c>
      <c r="W901" s="12" t="n">
        <v>0.5248</v>
      </c>
      <c r="X901" s="3" t="n">
        <v>0.4613</v>
      </c>
      <c r="Y901" s="3" t="n">
        <v>0.7148</v>
      </c>
      <c r="Z901" s="14" t="n">
        <f aca="false">Assumptions!$B$3*R901+Assumptions!$B$4*S901+IF(AA901=1,Assumptions!$B$11,Assumptions!$B$5)*X901+IF(AA901=1,Assumptions!$B$12,Assumptions!$B$6)*T901+Assumptions!$B$7*U901+Assumptions!$B$8*V901+Assumptions!$B$9*Y901</f>
        <v>0.511644</v>
      </c>
      <c r="AA901" s="3" t="n">
        <v>0</v>
      </c>
    </row>
    <row r="902" customFormat="false" ht="15" hidden="false" customHeight="false" outlineLevel="0" collapsed="false">
      <c r="A902" s="3" t="s">
        <v>1087</v>
      </c>
      <c r="B902" s="3" t="n">
        <v>440</v>
      </c>
      <c r="C902" s="11" t="str">
        <f aca="false">IF(M902&gt;=Assumptions!$B$17,"S+",IF(M902&gt;=Assumptions!$B$18,"S",IF(M902&gt;=Assumptions!$B$19,"A",IF(M902&gt;=Assumptions!$B$20,"B",IF(M902&gt;=Assumptions!$B$21,"C",IF(M902&gt;=Assumptions!$B$22,"D","F"))))))</f>
        <v>F</v>
      </c>
      <c r="D902" s="3" t="s">
        <v>218</v>
      </c>
      <c r="E902" s="3" t="n">
        <v>4</v>
      </c>
      <c r="F902" s="12" t="n">
        <v>0.8745</v>
      </c>
      <c r="G902" s="12" t="n">
        <v>0.6</v>
      </c>
      <c r="H902" s="12" t="n">
        <v>0.75</v>
      </c>
      <c r="I902" s="12" t="n">
        <v>0.7178</v>
      </c>
      <c r="J902" s="12" t="n">
        <v>0.3244</v>
      </c>
      <c r="K902" s="12" t="n">
        <v>0.5087</v>
      </c>
      <c r="L902" s="3" t="n">
        <v>3.88</v>
      </c>
      <c r="M902" s="12" t="n">
        <f aca="false">Z902-W902</f>
        <v>-0.013327</v>
      </c>
      <c r="N902" s="12" t="n">
        <f aca="false">IFERROR((Z902-J902)/L902,"")</f>
        <v>0.0474930412371134</v>
      </c>
      <c r="O902" s="3" t="n">
        <v>16</v>
      </c>
      <c r="P902" s="13" t="b">
        <f aca="false">FALSE()</f>
        <v>0</v>
      </c>
      <c r="Q902" s="3" t="s">
        <v>166</v>
      </c>
      <c r="R902" s="12" t="n">
        <v>0.7437</v>
      </c>
      <c r="S902" s="12" t="n">
        <v>0.5679</v>
      </c>
      <c r="T902" s="3" t="n">
        <v>0.1255</v>
      </c>
      <c r="U902" s="12" t="n">
        <v>0.3221</v>
      </c>
      <c r="V902" s="12" t="n">
        <v>0.5234</v>
      </c>
      <c r="W902" s="12" t="n">
        <v>0.522</v>
      </c>
      <c r="X902" s="3" t="n">
        <v>0.3492</v>
      </c>
      <c r="Y902" s="3" t="n">
        <v>0.6941</v>
      </c>
      <c r="Z902" s="14" t="n">
        <f aca="false">Assumptions!$B$3*R902+Assumptions!$B$4*S902+IF(AA902=1,Assumptions!$B$11,Assumptions!$B$5)*X902+IF(AA902=1,Assumptions!$B$12,Assumptions!$B$6)*T902+Assumptions!$B$7*U902+Assumptions!$B$8*V902+Assumptions!$B$9*Y902</f>
        <v>0.508673</v>
      </c>
      <c r="AA902" s="3" t="n">
        <v>0</v>
      </c>
    </row>
    <row r="903" customFormat="false" ht="15" hidden="false" customHeight="false" outlineLevel="0" collapsed="false">
      <c r="A903" s="3" t="s">
        <v>1088</v>
      </c>
      <c r="B903" s="3" t="n">
        <v>400</v>
      </c>
      <c r="C903" s="11" t="str">
        <f aca="false">IF(M903&gt;=Assumptions!$B$17,"S+",IF(M903&gt;=Assumptions!$B$18,"S",IF(M903&gt;=Assumptions!$B$19,"A",IF(M903&gt;=Assumptions!$B$20,"B",IF(M903&gt;=Assumptions!$B$21,"C",IF(M903&gt;=Assumptions!$B$22,"D","F"))))))</f>
        <v>F</v>
      </c>
      <c r="D903" s="3" t="s">
        <v>253</v>
      </c>
      <c r="E903" s="3" t="n">
        <v>1</v>
      </c>
      <c r="F903" s="12" t="n">
        <v>0.8005</v>
      </c>
      <c r="G903" s="12" t="n">
        <v>0.8</v>
      </c>
      <c r="H903" s="12" t="n">
        <v>0.75</v>
      </c>
      <c r="I903" s="12" t="n">
        <v>0.7901</v>
      </c>
      <c r="J903" s="12" t="n">
        <v>0.3063</v>
      </c>
      <c r="K903" s="12" t="n">
        <v>0.5044</v>
      </c>
      <c r="L903" s="3" t="n">
        <v>4.63</v>
      </c>
      <c r="M903" s="12" t="n">
        <f aca="false">Z903-W903</f>
        <v>-0.013562</v>
      </c>
      <c r="N903" s="12" t="n">
        <f aca="false">IFERROR((Z903-J903)/L903,"")</f>
        <v>0.0427727861771058</v>
      </c>
      <c r="O903" s="3" t="n">
        <v>19</v>
      </c>
      <c r="P903" s="13" t="b">
        <f aca="false">FALSE()</f>
        <v>0</v>
      </c>
      <c r="Q903" s="3" t="s">
        <v>166</v>
      </c>
      <c r="R903" s="12" t="n">
        <v>0.7258</v>
      </c>
      <c r="S903" s="12" t="n">
        <v>0.3384</v>
      </c>
      <c r="T903" s="3" t="n">
        <v>0.3579</v>
      </c>
      <c r="U903" s="12" t="n">
        <v>0.4737</v>
      </c>
      <c r="V903" s="12" t="n">
        <v>0.4038</v>
      </c>
      <c r="W903" s="12" t="n">
        <v>0.5179</v>
      </c>
      <c r="X903" s="3" t="n">
        <v>0.3769</v>
      </c>
      <c r="Y903" s="3" t="n">
        <v>0.6983</v>
      </c>
      <c r="Z903" s="14" t="n">
        <f aca="false">Assumptions!$B$3*R903+Assumptions!$B$4*S903+IF(AA903=1,Assumptions!$B$11,Assumptions!$B$5)*X903+IF(AA903=1,Assumptions!$B$12,Assumptions!$B$6)*T903+Assumptions!$B$7*U903+Assumptions!$B$8*V903+Assumptions!$B$9*Y903</f>
        <v>0.504338</v>
      </c>
      <c r="AA903" s="3" t="n">
        <v>0</v>
      </c>
    </row>
    <row r="904" customFormat="false" ht="15" hidden="false" customHeight="false" outlineLevel="0" collapsed="false">
      <c r="A904" s="3" t="s">
        <v>1089</v>
      </c>
      <c r="B904" s="3" t="n">
        <v>340</v>
      </c>
      <c r="C904" s="11" t="str">
        <f aca="false">IF(M904&gt;=Assumptions!$B$17,"S+",IF(M904&gt;=Assumptions!$B$18,"S",IF(M904&gt;=Assumptions!$B$19,"A",IF(M904&gt;=Assumptions!$B$20,"B",IF(M904&gt;=Assumptions!$B$21,"C",IF(M904&gt;=Assumptions!$B$22,"D","F"))))))</f>
        <v>F</v>
      </c>
      <c r="D904" s="3" t="s">
        <v>190</v>
      </c>
      <c r="E904" s="3" t="n">
        <v>2</v>
      </c>
      <c r="F904" s="12" t="n">
        <v>0.4926</v>
      </c>
      <c r="G904" s="12" t="n">
        <v>0.8</v>
      </c>
      <c r="H904" s="12" t="n">
        <v>0.75</v>
      </c>
      <c r="I904" s="12" t="n">
        <v>0.6732</v>
      </c>
      <c r="J904" s="12" t="n">
        <v>0.2959</v>
      </c>
      <c r="K904" s="12" t="n">
        <v>0.446</v>
      </c>
      <c r="L904" s="3" t="n">
        <v>3.78</v>
      </c>
      <c r="M904" s="12" t="n">
        <f aca="false">Z904-W904</f>
        <v>-0.013519</v>
      </c>
      <c r="N904" s="12" t="n">
        <f aca="false">IFERROR((Z904-J904)/L904,"")</f>
        <v>0.0397039682539683</v>
      </c>
      <c r="O904" s="3" t="n">
        <v>18</v>
      </c>
      <c r="P904" s="13" t="b">
        <f aca="false">FALSE()</f>
        <v>0</v>
      </c>
      <c r="Q904" s="3" t="s">
        <v>166</v>
      </c>
      <c r="R904" s="12" t="n">
        <v>0.5727</v>
      </c>
      <c r="S904" s="12" t="n">
        <v>0.2857</v>
      </c>
      <c r="T904" s="3" t="n">
        <v>0.3796</v>
      </c>
      <c r="U904" s="12" t="n">
        <v>0.453</v>
      </c>
      <c r="V904" s="12" t="n">
        <v>0.4286</v>
      </c>
      <c r="W904" s="12" t="n">
        <v>0.4595</v>
      </c>
      <c r="X904" s="3" t="n">
        <v>0.3451</v>
      </c>
      <c r="Y904" s="3" t="n">
        <v>0.6101</v>
      </c>
      <c r="Z904" s="14" t="n">
        <f aca="false">Assumptions!$B$3*R904+Assumptions!$B$4*S904+IF(AA904=1,Assumptions!$B$11,Assumptions!$B$5)*X904+IF(AA904=1,Assumptions!$B$12,Assumptions!$B$6)*T904+Assumptions!$B$7*U904+Assumptions!$B$8*V904+Assumptions!$B$9*Y904</f>
        <v>0.445981</v>
      </c>
      <c r="AA904" s="3" t="n">
        <v>0</v>
      </c>
    </row>
    <row r="905" customFormat="false" ht="15" hidden="false" customHeight="false" outlineLevel="0" collapsed="false">
      <c r="A905" s="3" t="s">
        <v>1090</v>
      </c>
      <c r="B905" s="3" t="n">
        <v>420</v>
      </c>
      <c r="C905" s="11" t="str">
        <f aca="false">IF(M905&gt;=Assumptions!$B$17,"S+",IF(M905&gt;=Assumptions!$B$18,"S",IF(M905&gt;=Assumptions!$B$19,"A",IF(M905&gt;=Assumptions!$B$20,"B",IF(M905&gt;=Assumptions!$B$21,"C",IF(M905&gt;=Assumptions!$B$22,"D","F"))))))</f>
        <v>F</v>
      </c>
      <c r="D905" s="3" t="s">
        <v>228</v>
      </c>
      <c r="E905" s="3" t="n">
        <v>2</v>
      </c>
      <c r="F905" s="12" t="n">
        <v>0.7209</v>
      </c>
      <c r="G905" s="12" t="n">
        <v>0.6</v>
      </c>
      <c r="H905" s="12" t="n">
        <v>0.75</v>
      </c>
      <c r="I905" s="12" t="n">
        <v>0.6687</v>
      </c>
      <c r="J905" s="12" t="n">
        <v>0.3312</v>
      </c>
      <c r="K905" s="12" t="n">
        <v>0.4751</v>
      </c>
      <c r="L905" s="3" t="n">
        <v>4.64</v>
      </c>
      <c r="M905" s="12" t="n">
        <f aca="false">Z905-W905</f>
        <v>-0.0136999999999999</v>
      </c>
      <c r="N905" s="12" t="n">
        <f aca="false">IFERROR((Z905-J905)/L905,"")</f>
        <v>0.0310129310344828</v>
      </c>
      <c r="O905" s="3" t="n">
        <v>18</v>
      </c>
      <c r="P905" s="13" t="b">
        <f aca="false">FALSE()</f>
        <v>0</v>
      </c>
      <c r="Q905" s="3" t="s">
        <v>166</v>
      </c>
      <c r="R905" s="12" t="n">
        <v>0.6646</v>
      </c>
      <c r="S905" s="12" t="n">
        <v>0.3849</v>
      </c>
      <c r="T905" s="3" t="n">
        <v>0.4428</v>
      </c>
      <c r="U905" s="12" t="n">
        <v>0.3547</v>
      </c>
      <c r="V905" s="12" t="n">
        <v>0.4731</v>
      </c>
      <c r="W905" s="12" t="n">
        <v>0.4888</v>
      </c>
      <c r="X905" s="3" t="n">
        <v>0.2567</v>
      </c>
      <c r="Y905" s="3" t="n">
        <v>0.6285</v>
      </c>
      <c r="Z905" s="14" t="n">
        <f aca="false">Assumptions!$B$3*R905+Assumptions!$B$4*S905+IF(AA905=1,Assumptions!$B$11,Assumptions!$B$5)*X905+IF(AA905=1,Assumptions!$B$12,Assumptions!$B$6)*T905+Assumptions!$B$7*U905+Assumptions!$B$8*V905+Assumptions!$B$9*Y905</f>
        <v>0.4751</v>
      </c>
      <c r="AA905" s="3" t="n">
        <v>0</v>
      </c>
    </row>
    <row r="906" customFormat="false" ht="15" hidden="false" customHeight="false" outlineLevel="0" collapsed="false">
      <c r="A906" s="3" t="s">
        <v>1091</v>
      </c>
      <c r="B906" s="3" t="n">
        <v>314</v>
      </c>
      <c r="C906" s="11" t="str">
        <f aca="false">IF(M906&gt;=Assumptions!$B$17,"S+",IF(M906&gt;=Assumptions!$B$18,"S",IF(M906&gt;=Assumptions!$B$19,"A",IF(M906&gt;=Assumptions!$B$20,"B",IF(M906&gt;=Assumptions!$B$21,"C",IF(M906&gt;=Assumptions!$B$22,"D","F"))))))</f>
        <v>F</v>
      </c>
      <c r="D906" s="3" t="s">
        <v>197</v>
      </c>
      <c r="E906" s="3" t="n">
        <v>1</v>
      </c>
      <c r="F906" s="12" t="n">
        <v>0.3744</v>
      </c>
      <c r="G906" s="12" t="n">
        <v>1</v>
      </c>
      <c r="H906" s="12" t="n">
        <v>0.75</v>
      </c>
      <c r="I906" s="12" t="n">
        <v>0.7123</v>
      </c>
      <c r="J906" s="12" t="n">
        <v>0.291</v>
      </c>
      <c r="K906" s="12" t="n">
        <v>0.4759</v>
      </c>
      <c r="L906" s="3" t="n">
        <v>6.58</v>
      </c>
      <c r="M906" s="12" t="n">
        <f aca="false">Z906-W906</f>
        <v>-0.014532</v>
      </c>
      <c r="N906" s="12" t="n">
        <f aca="false">IFERROR((Z906-J906)/L906,"")</f>
        <v>0.0280954407294833</v>
      </c>
      <c r="O906" s="3" t="n">
        <v>19</v>
      </c>
      <c r="P906" s="13" t="b">
        <f aca="false">FALSE()</f>
        <v>0</v>
      </c>
      <c r="Q906" s="3" t="s">
        <v>166</v>
      </c>
      <c r="R906" s="12" t="n">
        <v>0.6806</v>
      </c>
      <c r="S906" s="12" t="n">
        <v>0.4043</v>
      </c>
      <c r="T906" s="3" t="n">
        <v>0.1836</v>
      </c>
      <c r="U906" s="12" t="n">
        <v>0.4818</v>
      </c>
      <c r="V906" s="12" t="n">
        <v>0.4905</v>
      </c>
      <c r="W906" s="12" t="n">
        <v>0.4904</v>
      </c>
      <c r="X906" s="3" t="n">
        <v>0.261</v>
      </c>
      <c r="Y906" s="3" t="n">
        <v>0.7234</v>
      </c>
      <c r="Z906" s="14" t="n">
        <f aca="false">Assumptions!$B$3*R906+Assumptions!$B$4*S906+IF(AA906=1,Assumptions!$B$11,Assumptions!$B$5)*X906+IF(AA906=1,Assumptions!$B$12,Assumptions!$B$6)*T906+Assumptions!$B$7*U906+Assumptions!$B$8*V906+Assumptions!$B$9*Y906</f>
        <v>0.475868</v>
      </c>
      <c r="AA906" s="3" t="n">
        <v>0</v>
      </c>
    </row>
    <row r="907" customFormat="false" ht="15" hidden="false" customHeight="false" outlineLevel="0" collapsed="false">
      <c r="A907" s="3" t="s">
        <v>1092</v>
      </c>
      <c r="B907" s="3" t="n">
        <v>358</v>
      </c>
      <c r="C907" s="11" t="str">
        <f aca="false">IF(M907&gt;=Assumptions!$B$17,"S+",IF(M907&gt;=Assumptions!$B$18,"S",IF(M907&gt;=Assumptions!$B$19,"A",IF(M907&gt;=Assumptions!$B$20,"B",IF(M907&gt;=Assumptions!$B$21,"C",IF(M907&gt;=Assumptions!$B$22,"D","F"))))))</f>
        <v>F</v>
      </c>
      <c r="D907" s="3" t="s">
        <v>190</v>
      </c>
      <c r="E907" s="3" t="n">
        <v>7</v>
      </c>
      <c r="F907" s="12" t="n">
        <v>0.6357</v>
      </c>
      <c r="G907" s="12" t="n">
        <v>0.6</v>
      </c>
      <c r="H907" s="12" t="n">
        <v>0.75</v>
      </c>
      <c r="I907" s="12" t="n">
        <v>0.6436</v>
      </c>
      <c r="J907" s="12" t="n">
        <v>0.3268</v>
      </c>
      <c r="K907" s="12" t="n">
        <v>0.4552</v>
      </c>
      <c r="L907" s="3" t="n">
        <v>4</v>
      </c>
      <c r="M907" s="12" t="n">
        <f aca="false">Z907-W907</f>
        <v>-0.015522</v>
      </c>
      <c r="N907" s="12" t="n">
        <f aca="false">IFERROR((Z907-J907)/L907,"")</f>
        <v>0.0320945</v>
      </c>
      <c r="O907" s="3" t="n">
        <v>13</v>
      </c>
      <c r="P907" s="13" t="b">
        <f aca="false">FALSE()</f>
        <v>0</v>
      </c>
      <c r="Q907" s="3" t="s">
        <v>166</v>
      </c>
      <c r="R907" s="12" t="n">
        <v>0.7091</v>
      </c>
      <c r="S907" s="12" t="n">
        <v>0.2845</v>
      </c>
      <c r="T907" s="3" t="n">
        <v>0.1967</v>
      </c>
      <c r="U907" s="12" t="n">
        <v>0.4911</v>
      </c>
      <c r="V907" s="12" t="n">
        <v>0.4969</v>
      </c>
      <c r="W907" s="12" t="n">
        <v>0.4707</v>
      </c>
      <c r="X907" s="3" t="n">
        <v>0.2309</v>
      </c>
      <c r="Y907" s="3" t="n">
        <v>0.6382</v>
      </c>
      <c r="Z907" s="14" t="n">
        <f aca="false">Assumptions!$B$3*R907+Assumptions!$B$4*S907+IF(AA907=1,Assumptions!$B$11,Assumptions!$B$5)*X907+IF(AA907=1,Assumptions!$B$12,Assumptions!$B$6)*T907+Assumptions!$B$7*U907+Assumptions!$B$8*V907+Assumptions!$B$9*Y907</f>
        <v>0.455178</v>
      </c>
      <c r="AA907" s="3" t="n">
        <v>0</v>
      </c>
    </row>
    <row r="908" customFormat="false" ht="15" hidden="false" customHeight="false" outlineLevel="0" collapsed="false">
      <c r="A908" s="3" t="s">
        <v>1093</v>
      </c>
      <c r="B908" s="3" t="n">
        <v>452</v>
      </c>
      <c r="C908" s="11" t="str">
        <f aca="false">IF(M908&gt;=Assumptions!$B$17,"S+",IF(M908&gt;=Assumptions!$B$18,"S",IF(M908&gt;=Assumptions!$B$19,"A",IF(M908&gt;=Assumptions!$B$20,"B",IF(M908&gt;=Assumptions!$B$21,"C",IF(M908&gt;=Assumptions!$B$22,"D","F"))))))</f>
        <v>F</v>
      </c>
      <c r="D908" s="3" t="s">
        <v>253</v>
      </c>
      <c r="E908" s="3" t="n">
        <v>3</v>
      </c>
      <c r="F908" s="12" t="n">
        <v>0.6151</v>
      </c>
      <c r="G908" s="12" t="n">
        <v>0.4</v>
      </c>
      <c r="H908" s="12" t="n">
        <v>0.75</v>
      </c>
      <c r="I908" s="12" t="n">
        <v>0.5388</v>
      </c>
      <c r="J908" s="12" t="n">
        <v>0.3096</v>
      </c>
      <c r="K908" s="12" t="n">
        <v>0.5089</v>
      </c>
      <c r="L908" s="3" t="n">
        <v>3.59</v>
      </c>
      <c r="M908" s="12" t="n">
        <f aca="false">Z908-W908</f>
        <v>-0.015938</v>
      </c>
      <c r="N908" s="12" t="n">
        <f aca="false">IFERROR((Z908-J908)/L908,"")</f>
        <v>0.0555047353760446</v>
      </c>
      <c r="O908" s="3" t="n">
        <v>17</v>
      </c>
      <c r="P908" s="13" t="b">
        <f aca="false">FALSE()</f>
        <v>0</v>
      </c>
      <c r="Q908" s="3" t="s">
        <v>166</v>
      </c>
      <c r="R908" s="12" t="n">
        <v>0.6786</v>
      </c>
      <c r="S908" s="12" t="n">
        <v>0.6147</v>
      </c>
      <c r="T908" s="3" t="n">
        <v>0.1376</v>
      </c>
      <c r="U908" s="12" t="n">
        <v>0.3529</v>
      </c>
      <c r="V908" s="12" t="n">
        <v>0.5607</v>
      </c>
      <c r="W908" s="12" t="n">
        <v>0.5248</v>
      </c>
      <c r="X908" s="3" t="n">
        <v>0.4902</v>
      </c>
      <c r="Y908" s="3" t="n">
        <v>0.4831</v>
      </c>
      <c r="Z908" s="14" t="n">
        <f aca="false">Assumptions!$B$3*R908+Assumptions!$B$4*S908+IF(AA908=1,Assumptions!$B$11,Assumptions!$B$5)*X908+IF(AA908=1,Assumptions!$B$12,Assumptions!$B$6)*T908+Assumptions!$B$7*U908+Assumptions!$B$8*V908+Assumptions!$B$9*Y908</f>
        <v>0.508862</v>
      </c>
      <c r="AA908" s="3" t="n">
        <v>0</v>
      </c>
    </row>
    <row r="909" customFormat="false" ht="15" hidden="false" customHeight="false" outlineLevel="0" collapsed="false">
      <c r="A909" s="3" t="s">
        <v>1094</v>
      </c>
      <c r="B909" s="3" t="n">
        <v>297</v>
      </c>
      <c r="C909" s="11" t="str">
        <f aca="false">IF(M909&gt;=Assumptions!$B$17,"S+",IF(M909&gt;=Assumptions!$B$18,"S",IF(M909&gt;=Assumptions!$B$19,"A",IF(M909&gt;=Assumptions!$B$20,"B",IF(M909&gt;=Assumptions!$B$21,"C",IF(M909&gt;=Assumptions!$B$22,"D","F"))))))</f>
        <v>F</v>
      </c>
      <c r="D909" s="3" t="s">
        <v>218</v>
      </c>
      <c r="E909" s="3" t="n">
        <v>3</v>
      </c>
      <c r="F909" s="12" t="n">
        <v>0.2268</v>
      </c>
      <c r="G909" s="12" t="n">
        <v>1</v>
      </c>
      <c r="H909" s="12" t="n">
        <v>0.75</v>
      </c>
      <c r="I909" s="12" t="n">
        <v>0.7026</v>
      </c>
      <c r="J909" s="12" t="n">
        <v>0.2773</v>
      </c>
      <c r="K909" s="12" t="n">
        <v>0.4958</v>
      </c>
      <c r="L909" s="3" t="n">
        <v>5.65</v>
      </c>
      <c r="M909" s="12" t="n">
        <f aca="false">Z909-W909</f>
        <v>-0.016529</v>
      </c>
      <c r="N909" s="12" t="n">
        <f aca="false">IFERROR((Z909-J909)/L909,"")</f>
        <v>0.0386674336283186</v>
      </c>
      <c r="O909" s="3" t="n">
        <v>17</v>
      </c>
      <c r="P909" s="13" t="b">
        <f aca="false">FALSE()</f>
        <v>0</v>
      </c>
      <c r="Q909" s="3" t="s">
        <v>166</v>
      </c>
      <c r="R909" s="12" t="n">
        <v>0.5997</v>
      </c>
      <c r="S909" s="12" t="n">
        <v>0.383</v>
      </c>
      <c r="T909" s="3" t="n">
        <v>0.239</v>
      </c>
      <c r="U909" s="12" t="n">
        <v>0.4344</v>
      </c>
      <c r="V909" s="12" t="n">
        <v>0.5953</v>
      </c>
      <c r="W909" s="12" t="n">
        <v>0.5123</v>
      </c>
      <c r="X909" s="3" t="n">
        <v>0.5241</v>
      </c>
      <c r="Y909" s="3" t="n">
        <v>0.6094</v>
      </c>
      <c r="Z909" s="14" t="n">
        <f aca="false">Assumptions!$B$3*R909+Assumptions!$B$4*S909+IF(AA909=1,Assumptions!$B$11,Assumptions!$B$5)*X909+IF(AA909=1,Assumptions!$B$12,Assumptions!$B$6)*T909+Assumptions!$B$7*U909+Assumptions!$B$8*V909+Assumptions!$B$9*Y909</f>
        <v>0.495771</v>
      </c>
      <c r="AA909" s="3" t="n">
        <v>0</v>
      </c>
    </row>
    <row r="910" customFormat="false" ht="15" hidden="false" customHeight="false" outlineLevel="0" collapsed="false">
      <c r="A910" s="3" t="s">
        <v>1095</v>
      </c>
      <c r="B910" s="3" t="n">
        <v>348</v>
      </c>
      <c r="C910" s="11" t="str">
        <f aca="false">IF(M910&gt;=Assumptions!$B$17,"S+",IF(M910&gt;=Assumptions!$B$18,"S",IF(M910&gt;=Assumptions!$B$19,"A",IF(M910&gt;=Assumptions!$B$20,"B",IF(M910&gt;=Assumptions!$B$21,"C",IF(M910&gt;=Assumptions!$B$22,"D","F"))))))</f>
        <v>F</v>
      </c>
      <c r="D910" s="3" t="s">
        <v>190</v>
      </c>
      <c r="E910" s="3" t="n">
        <v>1</v>
      </c>
      <c r="F910" s="12" t="n">
        <v>0.473</v>
      </c>
      <c r="G910" s="12" t="n">
        <v>1</v>
      </c>
      <c r="H910" s="12" t="n">
        <v>0.75</v>
      </c>
      <c r="I910" s="12" t="n">
        <v>0.7497</v>
      </c>
      <c r="J910" s="12" t="n">
        <v>0.2863</v>
      </c>
      <c r="K910" s="12" t="n">
        <v>0.4771</v>
      </c>
      <c r="L910" s="3" t="n">
        <v>6.63</v>
      </c>
      <c r="M910" s="12" t="n">
        <f aca="false">Z910-W910</f>
        <v>-0.0166930000000001</v>
      </c>
      <c r="N910" s="12" t="n">
        <f aca="false">IFERROR((Z910-J910)/L910,"")</f>
        <v>0.0287793363499246</v>
      </c>
      <c r="O910" s="3" t="n">
        <v>19</v>
      </c>
      <c r="P910" s="13" t="b">
        <f aca="false">FALSE()</f>
        <v>0</v>
      </c>
      <c r="Q910" s="3" t="s">
        <v>166</v>
      </c>
      <c r="R910" s="12" t="n">
        <v>0.7863</v>
      </c>
      <c r="S910" s="12" t="n">
        <v>0.3842</v>
      </c>
      <c r="T910" s="3" t="n">
        <v>0.2119</v>
      </c>
      <c r="U910" s="12" t="n">
        <v>0.3684</v>
      </c>
      <c r="V910" s="12" t="n">
        <v>0.4259</v>
      </c>
      <c r="W910" s="12" t="n">
        <v>0.4938</v>
      </c>
      <c r="X910" s="3" t="n">
        <v>0.1907</v>
      </c>
      <c r="Y910" s="3" t="n">
        <v>0.7541</v>
      </c>
      <c r="Z910" s="14" t="n">
        <f aca="false">Assumptions!$B$3*R910+Assumptions!$B$4*S910+IF(AA910=1,Assumptions!$B$11,Assumptions!$B$5)*X910+IF(AA910=1,Assumptions!$B$12,Assumptions!$B$6)*T910+Assumptions!$B$7*U910+Assumptions!$B$8*V910+Assumptions!$B$9*Y910</f>
        <v>0.477107</v>
      </c>
      <c r="AA910" s="3" t="n">
        <v>0</v>
      </c>
    </row>
    <row r="911" customFormat="false" ht="15" hidden="false" customHeight="false" outlineLevel="0" collapsed="false">
      <c r="A911" s="3" t="s">
        <v>1096</v>
      </c>
      <c r="B911" s="3" t="n">
        <v>265</v>
      </c>
      <c r="C911" s="11" t="str">
        <f aca="false">IF(M911&gt;=Assumptions!$B$17,"S+",IF(M911&gt;=Assumptions!$B$18,"S",IF(M911&gt;=Assumptions!$B$19,"A",IF(M911&gt;=Assumptions!$B$20,"B",IF(M911&gt;=Assumptions!$B$21,"C",IF(M911&gt;=Assumptions!$B$22,"D","F"))))))</f>
        <v>F</v>
      </c>
      <c r="D911" s="3" t="s">
        <v>180</v>
      </c>
      <c r="E911" s="3" t="n">
        <v>1</v>
      </c>
      <c r="F911" s="12" t="n">
        <v>0.4231</v>
      </c>
      <c r="G911" s="12" t="n">
        <v>1</v>
      </c>
      <c r="H911" s="12" t="n">
        <v>0.4722</v>
      </c>
      <c r="I911" s="12" t="n">
        <v>0.7791</v>
      </c>
      <c r="J911" s="12" t="n">
        <v>0.2876</v>
      </c>
      <c r="K911" s="12" t="n">
        <v>0.4723</v>
      </c>
      <c r="L911" s="3" t="n">
        <v>6.45</v>
      </c>
      <c r="M911" s="12" t="n">
        <f aca="false">Z911-W911</f>
        <v>-0.016774</v>
      </c>
      <c r="N911" s="12" t="n">
        <f aca="false">IFERROR((Z911-J911)/L911,"")</f>
        <v>0.0286396899224806</v>
      </c>
      <c r="O911" s="3" t="n">
        <v>19</v>
      </c>
      <c r="P911" s="13" t="b">
        <f aca="false">FALSE()</f>
        <v>0</v>
      </c>
      <c r="Q911" s="3" t="s">
        <v>166</v>
      </c>
      <c r="R911" s="12" t="n">
        <v>0.4907</v>
      </c>
      <c r="S911" s="12" t="n">
        <v>0.389</v>
      </c>
      <c r="T911" s="3" t="n">
        <v>0.1151</v>
      </c>
      <c r="U911" s="12" t="n">
        <v>0.3886</v>
      </c>
      <c r="V911" s="12" t="n">
        <v>0.4722</v>
      </c>
      <c r="W911" s="12" t="n">
        <v>0.4891</v>
      </c>
      <c r="X911" s="3" t="n">
        <v>0.4847</v>
      </c>
      <c r="Y911" s="3" t="n">
        <v>0.7466</v>
      </c>
      <c r="Z911" s="14" t="n">
        <f aca="false">Assumptions!$B$3*R911+Assumptions!$B$4*S911+IF(AA911=1,Assumptions!$B$11,Assumptions!$B$5)*X911+IF(AA911=1,Assumptions!$B$12,Assumptions!$B$6)*T911+Assumptions!$B$7*U911+Assumptions!$B$8*V911+Assumptions!$B$9*Y911</f>
        <v>0.472326</v>
      </c>
      <c r="AA911" s="3" t="n">
        <v>1</v>
      </c>
    </row>
    <row r="912" customFormat="false" ht="15" hidden="false" customHeight="false" outlineLevel="0" collapsed="false">
      <c r="A912" s="3" t="s">
        <v>1097</v>
      </c>
      <c r="B912" s="3" t="n">
        <v>325</v>
      </c>
      <c r="C912" s="11" t="str">
        <f aca="false">IF(M912&gt;=Assumptions!$B$17,"S+",IF(M912&gt;=Assumptions!$B$18,"S",IF(M912&gt;=Assumptions!$B$19,"A",IF(M912&gt;=Assumptions!$B$20,"B",IF(M912&gt;=Assumptions!$B$21,"C",IF(M912&gt;=Assumptions!$B$22,"D","F"))))))</f>
        <v>F</v>
      </c>
      <c r="D912" s="3" t="s">
        <v>218</v>
      </c>
      <c r="E912" s="3" t="n">
        <v>3</v>
      </c>
      <c r="F912" s="12" t="n">
        <v>0.3513</v>
      </c>
      <c r="G912" s="12" t="n">
        <v>1</v>
      </c>
      <c r="H912" s="12" t="n">
        <v>0.75</v>
      </c>
      <c r="I912" s="12" t="n">
        <v>0.7424</v>
      </c>
      <c r="J912" s="12" t="n">
        <v>0.2733</v>
      </c>
      <c r="K912" s="12" t="n">
        <v>0.5031</v>
      </c>
      <c r="L912" s="3" t="n">
        <v>6.47</v>
      </c>
      <c r="M912" s="12" t="n">
        <f aca="false">Z912-W912</f>
        <v>-0.0167780000000001</v>
      </c>
      <c r="N912" s="12" t="n">
        <f aca="false">IFERROR((Z912-J912)/L912,"")</f>
        <v>0.0355211746522411</v>
      </c>
      <c r="O912" s="3" t="n">
        <v>17</v>
      </c>
      <c r="P912" s="13" t="b">
        <f aca="false">FALSE()</f>
        <v>0</v>
      </c>
      <c r="Q912" s="3" t="s">
        <v>166</v>
      </c>
      <c r="R912" s="12" t="n">
        <v>0.6073</v>
      </c>
      <c r="S912" s="12" t="n">
        <v>0.4258</v>
      </c>
      <c r="T912" s="3" t="n">
        <v>0.1682</v>
      </c>
      <c r="U912" s="12" t="n">
        <v>0.4027</v>
      </c>
      <c r="V912" s="12" t="n">
        <v>0.4584</v>
      </c>
      <c r="W912" s="12" t="n">
        <v>0.5199</v>
      </c>
      <c r="X912" s="3" t="n">
        <v>0.6151</v>
      </c>
      <c r="Y912" s="3" t="n">
        <v>0.7206</v>
      </c>
      <c r="Z912" s="14" t="n">
        <f aca="false">Assumptions!$B$3*R912+Assumptions!$B$4*S912+IF(AA912=1,Assumptions!$B$11,Assumptions!$B$5)*X912+IF(AA912=1,Assumptions!$B$12,Assumptions!$B$6)*T912+Assumptions!$B$7*U912+Assumptions!$B$8*V912+Assumptions!$B$9*Y912</f>
        <v>0.503122</v>
      </c>
      <c r="AA912" s="3" t="n">
        <v>0</v>
      </c>
    </row>
    <row r="913" customFormat="false" ht="15" hidden="false" customHeight="false" outlineLevel="0" collapsed="false">
      <c r="A913" s="3" t="s">
        <v>1098</v>
      </c>
      <c r="B913" s="3" t="n">
        <v>401</v>
      </c>
      <c r="C913" s="11" t="str">
        <f aca="false">IF(M913&gt;=Assumptions!$B$17,"S+",IF(M913&gt;=Assumptions!$B$18,"S",IF(M913&gt;=Assumptions!$B$19,"A",IF(M913&gt;=Assumptions!$B$20,"B",IF(M913&gt;=Assumptions!$B$21,"C",IF(M913&gt;=Assumptions!$B$22,"D","F"))))))</f>
        <v>F</v>
      </c>
      <c r="D913" s="3" t="s">
        <v>218</v>
      </c>
      <c r="E913" s="3" t="n">
        <v>4</v>
      </c>
      <c r="F913" s="12" t="n">
        <v>0.9046</v>
      </c>
      <c r="G913" s="12" t="n">
        <v>0.6</v>
      </c>
      <c r="H913" s="12" t="n">
        <v>0.75</v>
      </c>
      <c r="I913" s="12" t="n">
        <v>0.7275</v>
      </c>
      <c r="J913" s="12" t="n">
        <v>0.3171</v>
      </c>
      <c r="K913" s="12" t="n">
        <v>0.5021</v>
      </c>
      <c r="L913" s="3" t="n">
        <v>5.88</v>
      </c>
      <c r="M913" s="12" t="n">
        <f aca="false">Z913-W913</f>
        <v>-0.016736</v>
      </c>
      <c r="N913" s="12" t="n">
        <f aca="false">IFERROR((Z913-J913)/L913,"")</f>
        <v>0.031456462585034</v>
      </c>
      <c r="O913" s="3" t="n">
        <v>16</v>
      </c>
      <c r="P913" s="13" t="b">
        <f aca="false">FALSE()</f>
        <v>0</v>
      </c>
      <c r="Q913" s="3" t="s">
        <v>166</v>
      </c>
      <c r="R913" s="12" t="n">
        <v>0.8838</v>
      </c>
      <c r="S913" s="12" t="n">
        <v>0.2231</v>
      </c>
      <c r="T913" s="3" t="n">
        <v>0.281</v>
      </c>
      <c r="U913" s="12" t="n">
        <v>0.5337</v>
      </c>
      <c r="V913" s="12" t="n">
        <v>0.4605</v>
      </c>
      <c r="W913" s="12" t="n">
        <v>0.5188</v>
      </c>
      <c r="X913" s="3" t="n">
        <v>0.1766</v>
      </c>
      <c r="Y913" s="3" t="n">
        <v>0.7281</v>
      </c>
      <c r="Z913" s="14" t="n">
        <f aca="false">Assumptions!$B$3*R913+Assumptions!$B$4*S913+IF(AA913=1,Assumptions!$B$11,Assumptions!$B$5)*X913+IF(AA913=1,Assumptions!$B$12,Assumptions!$B$6)*T913+Assumptions!$B$7*U913+Assumptions!$B$8*V913+Assumptions!$B$9*Y913</f>
        <v>0.502064</v>
      </c>
      <c r="AA913" s="3" t="n">
        <v>0</v>
      </c>
    </row>
    <row r="914" customFormat="false" ht="15" hidden="false" customHeight="false" outlineLevel="0" collapsed="false">
      <c r="A914" s="3" t="s">
        <v>1099</v>
      </c>
      <c r="B914" s="3" t="n">
        <v>405</v>
      </c>
      <c r="C914" s="11" t="str">
        <f aca="false">IF(M914&gt;=Assumptions!$B$17,"S+",IF(M914&gt;=Assumptions!$B$18,"S",IF(M914&gt;=Assumptions!$B$19,"A",IF(M914&gt;=Assumptions!$B$20,"B",IF(M914&gt;=Assumptions!$B$21,"C",IF(M914&gt;=Assumptions!$B$22,"D","F"))))))</f>
        <v>F</v>
      </c>
      <c r="D914" s="3" t="s">
        <v>197</v>
      </c>
      <c r="E914" s="3" t="n">
        <v>2</v>
      </c>
      <c r="F914" s="12" t="n">
        <v>0.6865</v>
      </c>
      <c r="G914" s="12" t="n">
        <v>0.6</v>
      </c>
      <c r="H914" s="12" t="n">
        <v>0.75</v>
      </c>
      <c r="I914" s="12" t="n">
        <v>0.6629</v>
      </c>
      <c r="J914" s="12" t="n">
        <v>0.3355</v>
      </c>
      <c r="K914" s="12" t="n">
        <v>0.4828</v>
      </c>
      <c r="L914" s="3" t="n">
        <v>3.78</v>
      </c>
      <c r="M914" s="12" t="n">
        <f aca="false">Z914-W914</f>
        <v>-0.017022</v>
      </c>
      <c r="N914" s="12" t="n">
        <f aca="false">IFERROR((Z914-J914)/L914,"")</f>
        <v>0.0389624338624339</v>
      </c>
      <c r="O914" s="3" t="n">
        <v>18</v>
      </c>
      <c r="P914" s="13" t="b">
        <f aca="false">FALSE()</f>
        <v>0</v>
      </c>
      <c r="Q914" s="3" t="s">
        <v>166</v>
      </c>
      <c r="R914" s="12" t="n">
        <v>0.7951</v>
      </c>
      <c r="S914" s="12" t="n">
        <v>0.3041</v>
      </c>
      <c r="T914" s="3" t="n">
        <v>0.4105</v>
      </c>
      <c r="U914" s="12" t="n">
        <v>0.4017</v>
      </c>
      <c r="V914" s="12" t="n">
        <v>0.4559</v>
      </c>
      <c r="W914" s="12" t="n">
        <v>0.4998</v>
      </c>
      <c r="X914" s="3" t="n">
        <v>0.1638</v>
      </c>
      <c r="Y914" s="3" t="n">
        <v>0.6465</v>
      </c>
      <c r="Z914" s="14" t="n">
        <f aca="false">Assumptions!$B$3*R914+Assumptions!$B$4*S914+IF(AA914=1,Assumptions!$B$11,Assumptions!$B$5)*X914+IF(AA914=1,Assumptions!$B$12,Assumptions!$B$6)*T914+Assumptions!$B$7*U914+Assumptions!$B$8*V914+Assumptions!$B$9*Y914</f>
        <v>0.482778</v>
      </c>
      <c r="AA914" s="3" t="n">
        <v>0</v>
      </c>
    </row>
    <row r="915" customFormat="false" ht="15" hidden="false" customHeight="false" outlineLevel="0" collapsed="false">
      <c r="A915" s="3" t="s">
        <v>1100</v>
      </c>
      <c r="B915" s="3" t="n">
        <v>355</v>
      </c>
      <c r="C915" s="11" t="str">
        <f aca="false">IF(M915&gt;=Assumptions!$B$17,"S+",IF(M915&gt;=Assumptions!$B$18,"S",IF(M915&gt;=Assumptions!$B$19,"A",IF(M915&gt;=Assumptions!$B$20,"B",IF(M915&gt;=Assumptions!$B$21,"C",IF(M915&gt;=Assumptions!$B$22,"D","F"))))))</f>
        <v>F</v>
      </c>
      <c r="D915" s="3" t="s">
        <v>190</v>
      </c>
      <c r="E915" s="3" t="n">
        <v>4</v>
      </c>
      <c r="F915" s="12" t="n">
        <v>0.57</v>
      </c>
      <c r="G915" s="12" t="n">
        <v>1</v>
      </c>
      <c r="H915" s="12" t="n">
        <v>0.75</v>
      </c>
      <c r="I915" s="12" t="n">
        <v>0.7866</v>
      </c>
      <c r="J915" s="12" t="n">
        <v>0.2258</v>
      </c>
      <c r="K915" s="12" t="n">
        <v>0.4685</v>
      </c>
      <c r="L915" s="3" t="n">
        <v>6.88</v>
      </c>
      <c r="M915" s="12" t="n">
        <f aca="false">Z915-W915</f>
        <v>-0.017313</v>
      </c>
      <c r="N915" s="12" t="n">
        <f aca="false">IFERROR((Z915-J915)/L915,"")</f>
        <v>0.035274273255814</v>
      </c>
      <c r="O915" s="3" t="n">
        <v>16</v>
      </c>
      <c r="P915" s="13" t="b">
        <f aca="false">FALSE()</f>
        <v>0</v>
      </c>
      <c r="Q915" s="3" t="s">
        <v>166</v>
      </c>
      <c r="R915" s="12" t="n">
        <v>0.6721</v>
      </c>
      <c r="S915" s="12" t="n">
        <v>0.2301</v>
      </c>
      <c r="T915" s="3" t="n">
        <v>0.1724</v>
      </c>
      <c r="U915" s="12" t="n">
        <v>0.6731</v>
      </c>
      <c r="V915" s="12" t="n">
        <v>0.3716</v>
      </c>
      <c r="W915" s="12" t="n">
        <v>0.4858</v>
      </c>
      <c r="X915" s="3" t="n">
        <v>0.3467</v>
      </c>
      <c r="Y915" s="3" t="n">
        <v>0.7488</v>
      </c>
      <c r="Z915" s="14" t="n">
        <f aca="false">Assumptions!$B$3*R915+Assumptions!$B$4*S915+IF(AA915=1,Assumptions!$B$11,Assumptions!$B$5)*X915+IF(AA915=1,Assumptions!$B$12,Assumptions!$B$6)*T915+Assumptions!$B$7*U915+Assumptions!$B$8*V915+Assumptions!$B$9*Y915</f>
        <v>0.468487</v>
      </c>
      <c r="AA915" s="3" t="n">
        <v>0</v>
      </c>
    </row>
    <row r="916" customFormat="false" ht="15" hidden="false" customHeight="false" outlineLevel="0" collapsed="false">
      <c r="A916" s="3" t="s">
        <v>1101</v>
      </c>
      <c r="B916" s="3" t="n">
        <v>470</v>
      </c>
      <c r="C916" s="11" t="str">
        <f aca="false">IF(M916&gt;=Assumptions!$B$17,"S+",IF(M916&gt;=Assumptions!$B$18,"S",IF(M916&gt;=Assumptions!$B$19,"A",IF(M916&gt;=Assumptions!$B$20,"B",IF(M916&gt;=Assumptions!$B$21,"C",IF(M916&gt;=Assumptions!$B$22,"D","F"))))))</f>
        <v>F</v>
      </c>
      <c r="D916" s="3" t="s">
        <v>218</v>
      </c>
      <c r="E916" s="3" t="n">
        <v>1</v>
      </c>
      <c r="F916" s="12" t="n">
        <v>0.7541</v>
      </c>
      <c r="G916" s="12" t="n">
        <v>0.6</v>
      </c>
      <c r="H916" s="12" t="n">
        <v>0.75</v>
      </c>
      <c r="I916" s="12" t="n">
        <v>0.6793</v>
      </c>
      <c r="J916" s="12" t="n">
        <v>0.3464</v>
      </c>
      <c r="K916" s="12" t="n">
        <v>0.4951</v>
      </c>
      <c r="L916" s="3" t="n">
        <v>3.58</v>
      </c>
      <c r="M916" s="12" t="n">
        <f aca="false">Z916-W916</f>
        <v>-0.0174629999999999</v>
      </c>
      <c r="N916" s="12" t="n">
        <f aca="false">IFERROR((Z916-J916)/L916,"")</f>
        <v>0.0415187150837989</v>
      </c>
      <c r="O916" s="3" t="n">
        <v>19</v>
      </c>
      <c r="P916" s="13" t="b">
        <f aca="false">FALSE()</f>
        <v>0</v>
      </c>
      <c r="Q916" s="3" t="s">
        <v>166</v>
      </c>
      <c r="R916" s="12" t="n">
        <v>0.7351</v>
      </c>
      <c r="S916" s="12" t="n">
        <v>0.4985</v>
      </c>
      <c r="T916" s="3" t="n">
        <v>0.3701</v>
      </c>
      <c r="U916" s="12" t="n">
        <v>0.2955</v>
      </c>
      <c r="V916" s="12" t="n">
        <v>0.421</v>
      </c>
      <c r="W916" s="12" t="n">
        <v>0.5125</v>
      </c>
      <c r="X916" s="3" t="n">
        <v>0.3009</v>
      </c>
      <c r="Y916" s="3" t="n">
        <v>0.6072</v>
      </c>
      <c r="Z916" s="14" t="n">
        <f aca="false">Assumptions!$B$3*R916+Assumptions!$B$4*S916+IF(AA916=1,Assumptions!$B$11,Assumptions!$B$5)*X916+IF(AA916=1,Assumptions!$B$12,Assumptions!$B$6)*T916+Assumptions!$B$7*U916+Assumptions!$B$8*V916+Assumptions!$B$9*Y916</f>
        <v>0.495037</v>
      </c>
      <c r="AA916" s="3" t="n">
        <v>0</v>
      </c>
    </row>
    <row r="917" customFormat="false" ht="15" hidden="false" customHeight="false" outlineLevel="0" collapsed="false">
      <c r="A917" s="3" t="s">
        <v>1102</v>
      </c>
      <c r="B917" s="3" t="n">
        <v>315</v>
      </c>
      <c r="C917" s="11" t="str">
        <f aca="false">IF(M917&gt;=Assumptions!$B$17,"S+",IF(M917&gt;=Assumptions!$B$18,"S",IF(M917&gt;=Assumptions!$B$19,"A",IF(M917&gt;=Assumptions!$B$20,"B",IF(M917&gt;=Assumptions!$B$21,"C",IF(M917&gt;=Assumptions!$B$22,"D","F"))))))</f>
        <v>F</v>
      </c>
      <c r="D917" s="3" t="s">
        <v>175</v>
      </c>
      <c r="E917" s="3" t="n">
        <v>3</v>
      </c>
      <c r="F917" s="12" t="n">
        <v>0.5997</v>
      </c>
      <c r="G917" s="12" t="n">
        <v>0.45</v>
      </c>
      <c r="H917" s="12" t="n">
        <v>0.75</v>
      </c>
      <c r="I917" s="12" t="n">
        <v>0.5325</v>
      </c>
      <c r="J917" s="12" t="n">
        <v>0.2888</v>
      </c>
      <c r="K917" s="12" t="n">
        <v>0.3965</v>
      </c>
      <c r="L917" s="3" t="n">
        <v>5.65</v>
      </c>
      <c r="M917" s="12" t="n">
        <f aca="false">Z917-W917</f>
        <v>-0.017466</v>
      </c>
      <c r="N917" s="12" t="n">
        <f aca="false">IFERROR((Z917-J917)/L917,"")</f>
        <v>0.0190502654867257</v>
      </c>
      <c r="O917" s="3" t="n">
        <v>17</v>
      </c>
      <c r="P917" s="13" t="b">
        <f aca="false">FALSE()</f>
        <v>0</v>
      </c>
      <c r="Q917" s="3" t="s">
        <v>166</v>
      </c>
      <c r="R917" s="12" t="n">
        <v>0.6206</v>
      </c>
      <c r="S917" s="12" t="n">
        <v>0.3595</v>
      </c>
      <c r="T917" s="3" t="n">
        <v>0.1535</v>
      </c>
      <c r="U917" s="12" t="n">
        <v>0.276</v>
      </c>
      <c r="V917" s="12" t="n">
        <v>0.4739</v>
      </c>
      <c r="W917" s="12" t="n">
        <v>0.4139</v>
      </c>
      <c r="X917" s="3" t="n">
        <v>0.2124</v>
      </c>
      <c r="Y917" s="3" t="n">
        <v>0.4902</v>
      </c>
      <c r="Z917" s="14" t="n">
        <f aca="false">Assumptions!$B$3*R917+Assumptions!$B$4*S917+IF(AA917=1,Assumptions!$B$11,Assumptions!$B$5)*X917+IF(AA917=1,Assumptions!$B$12,Assumptions!$B$6)*T917+Assumptions!$B$7*U917+Assumptions!$B$8*V917+Assumptions!$B$9*Y917</f>
        <v>0.396434</v>
      </c>
      <c r="AA917" s="3" t="n">
        <v>0</v>
      </c>
    </row>
    <row r="918" customFormat="false" ht="15" hidden="false" customHeight="false" outlineLevel="0" collapsed="false">
      <c r="A918" s="3" t="s">
        <v>1103</v>
      </c>
      <c r="B918" s="3" t="n">
        <v>413</v>
      </c>
      <c r="C918" s="11" t="str">
        <f aca="false">IF(M918&gt;=Assumptions!$B$17,"S+",IF(M918&gt;=Assumptions!$B$18,"S",IF(M918&gt;=Assumptions!$B$19,"A",IF(M918&gt;=Assumptions!$B$20,"B",IF(M918&gt;=Assumptions!$B$21,"C",IF(M918&gt;=Assumptions!$B$22,"D","F"))))))</f>
        <v>F</v>
      </c>
      <c r="D918" s="3" t="s">
        <v>183</v>
      </c>
      <c r="E918" s="3" t="n">
        <v>1</v>
      </c>
      <c r="F918" s="12" t="n">
        <v>0.6892</v>
      </c>
      <c r="G918" s="12" t="n">
        <v>0.76</v>
      </c>
      <c r="H918" s="12" t="n">
        <v>0.4246</v>
      </c>
      <c r="I918" s="12" t="n">
        <v>0.6563</v>
      </c>
      <c r="J918" s="12" t="n">
        <v>0.2999</v>
      </c>
      <c r="K918" s="12" t="n">
        <v>0.4877</v>
      </c>
      <c r="L918" s="3" t="n">
        <v>3.63</v>
      </c>
      <c r="M918" s="12" t="n">
        <f aca="false">Z918-W918</f>
        <v>-0.017541</v>
      </c>
      <c r="N918" s="12" t="n">
        <f aca="false">IFERROR((Z918-J918)/L918,"")</f>
        <v>0.0517517906336088</v>
      </c>
      <c r="O918" s="3" t="n">
        <v>19</v>
      </c>
      <c r="P918" s="13" t="b">
        <f aca="false">FALSE()</f>
        <v>0</v>
      </c>
      <c r="Q918" s="3" t="s">
        <v>201</v>
      </c>
      <c r="R918" s="12" t="n">
        <v>0.6368</v>
      </c>
      <c r="S918" s="12" t="n">
        <v>0.5215</v>
      </c>
      <c r="T918" s="3" t="n">
        <v>0.3552</v>
      </c>
      <c r="U918" s="12" t="n">
        <v>0.3644</v>
      </c>
      <c r="V918" s="12" t="n">
        <v>0.3528</v>
      </c>
      <c r="W918" s="12" t="n">
        <v>0.5053</v>
      </c>
      <c r="X918" s="3" t="n">
        <v>0.3855</v>
      </c>
      <c r="Y918" s="3" t="n">
        <v>0.6199</v>
      </c>
      <c r="Z918" s="14" t="n">
        <f aca="false">Assumptions!$B$3*R918+Assumptions!$B$4*S918+IF(AA918=1,Assumptions!$B$11,Assumptions!$B$5)*X918+IF(AA918=1,Assumptions!$B$12,Assumptions!$B$6)*T918+Assumptions!$B$7*U918+Assumptions!$B$8*V918+Assumptions!$B$9*Y918</f>
        <v>0.487759</v>
      </c>
      <c r="AA918" s="3" t="n">
        <v>1</v>
      </c>
    </row>
    <row r="919" customFormat="false" ht="15" hidden="false" customHeight="false" outlineLevel="0" collapsed="false">
      <c r="A919" s="3" t="s">
        <v>1104</v>
      </c>
      <c r="B919" s="3" t="n">
        <v>500</v>
      </c>
      <c r="C919" s="11" t="str">
        <f aca="false">IF(M919&gt;=Assumptions!$B$17,"S+",IF(M919&gt;=Assumptions!$B$18,"S",IF(M919&gt;=Assumptions!$B$19,"A",IF(M919&gt;=Assumptions!$B$20,"B",IF(M919&gt;=Assumptions!$B$21,"C",IF(M919&gt;=Assumptions!$B$22,"D","F"))))))</f>
        <v>F</v>
      </c>
      <c r="D919" s="3" t="s">
        <v>253</v>
      </c>
      <c r="E919" s="3" t="n">
        <v>9</v>
      </c>
      <c r="F919" s="12" t="n">
        <v>0.5483</v>
      </c>
      <c r="G919" s="12" t="n">
        <v>0.4</v>
      </c>
      <c r="H919" s="12" t="n">
        <v>0.75</v>
      </c>
      <c r="I919" s="12" t="n">
        <v>0.5175</v>
      </c>
      <c r="J919" s="12" t="n">
        <v>0.3381</v>
      </c>
      <c r="K919" s="12" t="n">
        <v>0.5177</v>
      </c>
      <c r="L919" s="3" t="n">
        <v>4</v>
      </c>
      <c r="M919" s="12" t="n">
        <f aca="false">Z919-W919</f>
        <v>-0.0176040000000001</v>
      </c>
      <c r="N919" s="12" t="n">
        <f aca="false">IFERROR((Z919-J919)/L919,"")</f>
        <v>0.044899</v>
      </c>
      <c r="O919" s="3" t="n">
        <v>11</v>
      </c>
      <c r="P919" s="13" t="b">
        <f aca="false">FALSE()</f>
        <v>0</v>
      </c>
      <c r="Q919" s="3" t="s">
        <v>166</v>
      </c>
      <c r="R919" s="12" t="n">
        <v>0.6232</v>
      </c>
      <c r="S919" s="12" t="n">
        <v>0.5368</v>
      </c>
      <c r="T919" s="3" t="n">
        <v>0.1318</v>
      </c>
      <c r="U919" s="12" t="n">
        <v>0.3846</v>
      </c>
      <c r="V919" s="12" t="n">
        <v>0.4188</v>
      </c>
      <c r="W919" s="12" t="n">
        <v>0.5353</v>
      </c>
      <c r="X919" s="3" t="n">
        <v>0.766</v>
      </c>
      <c r="Y919" s="3" t="n">
        <v>0.5224</v>
      </c>
      <c r="Z919" s="14" t="n">
        <f aca="false">Assumptions!$B$3*R919+Assumptions!$B$4*S919+IF(AA919=1,Assumptions!$B$11,Assumptions!$B$5)*X919+IF(AA919=1,Assumptions!$B$12,Assumptions!$B$6)*T919+Assumptions!$B$7*U919+Assumptions!$B$8*V919+Assumptions!$B$9*Y919</f>
        <v>0.517696</v>
      </c>
      <c r="AA919" s="3" t="n">
        <v>0</v>
      </c>
    </row>
    <row r="920" customFormat="false" ht="15" hidden="false" customHeight="false" outlineLevel="0" collapsed="false">
      <c r="A920" s="3" t="s">
        <v>1105</v>
      </c>
      <c r="B920" s="3" t="n">
        <v>320</v>
      </c>
      <c r="C920" s="11" t="str">
        <f aca="false">IF(M920&gt;=Assumptions!$B$17,"S+",IF(M920&gt;=Assumptions!$B$18,"S",IF(M920&gt;=Assumptions!$B$19,"A",IF(M920&gt;=Assumptions!$B$20,"B",IF(M920&gt;=Assumptions!$B$21,"C",IF(M920&gt;=Assumptions!$B$22,"D","F"))))))</f>
        <v>F</v>
      </c>
      <c r="D920" s="3" t="s">
        <v>253</v>
      </c>
      <c r="E920" s="3" t="n">
        <v>1</v>
      </c>
      <c r="F920" s="12" t="n">
        <v>0.6314</v>
      </c>
      <c r="G920" s="12" t="n">
        <v>0.4</v>
      </c>
      <c r="H920" s="12" t="n">
        <v>0.75</v>
      </c>
      <c r="I920" s="12" t="n">
        <v>0.544</v>
      </c>
      <c r="J920" s="12" t="n">
        <v>0.3394</v>
      </c>
      <c r="K920" s="12" t="n">
        <v>0.4604</v>
      </c>
      <c r="L920" s="3" t="n">
        <v>5.74</v>
      </c>
      <c r="M920" s="12" t="n">
        <f aca="false">Z920-W920</f>
        <v>-0.018327</v>
      </c>
      <c r="N920" s="12" t="n">
        <f aca="false">IFERROR((Z920-J920)/L920,"")</f>
        <v>0.0210754355400697</v>
      </c>
      <c r="O920" s="3" t="n">
        <v>19</v>
      </c>
      <c r="P920" s="13" t="b">
        <f aca="false">FALSE()</f>
        <v>0</v>
      </c>
      <c r="Q920" s="3" t="s">
        <v>166</v>
      </c>
      <c r="R920" s="12" t="n">
        <v>0.6435</v>
      </c>
      <c r="S920" s="12" t="n">
        <v>0.5049</v>
      </c>
      <c r="T920" s="3" t="n">
        <v>0.0611</v>
      </c>
      <c r="U920" s="12" t="n">
        <v>0.3806</v>
      </c>
      <c r="V920" s="12" t="n">
        <v>0.5364</v>
      </c>
      <c r="W920" s="12" t="n">
        <v>0.4787</v>
      </c>
      <c r="X920" s="3" t="n">
        <v>0.3777</v>
      </c>
      <c r="Y920" s="3" t="n">
        <v>0.525</v>
      </c>
      <c r="Z920" s="14" t="n">
        <f aca="false">Assumptions!$B$3*R920+Assumptions!$B$4*S920+IF(AA920=1,Assumptions!$B$11,Assumptions!$B$5)*X920+IF(AA920=1,Assumptions!$B$12,Assumptions!$B$6)*T920+Assumptions!$B$7*U920+Assumptions!$B$8*V920+Assumptions!$B$9*Y920</f>
        <v>0.460373</v>
      </c>
      <c r="AA920" s="3" t="n">
        <v>0</v>
      </c>
    </row>
    <row r="921" customFormat="false" ht="15" hidden="false" customHeight="false" outlineLevel="0" collapsed="false">
      <c r="A921" s="3" t="s">
        <v>1106</v>
      </c>
      <c r="B921" s="3" t="n">
        <v>405</v>
      </c>
      <c r="C921" s="11" t="str">
        <f aca="false">IF(M921&gt;=Assumptions!$B$17,"S+",IF(M921&gt;=Assumptions!$B$18,"S",IF(M921&gt;=Assumptions!$B$19,"A",IF(M921&gt;=Assumptions!$B$20,"B",IF(M921&gt;=Assumptions!$B$21,"C",IF(M921&gt;=Assumptions!$B$22,"D","F"))))))</f>
        <v>F</v>
      </c>
      <c r="D921" s="3" t="s">
        <v>218</v>
      </c>
      <c r="E921" s="3" t="n">
        <v>2</v>
      </c>
      <c r="F921" s="12" t="n">
        <v>0.7096</v>
      </c>
      <c r="G921" s="12" t="n">
        <v>0.4</v>
      </c>
      <c r="H921" s="12" t="n">
        <v>0.75</v>
      </c>
      <c r="I921" s="12" t="n">
        <v>0.5691</v>
      </c>
      <c r="J921" s="12" t="n">
        <v>0.3282</v>
      </c>
      <c r="K921" s="12" t="n">
        <v>0.4908</v>
      </c>
      <c r="L921" s="3" t="n">
        <v>3.83</v>
      </c>
      <c r="M921" s="12" t="n">
        <f aca="false">Z921-W921</f>
        <v>-0.01836</v>
      </c>
      <c r="N921" s="12" t="n">
        <f aca="false">IFERROR((Z921-J921)/L921,"")</f>
        <v>0.0424647519582245</v>
      </c>
      <c r="O921" s="3" t="n">
        <v>18</v>
      </c>
      <c r="P921" s="13" t="b">
        <f aca="false">FALSE()</f>
        <v>0</v>
      </c>
      <c r="Q921" s="3" t="s">
        <v>166</v>
      </c>
      <c r="R921" s="12" t="n">
        <v>0.646</v>
      </c>
      <c r="S921" s="12" t="n">
        <v>0.5366</v>
      </c>
      <c r="T921" s="3" t="n">
        <v>0.0798</v>
      </c>
      <c r="U921" s="12" t="n">
        <v>0.3846</v>
      </c>
      <c r="V921" s="12" t="n">
        <v>0.4458</v>
      </c>
      <c r="W921" s="12" t="n">
        <v>0.5092</v>
      </c>
      <c r="X921" s="3" t="n">
        <v>0.5711</v>
      </c>
      <c r="Y921" s="3" t="n">
        <v>0.5394</v>
      </c>
      <c r="Z921" s="14" t="n">
        <f aca="false">Assumptions!$B$3*R921+Assumptions!$B$4*S921+IF(AA921=1,Assumptions!$B$11,Assumptions!$B$5)*X921+IF(AA921=1,Assumptions!$B$12,Assumptions!$B$6)*T921+Assumptions!$B$7*U921+Assumptions!$B$8*V921+Assumptions!$B$9*Y921</f>
        <v>0.49084</v>
      </c>
      <c r="AA921" s="3" t="n">
        <v>0</v>
      </c>
    </row>
    <row r="922" customFormat="false" ht="15" hidden="false" customHeight="false" outlineLevel="0" collapsed="false">
      <c r="A922" s="3" t="s">
        <v>1107</v>
      </c>
      <c r="B922" s="3" t="n">
        <v>325</v>
      </c>
      <c r="C922" s="11" t="str">
        <f aca="false">IF(M922&gt;=Assumptions!$B$17,"S+",IF(M922&gt;=Assumptions!$B$18,"S",IF(M922&gt;=Assumptions!$B$19,"A",IF(M922&gt;=Assumptions!$B$20,"B",IF(M922&gt;=Assumptions!$B$21,"C",IF(M922&gt;=Assumptions!$B$22,"D","F"))))))</f>
        <v>F</v>
      </c>
      <c r="D922" s="3" t="s">
        <v>253</v>
      </c>
      <c r="E922" s="3" t="n">
        <v>1</v>
      </c>
      <c r="F922" s="12" t="n">
        <v>0.8294</v>
      </c>
      <c r="G922" s="12" t="n">
        <v>0.8</v>
      </c>
      <c r="H922" s="12" t="n">
        <v>0.75</v>
      </c>
      <c r="I922" s="12" t="n">
        <v>0.7994</v>
      </c>
      <c r="J922" s="12" t="n">
        <v>0.3185</v>
      </c>
      <c r="K922" s="12" t="n">
        <v>0.4774</v>
      </c>
      <c r="L922" s="3" t="n">
        <v>4.55</v>
      </c>
      <c r="M922" s="12" t="n">
        <f aca="false">Z922-W922</f>
        <v>-0.018483</v>
      </c>
      <c r="N922" s="12" t="n">
        <f aca="false">IFERROR((Z922-J922)/L922,"")</f>
        <v>0.0349268131868132</v>
      </c>
      <c r="O922" s="3" t="n">
        <v>19</v>
      </c>
      <c r="P922" s="13" t="b">
        <f aca="false">FALSE()</f>
        <v>0</v>
      </c>
      <c r="Q922" s="3" t="s">
        <v>166</v>
      </c>
      <c r="R922" s="12" t="n">
        <v>0.7545</v>
      </c>
      <c r="S922" s="12" t="n">
        <v>0.2864</v>
      </c>
      <c r="T922" s="3" t="n">
        <v>0.1896</v>
      </c>
      <c r="U922" s="12" t="n">
        <v>0.3684</v>
      </c>
      <c r="V922" s="12" t="n">
        <v>0.4653</v>
      </c>
      <c r="W922" s="12" t="n">
        <v>0.4959</v>
      </c>
      <c r="X922" s="3" t="n">
        <v>0.3892</v>
      </c>
      <c r="Y922" s="3" t="n">
        <v>0.6524</v>
      </c>
      <c r="Z922" s="14" t="n">
        <f aca="false">Assumptions!$B$3*R922+Assumptions!$B$4*S922+IF(AA922=1,Assumptions!$B$11,Assumptions!$B$5)*X922+IF(AA922=1,Assumptions!$B$12,Assumptions!$B$6)*T922+Assumptions!$B$7*U922+Assumptions!$B$8*V922+Assumptions!$B$9*Y922</f>
        <v>0.477417</v>
      </c>
      <c r="AA922" s="3" t="n">
        <v>0</v>
      </c>
    </row>
    <row r="923" customFormat="false" ht="15" hidden="false" customHeight="false" outlineLevel="0" collapsed="false">
      <c r="A923" s="3" t="s">
        <v>1108</v>
      </c>
      <c r="B923" s="3" t="n">
        <v>365</v>
      </c>
      <c r="C923" s="11" t="str">
        <f aca="false">IF(M923&gt;=Assumptions!$B$17,"S+",IF(M923&gt;=Assumptions!$B$18,"S",IF(M923&gt;=Assumptions!$B$19,"A",IF(M923&gt;=Assumptions!$B$20,"B",IF(M923&gt;=Assumptions!$B$21,"C",IF(M923&gt;=Assumptions!$B$22,"D","F"))))))</f>
        <v>F</v>
      </c>
      <c r="D923" s="3" t="s">
        <v>253</v>
      </c>
      <c r="E923" s="3" t="n">
        <v>1</v>
      </c>
      <c r="F923" s="12" t="n">
        <v>0.6813</v>
      </c>
      <c r="G923" s="12" t="n">
        <v>0.4</v>
      </c>
      <c r="H923" s="12" t="n">
        <v>0.75</v>
      </c>
      <c r="I923" s="12" t="n">
        <v>0.56</v>
      </c>
      <c r="J923" s="12" t="n">
        <v>0.3346</v>
      </c>
      <c r="K923" s="12" t="n">
        <v>0.4919</v>
      </c>
      <c r="L923" s="3" t="n">
        <v>3.5</v>
      </c>
      <c r="M923" s="12" t="n">
        <f aca="false">Z923-W923</f>
        <v>-0.0184999999999999</v>
      </c>
      <c r="N923" s="12" t="n">
        <f aca="false">IFERROR((Z923-J923)/L923,"")</f>
        <v>0.0449428571428572</v>
      </c>
      <c r="O923" s="3" t="n">
        <v>19</v>
      </c>
      <c r="P923" s="13" t="b">
        <f aca="false">FALSE()</f>
        <v>0</v>
      </c>
      <c r="Q923" s="3" t="s">
        <v>166</v>
      </c>
      <c r="R923" s="12" t="n">
        <v>0.6037</v>
      </c>
      <c r="S923" s="12" t="n">
        <v>0.5585</v>
      </c>
      <c r="T923" s="3" t="n">
        <v>0.1958</v>
      </c>
      <c r="U923" s="12" t="n">
        <v>0.3481</v>
      </c>
      <c r="V923" s="12" t="n">
        <v>0.5011</v>
      </c>
      <c r="W923" s="12" t="n">
        <v>0.5104</v>
      </c>
      <c r="X923" s="3" t="n">
        <v>0.5436</v>
      </c>
      <c r="Y923" s="3" t="n">
        <v>0.5076</v>
      </c>
      <c r="Z923" s="14" t="n">
        <f aca="false">Assumptions!$B$3*R923+Assumptions!$B$4*S923+IF(AA923=1,Assumptions!$B$11,Assumptions!$B$5)*X923+IF(AA923=1,Assumptions!$B$12,Assumptions!$B$6)*T923+Assumptions!$B$7*U923+Assumptions!$B$8*V923+Assumptions!$B$9*Y923</f>
        <v>0.4919</v>
      </c>
      <c r="AA923" s="3" t="n">
        <v>0</v>
      </c>
    </row>
    <row r="924" customFormat="false" ht="15" hidden="false" customHeight="false" outlineLevel="0" collapsed="false">
      <c r="A924" s="3" t="s">
        <v>1109</v>
      </c>
      <c r="B924" s="3" t="n">
        <v>325</v>
      </c>
      <c r="C924" s="11" t="str">
        <f aca="false">IF(M924&gt;=Assumptions!$B$17,"S+",IF(M924&gt;=Assumptions!$B$18,"S",IF(M924&gt;=Assumptions!$B$19,"A",IF(M924&gt;=Assumptions!$B$20,"B",IF(M924&gt;=Assumptions!$B$21,"C",IF(M924&gt;=Assumptions!$B$22,"D","F"))))))</f>
        <v>F</v>
      </c>
      <c r="D924" s="3" t="s">
        <v>218</v>
      </c>
      <c r="E924" s="3" t="n">
        <v>3</v>
      </c>
      <c r="F924" s="12" t="n">
        <v>0.7134</v>
      </c>
      <c r="G924" s="12" t="n">
        <v>0.6</v>
      </c>
      <c r="H924" s="12" t="n">
        <v>0.75</v>
      </c>
      <c r="I924" s="12" t="n">
        <v>0.6663</v>
      </c>
      <c r="J924" s="12" t="n">
        <v>0.3242</v>
      </c>
      <c r="K924" s="12" t="n">
        <v>0.5013</v>
      </c>
      <c r="L924" s="3" t="n">
        <v>5.68</v>
      </c>
      <c r="M924" s="12" t="n">
        <f aca="false">Z924-W924</f>
        <v>-0.0186540000000001</v>
      </c>
      <c r="N924" s="12" t="n">
        <f aca="false">IFERROR((Z924-J924)/L924,"")</f>
        <v>0.0311700704225352</v>
      </c>
      <c r="O924" s="3" t="n">
        <v>17</v>
      </c>
      <c r="P924" s="13" t="b">
        <f aca="false">FALSE()</f>
        <v>0</v>
      </c>
      <c r="Q924" s="3" t="s">
        <v>166</v>
      </c>
      <c r="R924" s="12" t="n">
        <v>0.7827</v>
      </c>
      <c r="S924" s="12" t="n">
        <v>0.3557</v>
      </c>
      <c r="T924" s="3" t="n">
        <v>0.0881</v>
      </c>
      <c r="U924" s="12" t="n">
        <v>0.3755</v>
      </c>
      <c r="V924" s="12" t="n">
        <v>0.5961</v>
      </c>
      <c r="W924" s="12" t="n">
        <v>0.5199</v>
      </c>
      <c r="X924" s="3" t="n">
        <v>0.4046</v>
      </c>
      <c r="Y924" s="3" t="n">
        <v>0.6596</v>
      </c>
      <c r="Z924" s="14" t="n">
        <f aca="false">Assumptions!$B$3*R924+Assumptions!$B$4*S924+IF(AA924=1,Assumptions!$B$11,Assumptions!$B$5)*X924+IF(AA924=1,Assumptions!$B$12,Assumptions!$B$6)*T924+Assumptions!$B$7*U924+Assumptions!$B$8*V924+Assumptions!$B$9*Y924</f>
        <v>0.501246</v>
      </c>
      <c r="AA924" s="3" t="n">
        <v>0</v>
      </c>
    </row>
    <row r="925" customFormat="false" ht="15" hidden="false" customHeight="false" outlineLevel="0" collapsed="false">
      <c r="A925" s="3" t="s">
        <v>1110</v>
      </c>
      <c r="B925" s="3" t="n">
        <v>305</v>
      </c>
      <c r="C925" s="11" t="str">
        <f aca="false">IF(M925&gt;=Assumptions!$B$17,"S+",IF(M925&gt;=Assumptions!$B$18,"S",IF(M925&gt;=Assumptions!$B$19,"A",IF(M925&gt;=Assumptions!$B$20,"B",IF(M925&gt;=Assumptions!$B$21,"C",IF(M925&gt;=Assumptions!$B$22,"D","F"))))))</f>
        <v>F</v>
      </c>
      <c r="D925" s="3" t="s">
        <v>228</v>
      </c>
      <c r="E925" s="3" t="n">
        <v>1</v>
      </c>
      <c r="F925" s="12" t="n">
        <v>0.2217</v>
      </c>
      <c r="G925" s="12" t="n">
        <v>0.8</v>
      </c>
      <c r="H925" s="12" t="n">
        <v>0.75</v>
      </c>
      <c r="I925" s="12" t="n">
        <v>0.605</v>
      </c>
      <c r="J925" s="12" t="n">
        <v>0.2627</v>
      </c>
      <c r="K925" s="12" t="n">
        <v>0.4445</v>
      </c>
      <c r="L925" s="3" t="n">
        <v>6.71</v>
      </c>
      <c r="M925" s="12" t="n">
        <f aca="false">Z925-W925</f>
        <v>-0.018712</v>
      </c>
      <c r="N925" s="12" t="n">
        <f aca="false">IFERROR((Z925-J925)/L925,"")</f>
        <v>0.0270921013412817</v>
      </c>
      <c r="O925" s="3" t="n">
        <v>19</v>
      </c>
      <c r="P925" s="13" t="b">
        <f aca="false">FALSE()</f>
        <v>0</v>
      </c>
      <c r="Q925" s="3" t="s">
        <v>166</v>
      </c>
      <c r="R925" s="12" t="n">
        <v>0.5429</v>
      </c>
      <c r="S925" s="12" t="n">
        <v>0.3658</v>
      </c>
      <c r="T925" s="3" t="n">
        <v>0.1733</v>
      </c>
      <c r="U925" s="12" t="n">
        <v>0.3846</v>
      </c>
      <c r="V925" s="12" t="n">
        <v>0.4738</v>
      </c>
      <c r="W925" s="12" t="n">
        <v>0.4632</v>
      </c>
      <c r="X925" s="3" t="n">
        <v>0.487</v>
      </c>
      <c r="Y925" s="3" t="n">
        <v>0.5917</v>
      </c>
      <c r="Z925" s="14" t="n">
        <f aca="false">Assumptions!$B$3*R925+Assumptions!$B$4*S925+IF(AA925=1,Assumptions!$B$11,Assumptions!$B$5)*X925+IF(AA925=1,Assumptions!$B$12,Assumptions!$B$6)*T925+Assumptions!$B$7*U925+Assumptions!$B$8*V925+Assumptions!$B$9*Y925</f>
        <v>0.444488</v>
      </c>
      <c r="AA925" s="3" t="n">
        <v>0</v>
      </c>
    </row>
    <row r="926" customFormat="false" ht="15" hidden="false" customHeight="false" outlineLevel="0" collapsed="false">
      <c r="A926" s="3" t="s">
        <v>1111</v>
      </c>
      <c r="B926" s="3" t="n">
        <v>478</v>
      </c>
      <c r="C926" s="11" t="str">
        <f aca="false">IF(M926&gt;=Assumptions!$B$17,"S+",IF(M926&gt;=Assumptions!$B$18,"S",IF(M926&gt;=Assumptions!$B$19,"A",IF(M926&gt;=Assumptions!$B$20,"B",IF(M926&gt;=Assumptions!$B$21,"C",IF(M926&gt;=Assumptions!$B$22,"D","F"))))))</f>
        <v>F</v>
      </c>
      <c r="D926" s="3" t="s">
        <v>218</v>
      </c>
      <c r="E926" s="3" t="n">
        <v>4</v>
      </c>
      <c r="F926" s="12" t="n">
        <v>0.9616</v>
      </c>
      <c r="G926" s="12" t="n">
        <v>0.6</v>
      </c>
      <c r="H926" s="12" t="n">
        <v>0.75</v>
      </c>
      <c r="I926" s="12" t="n">
        <v>0.7457</v>
      </c>
      <c r="J926" s="12" t="n">
        <v>0.3624</v>
      </c>
      <c r="K926" s="12" t="n">
        <v>0.4992</v>
      </c>
      <c r="L926" s="3" t="n">
        <v>3.88</v>
      </c>
      <c r="M926" s="12" t="n">
        <f aca="false">Z926-W926</f>
        <v>-0.01921</v>
      </c>
      <c r="N926" s="12" t="n">
        <f aca="false">IFERROR((Z926-J926)/L926,"")</f>
        <v>0.0352551546391753</v>
      </c>
      <c r="O926" s="3" t="n">
        <v>16</v>
      </c>
      <c r="P926" s="13" t="b">
        <f aca="false">FALSE()</f>
        <v>0</v>
      </c>
      <c r="Q926" s="3" t="s">
        <v>166</v>
      </c>
      <c r="R926" s="12" t="n">
        <v>0.873</v>
      </c>
      <c r="S926" s="12" t="n">
        <v>0.4176</v>
      </c>
      <c r="T926" s="3" t="n">
        <v>0.1099</v>
      </c>
      <c r="U926" s="12" t="n">
        <v>0.4086</v>
      </c>
      <c r="V926" s="12" t="n">
        <v>0.3612</v>
      </c>
      <c r="W926" s="12" t="n">
        <v>0.5184</v>
      </c>
      <c r="X926" s="3" t="n">
        <v>0.2695</v>
      </c>
      <c r="Y926" s="3" t="n">
        <v>0.7267</v>
      </c>
      <c r="Z926" s="14" t="n">
        <f aca="false">Assumptions!$B$3*R926+Assumptions!$B$4*S926+IF(AA926=1,Assumptions!$B$11,Assumptions!$B$5)*X926+IF(AA926=1,Assumptions!$B$12,Assumptions!$B$6)*T926+Assumptions!$B$7*U926+Assumptions!$B$8*V926+Assumptions!$B$9*Y926</f>
        <v>0.49919</v>
      </c>
      <c r="AA926" s="3" t="n">
        <v>0</v>
      </c>
    </row>
    <row r="927" customFormat="false" ht="15" hidden="false" customHeight="false" outlineLevel="0" collapsed="false">
      <c r="A927" s="3" t="s">
        <v>1112</v>
      </c>
      <c r="B927" s="3" t="n">
        <v>490</v>
      </c>
      <c r="C927" s="11" t="str">
        <f aca="false">IF(M927&gt;=Assumptions!$B$17,"S+",IF(M927&gt;=Assumptions!$B$18,"S",IF(M927&gt;=Assumptions!$B$19,"A",IF(M927&gt;=Assumptions!$B$20,"B",IF(M927&gt;=Assumptions!$B$21,"C",IF(M927&gt;=Assumptions!$B$22,"D","F"))))))</f>
        <v>F</v>
      </c>
      <c r="D927" s="3" t="s">
        <v>218</v>
      </c>
      <c r="E927" s="3" t="n">
        <v>7</v>
      </c>
      <c r="F927" s="12" t="n">
        <v>0.9294</v>
      </c>
      <c r="G927" s="12" t="n">
        <v>0.6</v>
      </c>
      <c r="H927" s="12" t="n">
        <v>0.75</v>
      </c>
      <c r="I927" s="12" t="n">
        <v>0.7354</v>
      </c>
      <c r="J927" s="12" t="n">
        <v>0.3026</v>
      </c>
      <c r="K927" s="12" t="n">
        <v>0.4874</v>
      </c>
      <c r="L927" s="3" t="n">
        <v>4</v>
      </c>
      <c r="M927" s="12" t="n">
        <f aca="false">Z927-W927</f>
        <v>-0.0195739999999999</v>
      </c>
      <c r="N927" s="12" t="n">
        <f aca="false">IFERROR((Z927-J927)/L927,"")</f>
        <v>0.0462065</v>
      </c>
      <c r="O927" s="3" t="n">
        <v>13</v>
      </c>
      <c r="P927" s="13" t="b">
        <f aca="false">FALSE()</f>
        <v>0</v>
      </c>
      <c r="Q927" s="3" t="s">
        <v>166</v>
      </c>
      <c r="R927" s="12" t="n">
        <v>0.8289</v>
      </c>
      <c r="S927" s="12" t="n">
        <v>0.2958</v>
      </c>
      <c r="T927" s="3" t="n">
        <v>0.2148</v>
      </c>
      <c r="U927" s="12" t="n">
        <v>0.4083</v>
      </c>
      <c r="V927" s="12" t="n">
        <v>0.4312</v>
      </c>
      <c r="W927" s="12" t="n">
        <v>0.507</v>
      </c>
      <c r="X927" s="3" t="n">
        <v>0.2609</v>
      </c>
      <c r="Y927" s="3" t="n">
        <v>0.7176</v>
      </c>
      <c r="Z927" s="14" t="n">
        <f aca="false">Assumptions!$B$3*R927+Assumptions!$B$4*S927+IF(AA927=1,Assumptions!$B$11,Assumptions!$B$5)*X927+IF(AA927=1,Assumptions!$B$12,Assumptions!$B$6)*T927+Assumptions!$B$7*U927+Assumptions!$B$8*V927+Assumptions!$B$9*Y927</f>
        <v>0.487426</v>
      </c>
      <c r="AA927" s="3" t="n">
        <v>0</v>
      </c>
    </row>
    <row r="928" customFormat="false" ht="15" hidden="false" customHeight="false" outlineLevel="0" collapsed="false">
      <c r="A928" s="3" t="s">
        <v>1113</v>
      </c>
      <c r="B928" s="3" t="n">
        <v>285</v>
      </c>
      <c r="C928" s="11" t="str">
        <f aca="false">IF(M928&gt;=Assumptions!$B$17,"S+",IF(M928&gt;=Assumptions!$B$18,"S",IF(M928&gt;=Assumptions!$B$19,"A",IF(M928&gt;=Assumptions!$B$20,"B",IF(M928&gt;=Assumptions!$B$21,"C",IF(M928&gt;=Assumptions!$B$22,"D","F"))))))</f>
        <v>F</v>
      </c>
      <c r="D928" s="3" t="s">
        <v>203</v>
      </c>
      <c r="E928" s="3" t="n">
        <v>1</v>
      </c>
      <c r="F928" s="12" t="n">
        <v>0.5326</v>
      </c>
      <c r="G928" s="12" t="n">
        <v>1</v>
      </c>
      <c r="H928" s="12" t="n">
        <v>0.75</v>
      </c>
      <c r="I928" s="12" t="n">
        <v>0.8098</v>
      </c>
      <c r="J928" s="12" t="n">
        <v>0.3057</v>
      </c>
      <c r="K928" s="12" t="n">
        <v>0.4656</v>
      </c>
      <c r="L928" s="3" t="n">
        <v>6.61</v>
      </c>
      <c r="M928" s="12" t="n">
        <f aca="false">Z928-W928</f>
        <v>-0.020206</v>
      </c>
      <c r="N928" s="12" t="n">
        <f aca="false">IFERROR((Z928-J928)/L928,"")</f>
        <v>0.0241897125567322</v>
      </c>
      <c r="O928" s="3" t="n">
        <v>19</v>
      </c>
      <c r="P928" s="13" t="b">
        <f aca="false">FALSE()</f>
        <v>0</v>
      </c>
      <c r="Q928" s="3" t="s">
        <v>166</v>
      </c>
      <c r="R928" s="12" t="n">
        <v>0.841</v>
      </c>
      <c r="S928" s="12" t="n">
        <v>0.1663</v>
      </c>
      <c r="T928" s="3" t="n">
        <v>0.3602</v>
      </c>
      <c r="U928" s="12" t="n">
        <v>0.3441</v>
      </c>
      <c r="V928" s="12" t="n">
        <v>0.4647</v>
      </c>
      <c r="W928" s="12" t="n">
        <v>0.4858</v>
      </c>
      <c r="X928" s="3" t="n">
        <v>0.0758</v>
      </c>
      <c r="Y928" s="3" t="n">
        <v>0.8111</v>
      </c>
      <c r="Z928" s="14" t="n">
        <f aca="false">Assumptions!$B$3*R928+Assumptions!$B$4*S928+IF(AA928=1,Assumptions!$B$11,Assumptions!$B$5)*X928+IF(AA928=1,Assumptions!$B$12,Assumptions!$B$6)*T928+Assumptions!$B$7*U928+Assumptions!$B$8*V928+Assumptions!$B$9*Y928</f>
        <v>0.465594</v>
      </c>
      <c r="AA928" s="3" t="n">
        <v>0</v>
      </c>
    </row>
    <row r="929" customFormat="false" ht="15" hidden="false" customHeight="false" outlineLevel="0" collapsed="false">
      <c r="A929" s="3" t="s">
        <v>1114</v>
      </c>
      <c r="B929" s="3" t="n">
        <v>292</v>
      </c>
      <c r="C929" s="11" t="str">
        <f aca="false">IF(M929&gt;=Assumptions!$B$17,"S+",IF(M929&gt;=Assumptions!$B$18,"S",IF(M929&gt;=Assumptions!$B$19,"A",IF(M929&gt;=Assumptions!$B$20,"B",IF(M929&gt;=Assumptions!$B$21,"C",IF(M929&gt;=Assumptions!$B$22,"D","F"))))))</f>
        <v>F</v>
      </c>
      <c r="D929" s="3" t="s">
        <v>180</v>
      </c>
      <c r="E929" s="3" t="n">
        <v>1</v>
      </c>
      <c r="F929" s="12" t="n">
        <v>0.6885</v>
      </c>
      <c r="G929" s="12" t="n">
        <v>0.6</v>
      </c>
      <c r="H929" s="12" t="n">
        <v>0.4722</v>
      </c>
      <c r="I929" s="12" t="n">
        <v>0.5921</v>
      </c>
      <c r="J929" s="12" t="n">
        <v>0.245</v>
      </c>
      <c r="K929" s="12" t="n">
        <v>0.4984</v>
      </c>
      <c r="L929" s="3" t="n">
        <v>5.68</v>
      </c>
      <c r="M929" s="12" t="n">
        <f aca="false">Z929-W929</f>
        <v>-0.020306</v>
      </c>
      <c r="N929" s="12" t="n">
        <f aca="false">IFERROR((Z929-J929)/L929,"")</f>
        <v>0.0446116197183099</v>
      </c>
      <c r="O929" s="3" t="n">
        <v>19</v>
      </c>
      <c r="P929" s="13" t="b">
        <f aca="false">FALSE()</f>
        <v>0</v>
      </c>
      <c r="Q929" s="3" t="s">
        <v>166</v>
      </c>
      <c r="R929" s="12" t="n">
        <v>0.4338</v>
      </c>
      <c r="S929" s="12" t="n">
        <v>0.5214</v>
      </c>
      <c r="T929" s="3" t="n">
        <v>0.0505</v>
      </c>
      <c r="U929" s="12" t="n">
        <v>0.4818</v>
      </c>
      <c r="V929" s="12" t="n">
        <v>0.4722</v>
      </c>
      <c r="W929" s="12" t="n">
        <v>0.5187</v>
      </c>
      <c r="X929" s="3" t="n">
        <v>0.6146</v>
      </c>
      <c r="Y929" s="3" t="n">
        <v>0.5775</v>
      </c>
      <c r="Z929" s="14" t="n">
        <f aca="false">Assumptions!$B$3*R929+Assumptions!$B$4*S929+IF(AA929=1,Assumptions!$B$11,Assumptions!$B$5)*X929+IF(AA929=1,Assumptions!$B$12,Assumptions!$B$6)*T929+Assumptions!$B$7*U929+Assumptions!$B$8*V929+Assumptions!$B$9*Y929</f>
        <v>0.498394</v>
      </c>
      <c r="AA929" s="3" t="n">
        <v>1</v>
      </c>
    </row>
    <row r="930" customFormat="false" ht="15" hidden="false" customHeight="false" outlineLevel="0" collapsed="false">
      <c r="A930" s="3" t="s">
        <v>1115</v>
      </c>
      <c r="B930" s="3" t="n">
        <v>320</v>
      </c>
      <c r="C930" s="11" t="str">
        <f aca="false">IF(M930&gt;=Assumptions!$B$17,"S+",IF(M930&gt;=Assumptions!$B$18,"S",IF(M930&gt;=Assumptions!$B$19,"A",IF(M930&gt;=Assumptions!$B$20,"B",IF(M930&gt;=Assumptions!$B$21,"C",IF(M930&gt;=Assumptions!$B$22,"D","F"))))))</f>
        <v>F</v>
      </c>
      <c r="D930" s="3" t="s">
        <v>190</v>
      </c>
      <c r="E930" s="3" t="n">
        <v>1</v>
      </c>
      <c r="F930" s="12" t="n">
        <v>0.6827</v>
      </c>
      <c r="G930" s="12" t="n">
        <v>0.6</v>
      </c>
      <c r="H930" s="12" t="n">
        <v>0.75</v>
      </c>
      <c r="I930" s="12" t="n">
        <v>0.6614</v>
      </c>
      <c r="J930" s="12" t="n">
        <v>0.3165</v>
      </c>
      <c r="K930" s="12" t="n">
        <v>0.4828</v>
      </c>
      <c r="L930" s="3" t="n">
        <v>3.58</v>
      </c>
      <c r="M930" s="12" t="n">
        <f aca="false">Z930-W930</f>
        <v>-0.020456</v>
      </c>
      <c r="N930" s="12" t="n">
        <f aca="false">IFERROR((Z930-J930)/L930,"")</f>
        <v>0.0464648044692737</v>
      </c>
      <c r="O930" s="3" t="n">
        <v>19</v>
      </c>
      <c r="P930" s="13" t="b">
        <f aca="false">FALSE()</f>
        <v>0</v>
      </c>
      <c r="Q930" s="3" t="s">
        <v>166</v>
      </c>
      <c r="R930" s="12" t="n">
        <v>0.6111</v>
      </c>
      <c r="S930" s="12" t="n">
        <v>0.3047</v>
      </c>
      <c r="T930" s="3" t="n">
        <v>0.4907</v>
      </c>
      <c r="U930" s="12" t="n">
        <v>0.417</v>
      </c>
      <c r="V930" s="12" t="n">
        <v>0.5011</v>
      </c>
      <c r="W930" s="12" t="n">
        <v>0.5033</v>
      </c>
      <c r="X930" s="3" t="n">
        <v>0.3818</v>
      </c>
      <c r="Y930" s="3" t="n">
        <v>0.6146</v>
      </c>
      <c r="Z930" s="14" t="n">
        <f aca="false">Assumptions!$B$3*R930+Assumptions!$B$4*S930+IF(AA930=1,Assumptions!$B$11,Assumptions!$B$5)*X930+IF(AA930=1,Assumptions!$B$12,Assumptions!$B$6)*T930+Assumptions!$B$7*U930+Assumptions!$B$8*V930+Assumptions!$B$9*Y930</f>
        <v>0.482844</v>
      </c>
      <c r="AA930" s="3" t="n">
        <v>0</v>
      </c>
    </row>
    <row r="931" customFormat="false" ht="15" hidden="false" customHeight="false" outlineLevel="0" collapsed="false">
      <c r="A931" s="3" t="s">
        <v>1116</v>
      </c>
      <c r="B931" s="3" t="n">
        <v>275</v>
      </c>
      <c r="C931" s="11" t="str">
        <f aca="false">IF(M931&gt;=Assumptions!$B$17,"S+",IF(M931&gt;=Assumptions!$B$18,"S",IF(M931&gt;=Assumptions!$B$19,"A",IF(M931&gt;=Assumptions!$B$20,"B",IF(M931&gt;=Assumptions!$B$21,"C",IF(M931&gt;=Assumptions!$B$22,"D","F"))))))</f>
        <v>F</v>
      </c>
      <c r="D931" s="3" t="s">
        <v>186</v>
      </c>
      <c r="E931" s="3" t="n">
        <v>1</v>
      </c>
      <c r="F931" s="12" t="n">
        <v>0.4867</v>
      </c>
      <c r="G931" s="12" t="n">
        <v>0.45</v>
      </c>
      <c r="H931" s="12" t="n">
        <v>0.75</v>
      </c>
      <c r="I931" s="12" t="n">
        <v>0.5166</v>
      </c>
      <c r="J931" s="12" t="n">
        <v>0.2109</v>
      </c>
      <c r="K931" s="12" t="n">
        <v>0.4335</v>
      </c>
      <c r="L931" s="3" t="n">
        <v>5.66</v>
      </c>
      <c r="M931" s="12" t="n">
        <f aca="false">Z931-W931</f>
        <v>-0.020621</v>
      </c>
      <c r="N931" s="12" t="n">
        <f aca="false">IFERROR((Z931-J931)/L931,"")</f>
        <v>0.0393249116607774</v>
      </c>
      <c r="O931" s="3" t="n">
        <v>19</v>
      </c>
      <c r="P931" s="13" t="b">
        <f aca="false">FALSE()</f>
        <v>0</v>
      </c>
      <c r="Q931" s="3" t="s">
        <v>166</v>
      </c>
      <c r="R931" s="12" t="n">
        <v>0.5372</v>
      </c>
      <c r="S931" s="12" t="n">
        <v>0.4389</v>
      </c>
      <c r="T931" s="3" t="n">
        <v>0.1405</v>
      </c>
      <c r="U931" s="12" t="n">
        <v>0.2591</v>
      </c>
      <c r="V931" s="12" t="n">
        <v>0.503</v>
      </c>
      <c r="W931" s="12" t="n">
        <v>0.4541</v>
      </c>
      <c r="X931" s="3" t="n">
        <v>0.3988</v>
      </c>
      <c r="Y931" s="3" t="n">
        <v>0.454</v>
      </c>
      <c r="Z931" s="14" t="n">
        <f aca="false">Assumptions!$B$3*R931+Assumptions!$B$4*S931+IF(AA931=1,Assumptions!$B$11,Assumptions!$B$5)*X931+IF(AA931=1,Assumptions!$B$12,Assumptions!$B$6)*T931+Assumptions!$B$7*U931+Assumptions!$B$8*V931+Assumptions!$B$9*Y931</f>
        <v>0.433479</v>
      </c>
      <c r="AA931" s="3" t="n">
        <v>1</v>
      </c>
    </row>
    <row r="932" customFormat="false" ht="15" hidden="false" customHeight="false" outlineLevel="0" collapsed="false">
      <c r="A932" s="3" t="s">
        <v>1117</v>
      </c>
      <c r="B932" s="3" t="n">
        <v>280</v>
      </c>
      <c r="C932" s="11" t="str">
        <f aca="false">IF(M932&gt;=Assumptions!$B$17,"S+",IF(M932&gt;=Assumptions!$B$18,"S",IF(M932&gt;=Assumptions!$B$19,"A",IF(M932&gt;=Assumptions!$B$20,"B",IF(M932&gt;=Assumptions!$B$21,"C",IF(M932&gt;=Assumptions!$B$22,"D","F"))))))</f>
        <v>F</v>
      </c>
      <c r="D932" s="3" t="s">
        <v>175</v>
      </c>
      <c r="E932" s="3" t="n">
        <v>1</v>
      </c>
      <c r="F932" s="12" t="n">
        <v>0.3576</v>
      </c>
      <c r="G932" s="12" t="n">
        <v>0.6</v>
      </c>
      <c r="H932" s="12" t="n">
        <v>0.75</v>
      </c>
      <c r="I932" s="12" t="n">
        <v>0.5936</v>
      </c>
      <c r="J932" s="12" t="n">
        <v>0.28</v>
      </c>
      <c r="K932" s="12" t="n">
        <v>0.4298</v>
      </c>
      <c r="L932" s="3" t="n">
        <v>5.45</v>
      </c>
      <c r="M932" s="12" t="n">
        <f aca="false">Z932-W932</f>
        <v>-0.020797</v>
      </c>
      <c r="N932" s="12" t="n">
        <f aca="false">IFERROR((Z932-J932)/L932,"")</f>
        <v>0.0274867889908257</v>
      </c>
      <c r="O932" s="3" t="n">
        <v>19</v>
      </c>
      <c r="P932" s="13" t="b">
        <f aca="false">FALSE()</f>
        <v>0</v>
      </c>
      <c r="Q932" s="3" t="s">
        <v>166</v>
      </c>
      <c r="R932" s="12" t="n">
        <v>0.554</v>
      </c>
      <c r="S932" s="12" t="n">
        <v>0.408</v>
      </c>
      <c r="T932" s="3" t="n">
        <v>0.137</v>
      </c>
      <c r="U932" s="12" t="n">
        <v>0.3725</v>
      </c>
      <c r="V932" s="12" t="n">
        <v>0.5011</v>
      </c>
      <c r="W932" s="12" t="n">
        <v>0.4506</v>
      </c>
      <c r="X932" s="3" t="n">
        <v>0.3932</v>
      </c>
      <c r="Y932" s="3" t="n">
        <v>0.5284</v>
      </c>
      <c r="Z932" s="14" t="n">
        <f aca="false">Assumptions!$B$3*R932+Assumptions!$B$4*S932+IF(AA932=1,Assumptions!$B$11,Assumptions!$B$5)*X932+IF(AA932=1,Assumptions!$B$12,Assumptions!$B$6)*T932+Assumptions!$B$7*U932+Assumptions!$B$8*V932+Assumptions!$B$9*Y932</f>
        <v>0.429803</v>
      </c>
      <c r="AA932" s="3" t="n">
        <v>0</v>
      </c>
    </row>
    <row r="933" customFormat="false" ht="15" hidden="false" customHeight="false" outlineLevel="0" collapsed="false">
      <c r="A933" s="3" t="s">
        <v>1118</v>
      </c>
      <c r="B933" s="3" t="n">
        <v>490</v>
      </c>
      <c r="C933" s="11" t="str">
        <f aca="false">IF(M933&gt;=Assumptions!$B$17,"S+",IF(M933&gt;=Assumptions!$B$18,"S",IF(M933&gt;=Assumptions!$B$19,"A",IF(M933&gt;=Assumptions!$B$20,"B",IF(M933&gt;=Assumptions!$B$21,"C",IF(M933&gt;=Assumptions!$B$22,"D","F"))))))</f>
        <v>F</v>
      </c>
      <c r="D933" s="3" t="s">
        <v>218</v>
      </c>
      <c r="E933" s="3" t="n">
        <v>6</v>
      </c>
      <c r="F933" s="12" t="n">
        <v>0.7831</v>
      </c>
      <c r="G933" s="12" t="n">
        <v>0.6</v>
      </c>
      <c r="H933" s="12" t="n">
        <v>0.75</v>
      </c>
      <c r="I933" s="12" t="n">
        <v>0.6886</v>
      </c>
      <c r="J933" s="12" t="n">
        <v>0.3372</v>
      </c>
      <c r="K933" s="12" t="n">
        <v>0.4885</v>
      </c>
      <c r="L933" s="3" t="n">
        <v>4</v>
      </c>
      <c r="M933" s="12" t="n">
        <f aca="false">Z933-W933</f>
        <v>-0.0206949999999999</v>
      </c>
      <c r="N933" s="12" t="n">
        <f aca="false">IFERROR((Z933-J933)/L933,"")</f>
        <v>0.03782625</v>
      </c>
      <c r="O933" s="3" t="n">
        <v>14</v>
      </c>
      <c r="P933" s="13" t="b">
        <f aca="false">FALSE()</f>
        <v>0</v>
      </c>
      <c r="Q933" s="3" t="s">
        <v>166</v>
      </c>
      <c r="R933" s="12" t="n">
        <v>0.7869</v>
      </c>
      <c r="S933" s="12" t="n">
        <v>0.4142</v>
      </c>
      <c r="T933" s="3" t="n">
        <v>0.1054</v>
      </c>
      <c r="U933" s="12" t="n">
        <v>0.4066</v>
      </c>
      <c r="V933" s="12" t="n">
        <v>0.3887</v>
      </c>
      <c r="W933" s="12" t="n">
        <v>0.5092</v>
      </c>
      <c r="X933" s="3" t="n">
        <v>0.3536</v>
      </c>
      <c r="Y933" s="3" t="n">
        <v>0.6914</v>
      </c>
      <c r="Z933" s="14" t="n">
        <f aca="false">Assumptions!$B$3*R933+Assumptions!$B$4*S933+IF(AA933=1,Assumptions!$B$11,Assumptions!$B$5)*X933+IF(AA933=1,Assumptions!$B$12,Assumptions!$B$6)*T933+Assumptions!$B$7*U933+Assumptions!$B$8*V933+Assumptions!$B$9*Y933</f>
        <v>0.488505</v>
      </c>
      <c r="AA933" s="3" t="n">
        <v>0</v>
      </c>
    </row>
    <row r="934" customFormat="false" ht="15" hidden="false" customHeight="false" outlineLevel="0" collapsed="false">
      <c r="A934" s="3" t="s">
        <v>1119</v>
      </c>
      <c r="B934" s="3" t="n">
        <v>405</v>
      </c>
      <c r="C934" s="11" t="str">
        <f aca="false">IF(M934&gt;=Assumptions!$B$17,"S+",IF(M934&gt;=Assumptions!$B$18,"S",IF(M934&gt;=Assumptions!$B$19,"A",IF(M934&gt;=Assumptions!$B$20,"B",IF(M934&gt;=Assumptions!$B$21,"C",IF(M934&gt;=Assumptions!$B$22,"D","F"))))))</f>
        <v>F</v>
      </c>
      <c r="D934" s="3" t="s">
        <v>218</v>
      </c>
      <c r="E934" s="3" t="n">
        <v>2</v>
      </c>
      <c r="F934" s="12" t="n">
        <v>0.6051</v>
      </c>
      <c r="G934" s="12" t="n">
        <v>1</v>
      </c>
      <c r="H934" s="12" t="n">
        <v>0.75</v>
      </c>
      <c r="I934" s="12" t="n">
        <v>0.8236</v>
      </c>
      <c r="J934" s="12" t="n">
        <v>0.3429</v>
      </c>
      <c r="K934" s="12" t="n">
        <v>0.4958</v>
      </c>
      <c r="L934" s="3" t="n">
        <v>3.75</v>
      </c>
      <c r="M934" s="12" t="n">
        <f aca="false">Z934-W934</f>
        <v>-0.0210030000000001</v>
      </c>
      <c r="N934" s="12" t="n">
        <f aca="false">IFERROR((Z934-J934)/L934,"")</f>
        <v>0.0407725333333333</v>
      </c>
      <c r="O934" s="3" t="n">
        <v>18</v>
      </c>
      <c r="P934" s="13" t="b">
        <f aca="false">FALSE()</f>
        <v>0</v>
      </c>
      <c r="Q934" s="3" t="s">
        <v>166</v>
      </c>
      <c r="R934" s="12" t="n">
        <v>0.6526</v>
      </c>
      <c r="S934" s="12" t="n">
        <v>0.5546</v>
      </c>
      <c r="T934" s="3" t="n">
        <v>0.2378</v>
      </c>
      <c r="U934" s="12" t="n">
        <v>0.3931</v>
      </c>
      <c r="V934" s="12" t="n">
        <v>0.4923</v>
      </c>
      <c r="W934" s="12" t="n">
        <v>0.5168</v>
      </c>
      <c r="X934" s="3" t="n">
        <v>0.2927</v>
      </c>
      <c r="Y934" s="3" t="n">
        <v>0.741</v>
      </c>
      <c r="Z934" s="14" t="n">
        <f aca="false">Assumptions!$B$3*R934+Assumptions!$B$4*S934+IF(AA934=1,Assumptions!$B$11,Assumptions!$B$5)*X934+IF(AA934=1,Assumptions!$B$12,Assumptions!$B$6)*T934+Assumptions!$B$7*U934+Assumptions!$B$8*V934+Assumptions!$B$9*Y934</f>
        <v>0.495797</v>
      </c>
      <c r="AA934" s="3" t="n">
        <v>0</v>
      </c>
    </row>
    <row r="935" customFormat="false" ht="15" hidden="false" customHeight="false" outlineLevel="0" collapsed="false">
      <c r="A935" s="3" t="s">
        <v>1120</v>
      </c>
      <c r="B935" s="3" t="n">
        <v>370</v>
      </c>
      <c r="C935" s="11" t="str">
        <f aca="false">IF(M935&gt;=Assumptions!$B$17,"S+",IF(M935&gt;=Assumptions!$B$18,"S",IF(M935&gt;=Assumptions!$B$19,"A",IF(M935&gt;=Assumptions!$B$20,"B",IF(M935&gt;=Assumptions!$B$21,"C",IF(M935&gt;=Assumptions!$B$22,"D","F"))))))</f>
        <v>F</v>
      </c>
      <c r="D935" s="3" t="s">
        <v>190</v>
      </c>
      <c r="E935" s="3" t="n">
        <v>2</v>
      </c>
      <c r="F935" s="12" t="n">
        <v>0.5807</v>
      </c>
      <c r="G935" s="12" t="n">
        <v>0.8</v>
      </c>
      <c r="H935" s="12" t="n">
        <v>0.75</v>
      </c>
      <c r="I935" s="12" t="n">
        <v>0.7067</v>
      </c>
      <c r="J935" s="12" t="n">
        <v>0.3406</v>
      </c>
      <c r="K935" s="12" t="n">
        <v>0.4731</v>
      </c>
      <c r="L935" s="3" t="n">
        <v>4.33</v>
      </c>
      <c r="M935" s="12" t="n">
        <f aca="false">Z935-W935</f>
        <v>-0.02122</v>
      </c>
      <c r="N935" s="12" t="n">
        <f aca="false">IFERROR((Z935-J935)/L935,"")</f>
        <v>0.0305958429561201</v>
      </c>
      <c r="O935" s="3" t="n">
        <v>18</v>
      </c>
      <c r="P935" s="13" t="b">
        <f aca="false">FALSE()</f>
        <v>0</v>
      </c>
      <c r="Q935" s="3" t="s">
        <v>166</v>
      </c>
      <c r="R935" s="12" t="n">
        <v>0.7039</v>
      </c>
      <c r="S935" s="12" t="n">
        <v>0.4861</v>
      </c>
      <c r="T935" s="3" t="n">
        <v>0.2563</v>
      </c>
      <c r="U935" s="12" t="n">
        <v>0.2436</v>
      </c>
      <c r="V935" s="12" t="n">
        <v>0.4579</v>
      </c>
      <c r="W935" s="12" t="n">
        <v>0.4943</v>
      </c>
      <c r="X935" s="3" t="n">
        <v>0.2516</v>
      </c>
      <c r="Y935" s="3" t="n">
        <v>0.7141</v>
      </c>
      <c r="Z935" s="14" t="n">
        <f aca="false">Assumptions!$B$3*R935+Assumptions!$B$4*S935+IF(AA935=1,Assumptions!$B$11,Assumptions!$B$5)*X935+IF(AA935=1,Assumptions!$B$12,Assumptions!$B$6)*T935+Assumptions!$B$7*U935+Assumptions!$B$8*V935+Assumptions!$B$9*Y935</f>
        <v>0.47308</v>
      </c>
      <c r="AA935" s="3" t="n">
        <v>0</v>
      </c>
    </row>
    <row r="936" customFormat="false" ht="15" hidden="false" customHeight="false" outlineLevel="0" collapsed="false">
      <c r="A936" s="3" t="s">
        <v>1121</v>
      </c>
      <c r="B936" s="3" t="n">
        <v>385</v>
      </c>
      <c r="C936" s="11" t="str">
        <f aca="false">IF(M936&gt;=Assumptions!$B$17,"S+",IF(M936&gt;=Assumptions!$B$18,"S",IF(M936&gt;=Assumptions!$B$19,"A",IF(M936&gt;=Assumptions!$B$20,"B",IF(M936&gt;=Assumptions!$B$21,"C",IF(M936&gt;=Assumptions!$B$22,"D","F"))))))</f>
        <v>F</v>
      </c>
      <c r="D936" s="3" t="s">
        <v>247</v>
      </c>
      <c r="E936" s="3" t="n">
        <v>2</v>
      </c>
      <c r="F936" s="12" t="n">
        <v>0.6873</v>
      </c>
      <c r="G936" s="12" t="n">
        <v>0.6</v>
      </c>
      <c r="H936" s="12" t="n">
        <v>0.75</v>
      </c>
      <c r="I936" s="12" t="n">
        <v>0.6579</v>
      </c>
      <c r="J936" s="12" t="n">
        <v>0.3336</v>
      </c>
      <c r="K936" s="12" t="n">
        <v>0.4633</v>
      </c>
      <c r="L936" s="3" t="n">
        <v>5.75</v>
      </c>
      <c r="M936" s="12" t="n">
        <f aca="false">Z936-W936</f>
        <v>-0.021193</v>
      </c>
      <c r="N936" s="12" t="n">
        <f aca="false">IFERROR((Z936-J936)/L936,"")</f>
        <v>0.0225577391304348</v>
      </c>
      <c r="O936" s="3" t="n">
        <v>18</v>
      </c>
      <c r="P936" s="13" t="b">
        <f aca="false">FALSE()</f>
        <v>0</v>
      </c>
      <c r="Q936" s="3" t="s">
        <v>166</v>
      </c>
      <c r="R936" s="12" t="n">
        <v>0.7863</v>
      </c>
      <c r="S936" s="12" t="n">
        <v>0.4348</v>
      </c>
      <c r="T936" s="3" t="n">
        <v>0.1755</v>
      </c>
      <c r="U936" s="12" t="n">
        <v>0.2778</v>
      </c>
      <c r="V936" s="12" t="n">
        <v>0.4741</v>
      </c>
      <c r="W936" s="12" t="n">
        <v>0.4845</v>
      </c>
      <c r="X936" s="3" t="n">
        <v>0.2018</v>
      </c>
      <c r="Y936" s="3" t="n">
        <v>0.6037</v>
      </c>
      <c r="Z936" s="14" t="n">
        <f aca="false">Assumptions!$B$3*R936+Assumptions!$B$4*S936+IF(AA936=1,Assumptions!$B$11,Assumptions!$B$5)*X936+IF(AA936=1,Assumptions!$B$12,Assumptions!$B$6)*T936+Assumptions!$B$7*U936+Assumptions!$B$8*V936+Assumptions!$B$9*Y936</f>
        <v>0.463307</v>
      </c>
      <c r="AA936" s="3" t="n">
        <v>0</v>
      </c>
    </row>
    <row r="937" customFormat="false" ht="15" hidden="false" customHeight="false" outlineLevel="0" collapsed="false">
      <c r="A937" s="3" t="s">
        <v>1122</v>
      </c>
      <c r="B937" s="3" t="n">
        <v>405</v>
      </c>
      <c r="C937" s="11" t="str">
        <f aca="false">IF(M937&gt;=Assumptions!$B$17,"S+",IF(M937&gt;=Assumptions!$B$18,"S",IF(M937&gt;=Assumptions!$B$19,"A",IF(M937&gt;=Assumptions!$B$20,"B",IF(M937&gt;=Assumptions!$B$21,"C",IF(M937&gt;=Assumptions!$B$22,"D","F"))))))</f>
        <v>F</v>
      </c>
      <c r="D937" s="3" t="s">
        <v>253</v>
      </c>
      <c r="E937" s="3" t="n">
        <v>1</v>
      </c>
      <c r="F937" s="12" t="n">
        <v>0.6297</v>
      </c>
      <c r="G937" s="12" t="n">
        <v>0.8</v>
      </c>
      <c r="H937" s="12" t="n">
        <v>0.75</v>
      </c>
      <c r="I937" s="12" t="n">
        <v>0.7355</v>
      </c>
      <c r="J937" s="12" t="n">
        <v>0.2726</v>
      </c>
      <c r="K937" s="12" t="n">
        <v>0.4884</v>
      </c>
      <c r="L937" s="3" t="n">
        <v>4.61</v>
      </c>
      <c r="M937" s="12" t="n">
        <f aca="false">Z937-W937</f>
        <v>-0.021739</v>
      </c>
      <c r="N937" s="12" t="n">
        <f aca="false">IFERROR((Z937-J937)/L937,"")</f>
        <v>0.0468028199566161</v>
      </c>
      <c r="O937" s="3" t="n">
        <v>19</v>
      </c>
      <c r="P937" s="13" t="b">
        <f aca="false">FALSE()</f>
        <v>0</v>
      </c>
      <c r="Q937" s="3" t="s">
        <v>166</v>
      </c>
      <c r="R937" s="12" t="n">
        <v>0.6383</v>
      </c>
      <c r="S937" s="12" t="n">
        <v>0.4589</v>
      </c>
      <c r="T937" s="3" t="n">
        <v>0.3728</v>
      </c>
      <c r="U937" s="12" t="n">
        <v>0.2632</v>
      </c>
      <c r="V937" s="12" t="n">
        <v>0.4614</v>
      </c>
      <c r="W937" s="12" t="n">
        <v>0.5101</v>
      </c>
      <c r="X937" s="3" t="n">
        <v>0.4213</v>
      </c>
      <c r="Y937" s="3" t="n">
        <v>0.6435</v>
      </c>
      <c r="Z937" s="14" t="n">
        <f aca="false">Assumptions!$B$3*R937+Assumptions!$B$4*S937+IF(AA937=1,Assumptions!$B$11,Assumptions!$B$5)*X937+IF(AA937=1,Assumptions!$B$12,Assumptions!$B$6)*T937+Assumptions!$B$7*U937+Assumptions!$B$8*V937+Assumptions!$B$9*Y937</f>
        <v>0.488361</v>
      </c>
      <c r="AA937" s="3" t="n">
        <v>0</v>
      </c>
    </row>
    <row r="938" customFormat="false" ht="15" hidden="false" customHeight="false" outlineLevel="0" collapsed="false">
      <c r="A938" s="3" t="s">
        <v>1123</v>
      </c>
      <c r="B938" s="3" t="n">
        <v>218</v>
      </c>
      <c r="C938" s="11" t="str">
        <f aca="false">IF(M938&gt;=Assumptions!$B$17,"S+",IF(M938&gt;=Assumptions!$B$18,"S",IF(M938&gt;=Assumptions!$B$19,"A",IF(M938&gt;=Assumptions!$B$20,"B",IF(M938&gt;=Assumptions!$B$21,"C",IF(M938&gt;=Assumptions!$B$22,"D","F"))))))</f>
        <v>F</v>
      </c>
      <c r="D938" s="3" t="s">
        <v>180</v>
      </c>
      <c r="E938" s="3" t="n">
        <v>7</v>
      </c>
      <c r="F938" s="12" t="n">
        <v>0.5646</v>
      </c>
      <c r="G938" s="12" t="n">
        <v>0.85</v>
      </c>
      <c r="H938" s="12" t="n">
        <v>0.5298</v>
      </c>
      <c r="I938" s="12" t="n">
        <v>0.7289</v>
      </c>
      <c r="J938" s="12" t="n">
        <v>0.1445</v>
      </c>
      <c r="K938" s="12" t="n">
        <v>0.4766</v>
      </c>
      <c r="L938" s="3" t="n">
        <v>7</v>
      </c>
      <c r="M938" s="12" t="n">
        <f aca="false">Z938-W938</f>
        <v>-0.021933</v>
      </c>
      <c r="N938" s="12" t="n">
        <f aca="false">IFERROR((Z938-J938)/L938,"")</f>
        <v>0.0474381428571429</v>
      </c>
      <c r="O938" s="3" t="n">
        <v>13</v>
      </c>
      <c r="P938" s="13" t="b">
        <f aca="false">FALSE()</f>
        <v>0</v>
      </c>
      <c r="Q938" s="3" t="s">
        <v>166</v>
      </c>
      <c r="R938" s="12" t="n">
        <v>0.5619</v>
      </c>
      <c r="S938" s="12" t="n">
        <v>0.2185</v>
      </c>
      <c r="T938" s="3" t="n">
        <v>0.0126</v>
      </c>
      <c r="U938" s="12" t="n">
        <v>0.503</v>
      </c>
      <c r="V938" s="12" t="n">
        <v>0.5366</v>
      </c>
      <c r="W938" s="12" t="n">
        <v>0.4985</v>
      </c>
      <c r="X938" s="3" t="n">
        <v>0.4782</v>
      </c>
      <c r="Y938" s="3" t="n">
        <v>0.731</v>
      </c>
      <c r="Z938" s="14" t="n">
        <f aca="false">Assumptions!$B$3*R938+Assumptions!$B$4*S938+IF(AA938=1,Assumptions!$B$11,Assumptions!$B$5)*X938+IF(AA938=1,Assumptions!$B$12,Assumptions!$B$6)*T938+Assumptions!$B$7*U938+Assumptions!$B$8*V938+Assumptions!$B$9*Y938</f>
        <v>0.476567</v>
      </c>
      <c r="AA938" s="3" t="n">
        <v>1</v>
      </c>
    </row>
    <row r="939" customFormat="false" ht="15" hidden="false" customHeight="false" outlineLevel="0" collapsed="false">
      <c r="A939" s="3" t="s">
        <v>1124</v>
      </c>
      <c r="B939" s="3" t="n">
        <v>318</v>
      </c>
      <c r="C939" s="11" t="str">
        <f aca="false">IF(M939&gt;=Assumptions!$B$17,"S+",IF(M939&gt;=Assumptions!$B$18,"S",IF(M939&gt;=Assumptions!$B$19,"A",IF(M939&gt;=Assumptions!$B$20,"B",IF(M939&gt;=Assumptions!$B$21,"C",IF(M939&gt;=Assumptions!$B$22,"D","F"))))))</f>
        <v>F</v>
      </c>
      <c r="D939" s="3" t="s">
        <v>175</v>
      </c>
      <c r="E939" s="3" t="n">
        <v>1</v>
      </c>
      <c r="F939" s="12" t="n">
        <v>0.4309</v>
      </c>
      <c r="G939" s="12" t="n">
        <v>0.6</v>
      </c>
      <c r="H939" s="12" t="n">
        <v>0.75</v>
      </c>
      <c r="I939" s="12" t="n">
        <v>0.6046</v>
      </c>
      <c r="J939" s="12" t="n">
        <v>0.3059</v>
      </c>
      <c r="K939" s="12" t="n">
        <v>0.4639</v>
      </c>
      <c r="L939" s="3" t="n">
        <v>5.66</v>
      </c>
      <c r="M939" s="12" t="n">
        <f aca="false">Z939-W939</f>
        <v>-0.022043</v>
      </c>
      <c r="N939" s="12" t="n">
        <f aca="false">IFERROR((Z939-J939)/L939,"")</f>
        <v>0.0279252650176678</v>
      </c>
      <c r="O939" s="3" t="n">
        <v>19</v>
      </c>
      <c r="P939" s="13" t="b">
        <f aca="false">FALSE()</f>
        <v>0</v>
      </c>
      <c r="Q939" s="3" t="s">
        <v>166</v>
      </c>
      <c r="R939" s="12" t="n">
        <v>0.5752</v>
      </c>
      <c r="S939" s="12" t="n">
        <v>0.3932</v>
      </c>
      <c r="T939" s="3" t="n">
        <v>0.161</v>
      </c>
      <c r="U939" s="12" t="n">
        <v>0.5223</v>
      </c>
      <c r="V939" s="12" t="n">
        <v>0.4497</v>
      </c>
      <c r="W939" s="12" t="n">
        <v>0.486</v>
      </c>
      <c r="X939" s="3" t="n">
        <v>0.5013</v>
      </c>
      <c r="Y939" s="3" t="n">
        <v>0.542</v>
      </c>
      <c r="Z939" s="14" t="n">
        <f aca="false">Assumptions!$B$3*R939+Assumptions!$B$4*S939+IF(AA939=1,Assumptions!$B$11,Assumptions!$B$5)*X939+IF(AA939=1,Assumptions!$B$12,Assumptions!$B$6)*T939+Assumptions!$B$7*U939+Assumptions!$B$8*V939+Assumptions!$B$9*Y939</f>
        <v>0.463957</v>
      </c>
      <c r="AA939" s="3" t="n">
        <v>0</v>
      </c>
    </row>
    <row r="940" customFormat="false" ht="15" hidden="false" customHeight="false" outlineLevel="0" collapsed="false">
      <c r="A940" s="3" t="s">
        <v>1125</v>
      </c>
      <c r="B940" s="3" t="n">
        <v>410</v>
      </c>
      <c r="C940" s="11" t="str">
        <f aca="false">IF(M940&gt;=Assumptions!$B$17,"S+",IF(M940&gt;=Assumptions!$B$18,"S",IF(M940&gt;=Assumptions!$B$19,"A",IF(M940&gt;=Assumptions!$B$20,"B",IF(M940&gt;=Assumptions!$B$21,"C",IF(M940&gt;=Assumptions!$B$22,"D","F"))))))</f>
        <v>F</v>
      </c>
      <c r="D940" s="3" t="s">
        <v>218</v>
      </c>
      <c r="E940" s="3" t="n">
        <v>1</v>
      </c>
      <c r="F940" s="12" t="n">
        <v>0.6637</v>
      </c>
      <c r="G940" s="12" t="n">
        <v>0.4</v>
      </c>
      <c r="H940" s="12" t="n">
        <v>0.75</v>
      </c>
      <c r="I940" s="12" t="n">
        <v>0.5544</v>
      </c>
      <c r="J940" s="12" t="n">
        <v>0.357</v>
      </c>
      <c r="K940" s="12" t="n">
        <v>0.4863</v>
      </c>
      <c r="L940" s="3" t="n">
        <v>5.61</v>
      </c>
      <c r="M940" s="12" t="n">
        <f aca="false">Z940-W940</f>
        <v>-0.0222650000000001</v>
      </c>
      <c r="N940" s="12" t="n">
        <f aca="false">IFERROR((Z940-J940)/L940,"")</f>
        <v>0.023054367201426</v>
      </c>
      <c r="O940" s="3" t="n">
        <v>19</v>
      </c>
      <c r="P940" s="13" t="b">
        <f aca="false">FALSE()</f>
        <v>0</v>
      </c>
      <c r="Q940" s="3" t="s">
        <v>166</v>
      </c>
      <c r="R940" s="12" t="n">
        <v>0.7097</v>
      </c>
      <c r="S940" s="12" t="n">
        <v>0.4101</v>
      </c>
      <c r="T940" s="3" t="n">
        <v>0.4591</v>
      </c>
      <c r="U940" s="12" t="n">
        <v>0.2429</v>
      </c>
      <c r="V940" s="12" t="n">
        <v>0.4984</v>
      </c>
      <c r="W940" s="12" t="n">
        <v>0.5086</v>
      </c>
      <c r="X940" s="3" t="n">
        <v>0.3137</v>
      </c>
      <c r="Y940" s="3" t="n">
        <v>0.559</v>
      </c>
      <c r="Z940" s="14" t="n">
        <f aca="false">Assumptions!$B$3*R940+Assumptions!$B$4*S940+IF(AA940=1,Assumptions!$B$11,Assumptions!$B$5)*X940+IF(AA940=1,Assumptions!$B$12,Assumptions!$B$6)*T940+Assumptions!$B$7*U940+Assumptions!$B$8*V940+Assumptions!$B$9*Y940</f>
        <v>0.486335</v>
      </c>
      <c r="AA940" s="3" t="n">
        <v>0</v>
      </c>
    </row>
    <row r="941" customFormat="false" ht="15" hidden="false" customHeight="false" outlineLevel="0" collapsed="false">
      <c r="A941" s="3" t="s">
        <v>1126</v>
      </c>
      <c r="B941" s="3" t="n">
        <v>365</v>
      </c>
      <c r="C941" s="11" t="str">
        <f aca="false">IF(M941&gt;=Assumptions!$B$17,"S+",IF(M941&gt;=Assumptions!$B$18,"S",IF(M941&gt;=Assumptions!$B$19,"A",IF(M941&gt;=Assumptions!$B$20,"B",IF(M941&gt;=Assumptions!$B$21,"C",IF(M941&gt;=Assumptions!$B$22,"D","F"))))))</f>
        <v>F</v>
      </c>
      <c r="D941" s="3" t="s">
        <v>228</v>
      </c>
      <c r="E941" s="3" t="n">
        <v>1</v>
      </c>
      <c r="F941" s="12" t="n">
        <v>0.6749</v>
      </c>
      <c r="G941" s="12" t="n">
        <v>0.6</v>
      </c>
      <c r="H941" s="12" t="n">
        <v>0.75</v>
      </c>
      <c r="I941" s="12" t="n">
        <v>0.654</v>
      </c>
      <c r="J941" s="12" t="n">
        <v>0.2722</v>
      </c>
      <c r="K941" s="12" t="n">
        <v>0.4598</v>
      </c>
      <c r="L941" s="3" t="n">
        <v>5.37</v>
      </c>
      <c r="M941" s="12" t="n">
        <f aca="false">Z941-W941</f>
        <v>-0.022708</v>
      </c>
      <c r="N941" s="12" t="n">
        <f aca="false">IFERROR((Z941-J941)/L941,"")</f>
        <v>0.0349333333333333</v>
      </c>
      <c r="O941" s="3" t="n">
        <v>19</v>
      </c>
      <c r="P941" s="13" t="b">
        <f aca="false">FALSE()</f>
        <v>0</v>
      </c>
      <c r="Q941" s="3" t="s">
        <v>166</v>
      </c>
      <c r="R941" s="12" t="n">
        <v>0.7766</v>
      </c>
      <c r="S941" s="12" t="n">
        <v>0.2418</v>
      </c>
      <c r="T941" s="3" t="n">
        <v>0.4547</v>
      </c>
      <c r="U941" s="12" t="n">
        <v>0.2429</v>
      </c>
      <c r="V941" s="12" t="n">
        <v>0.4614</v>
      </c>
      <c r="W941" s="12" t="n">
        <v>0.4825</v>
      </c>
      <c r="X941" s="3" t="n">
        <v>0.1708</v>
      </c>
      <c r="Y941" s="3" t="n">
        <v>0.6467</v>
      </c>
      <c r="Z941" s="14" t="n">
        <f aca="false">Assumptions!$B$3*R941+Assumptions!$B$4*S941+IF(AA941=1,Assumptions!$B$11,Assumptions!$B$5)*X941+IF(AA941=1,Assumptions!$B$12,Assumptions!$B$6)*T941+Assumptions!$B$7*U941+Assumptions!$B$8*V941+Assumptions!$B$9*Y941</f>
        <v>0.459792</v>
      </c>
      <c r="AA941" s="3" t="n">
        <v>0</v>
      </c>
    </row>
    <row r="942" customFormat="false" ht="15" hidden="false" customHeight="false" outlineLevel="0" collapsed="false">
      <c r="A942" s="3" t="s">
        <v>1127</v>
      </c>
      <c r="B942" s="3" t="n">
        <v>410</v>
      </c>
      <c r="C942" s="11" t="str">
        <f aca="false">IF(M942&gt;=Assumptions!$B$17,"S+",IF(M942&gt;=Assumptions!$B$18,"S",IF(M942&gt;=Assumptions!$B$19,"A",IF(M942&gt;=Assumptions!$B$20,"B",IF(M942&gt;=Assumptions!$B$21,"C",IF(M942&gt;=Assumptions!$B$22,"D","F"))))))</f>
        <v>F</v>
      </c>
      <c r="D942" s="3" t="s">
        <v>186</v>
      </c>
      <c r="E942" s="3" t="n">
        <v>3</v>
      </c>
      <c r="F942" s="12" t="n">
        <v>0.6203</v>
      </c>
      <c r="G942" s="12" t="n">
        <v>0.45</v>
      </c>
      <c r="H942" s="12" t="n">
        <v>0.75</v>
      </c>
      <c r="I942" s="12" t="n">
        <v>0.5407</v>
      </c>
      <c r="J942" s="12" t="n">
        <v>0.3268</v>
      </c>
      <c r="K942" s="12" t="n">
        <v>0.47</v>
      </c>
      <c r="L942" s="3" t="n">
        <v>3.88</v>
      </c>
      <c r="M942" s="12" t="n">
        <f aca="false">Z942-W942</f>
        <v>-0.022745</v>
      </c>
      <c r="N942" s="12" t="n">
        <f aca="false">IFERROR((Z942-J942)/L942,"")</f>
        <v>0.036895618556701</v>
      </c>
      <c r="O942" s="3" t="n">
        <v>17</v>
      </c>
      <c r="P942" s="13" t="b">
        <f aca="false">FALSE()</f>
        <v>0</v>
      </c>
      <c r="Q942" s="3" t="s">
        <v>166</v>
      </c>
      <c r="R942" s="12" t="n">
        <v>0.7584</v>
      </c>
      <c r="S942" s="12" t="n">
        <v>0.3929</v>
      </c>
      <c r="T942" s="3" t="n">
        <v>0.3826</v>
      </c>
      <c r="U942" s="12" t="n">
        <v>0.3122</v>
      </c>
      <c r="V942" s="12" t="n">
        <v>0.4716</v>
      </c>
      <c r="W942" s="12" t="n">
        <v>0.4927</v>
      </c>
      <c r="X942" s="3" t="n">
        <v>0.2228</v>
      </c>
      <c r="Y942" s="3" t="n">
        <v>0.4918</v>
      </c>
      <c r="Z942" s="14" t="n">
        <f aca="false">Assumptions!$B$3*R942+Assumptions!$B$4*S942+IF(AA942=1,Assumptions!$B$11,Assumptions!$B$5)*X942+IF(AA942=1,Assumptions!$B$12,Assumptions!$B$6)*T942+Assumptions!$B$7*U942+Assumptions!$B$8*V942+Assumptions!$B$9*Y942</f>
        <v>0.469955</v>
      </c>
      <c r="AA942" s="3" t="n">
        <v>0</v>
      </c>
    </row>
    <row r="943" customFormat="false" ht="15" hidden="false" customHeight="false" outlineLevel="0" collapsed="false">
      <c r="A943" s="3" t="s">
        <v>1128</v>
      </c>
      <c r="B943" s="3" t="n">
        <v>250</v>
      </c>
      <c r="C943" s="11" t="str">
        <f aca="false">IF(M943&gt;=Assumptions!$B$17,"S+",IF(M943&gt;=Assumptions!$B$18,"S",IF(M943&gt;=Assumptions!$B$19,"A",IF(M943&gt;=Assumptions!$B$20,"B",IF(M943&gt;=Assumptions!$B$21,"C",IF(M943&gt;=Assumptions!$B$22,"D","F"))))))</f>
        <v>F</v>
      </c>
      <c r="D943" s="3" t="s">
        <v>253</v>
      </c>
      <c r="E943" s="3" t="n">
        <v>1</v>
      </c>
      <c r="F943" s="12" t="n">
        <v>0.0193</v>
      </c>
      <c r="G943" s="12" t="n">
        <v>1</v>
      </c>
      <c r="H943" s="12" t="n">
        <v>0.75</v>
      </c>
      <c r="I943" s="12" t="n">
        <v>0.6362</v>
      </c>
      <c r="J943" s="12" t="n">
        <v>0.2729</v>
      </c>
      <c r="K943" s="12" t="n">
        <v>0.5035</v>
      </c>
      <c r="L943" s="3" t="n">
        <v>6.34</v>
      </c>
      <c r="M943" s="12" t="n">
        <f aca="false">Z943-W943</f>
        <v>-0.023128</v>
      </c>
      <c r="N943" s="12" t="n">
        <f aca="false">IFERROR((Z943-J943)/L943,"")</f>
        <v>0.0363678233438486</v>
      </c>
      <c r="O943" s="3" t="n">
        <v>19</v>
      </c>
      <c r="P943" s="13" t="b">
        <f aca="false">FALSE()</f>
        <v>0</v>
      </c>
      <c r="Q943" s="3" t="s">
        <v>166</v>
      </c>
      <c r="R943" s="12" t="n">
        <v>0.7908</v>
      </c>
      <c r="S943" s="12" t="n">
        <v>0.3832</v>
      </c>
      <c r="T943" s="3" t="n">
        <v>0.1953</v>
      </c>
      <c r="U943" s="12" t="n">
        <v>0.3967</v>
      </c>
      <c r="V943" s="12" t="n">
        <v>0.5324</v>
      </c>
      <c r="W943" s="12" t="n">
        <v>0.5266</v>
      </c>
      <c r="X943" s="3" t="n">
        <v>0.3534</v>
      </c>
      <c r="Y943" s="3" t="n">
        <v>0.6217</v>
      </c>
      <c r="Z943" s="14" t="n">
        <f aca="false">Assumptions!$B$3*R943+Assumptions!$B$4*S943+IF(AA943=1,Assumptions!$B$11,Assumptions!$B$5)*X943+IF(AA943=1,Assumptions!$B$12,Assumptions!$B$6)*T943+Assumptions!$B$7*U943+Assumptions!$B$8*V943+Assumptions!$B$9*Y943</f>
        <v>0.503472</v>
      </c>
      <c r="AA943" s="3" t="n">
        <v>0</v>
      </c>
    </row>
    <row r="944" customFormat="false" ht="15" hidden="false" customHeight="false" outlineLevel="0" collapsed="false">
      <c r="A944" s="3" t="s">
        <v>1129</v>
      </c>
      <c r="B944" s="3" t="n">
        <v>335</v>
      </c>
      <c r="C944" s="11" t="str">
        <f aca="false">IF(M944&gt;=Assumptions!$B$17,"S+",IF(M944&gt;=Assumptions!$B$18,"S",IF(M944&gt;=Assumptions!$B$19,"A",IF(M944&gt;=Assumptions!$B$20,"B",IF(M944&gt;=Assumptions!$B$21,"C",IF(M944&gt;=Assumptions!$B$22,"D","F"))))))</f>
        <v>F</v>
      </c>
      <c r="D944" s="3" t="s">
        <v>253</v>
      </c>
      <c r="E944" s="3" t="n">
        <v>4</v>
      </c>
      <c r="F944" s="12" t="n">
        <v>0.7689</v>
      </c>
      <c r="G944" s="12" t="n">
        <v>0.8</v>
      </c>
      <c r="H944" s="12" t="n">
        <v>0.75</v>
      </c>
      <c r="I944" s="12" t="n">
        <v>0.78</v>
      </c>
      <c r="J944" s="12" t="n">
        <v>0.2496</v>
      </c>
      <c r="K944" s="12" t="n">
        <v>0.4935</v>
      </c>
      <c r="L944" s="3" t="n">
        <v>7</v>
      </c>
      <c r="M944" s="12" t="n">
        <f aca="false">Z944-W944</f>
        <v>-0.023532</v>
      </c>
      <c r="N944" s="12" t="n">
        <f aca="false">IFERROR((Z944-J944)/L944,"")</f>
        <v>0.0348382857142857</v>
      </c>
      <c r="O944" s="3" t="n">
        <v>16</v>
      </c>
      <c r="P944" s="13" t="b">
        <f aca="false">FALSE()</f>
        <v>0</v>
      </c>
      <c r="Q944" s="3" t="s">
        <v>166</v>
      </c>
      <c r="R944" s="12" t="n">
        <v>0.712</v>
      </c>
      <c r="S944" s="12" t="n">
        <v>0.3873</v>
      </c>
      <c r="T944" s="3" t="n">
        <v>0.0332</v>
      </c>
      <c r="U944" s="12" t="n">
        <v>0.3894</v>
      </c>
      <c r="V944" s="12" t="n">
        <v>0.4651</v>
      </c>
      <c r="W944" s="12" t="n">
        <v>0.517</v>
      </c>
      <c r="X944" s="3" t="n">
        <v>0.5048</v>
      </c>
      <c r="Y944" s="3" t="n">
        <v>0.754</v>
      </c>
      <c r="Z944" s="14" t="n">
        <f aca="false">Assumptions!$B$3*R944+Assumptions!$B$4*S944+IF(AA944=1,Assumptions!$B$11,Assumptions!$B$5)*X944+IF(AA944=1,Assumptions!$B$12,Assumptions!$B$6)*T944+Assumptions!$B$7*U944+Assumptions!$B$8*V944+Assumptions!$B$9*Y944</f>
        <v>0.493468</v>
      </c>
      <c r="AA944" s="3" t="n">
        <v>0</v>
      </c>
    </row>
    <row r="945" customFormat="false" ht="15" hidden="false" customHeight="false" outlineLevel="0" collapsed="false">
      <c r="A945" s="3" t="s">
        <v>1130</v>
      </c>
      <c r="B945" s="3" t="n">
        <v>377</v>
      </c>
      <c r="C945" s="11" t="str">
        <f aca="false">IF(M945&gt;=Assumptions!$B$17,"S+",IF(M945&gt;=Assumptions!$B$18,"S",IF(M945&gt;=Assumptions!$B$19,"A",IF(M945&gt;=Assumptions!$B$20,"B",IF(M945&gt;=Assumptions!$B$21,"C",IF(M945&gt;=Assumptions!$B$22,"D","F"))))))</f>
        <v>F</v>
      </c>
      <c r="D945" s="3" t="s">
        <v>218</v>
      </c>
      <c r="E945" s="3" t="n">
        <v>1</v>
      </c>
      <c r="F945" s="12" t="n">
        <v>0.8088</v>
      </c>
      <c r="G945" s="12" t="n">
        <v>0.6</v>
      </c>
      <c r="H945" s="12" t="n">
        <v>0.75</v>
      </c>
      <c r="I945" s="12" t="n">
        <v>0.6968</v>
      </c>
      <c r="J945" s="12" t="n">
        <v>0.3111</v>
      </c>
      <c r="K945" s="12" t="n">
        <v>0.4849</v>
      </c>
      <c r="L945" s="3" t="n">
        <v>5.42</v>
      </c>
      <c r="M945" s="12" t="n">
        <f aca="false">Z945-W945</f>
        <v>-0.023663</v>
      </c>
      <c r="N945" s="12" t="n">
        <f aca="false">IFERROR((Z945-J945)/L945,"")</f>
        <v>0.0320732472324723</v>
      </c>
      <c r="O945" s="3" t="n">
        <v>19</v>
      </c>
      <c r="P945" s="13" t="b">
        <f aca="false">FALSE()</f>
        <v>0</v>
      </c>
      <c r="Q945" s="3" t="s">
        <v>166</v>
      </c>
      <c r="R945" s="12" t="n">
        <v>0.8219</v>
      </c>
      <c r="S945" s="12" t="n">
        <v>0.4154</v>
      </c>
      <c r="T945" s="3" t="n">
        <v>0.2408</v>
      </c>
      <c r="U945" s="12" t="n">
        <v>0.2915</v>
      </c>
      <c r="V945" s="12" t="n">
        <v>0.4647</v>
      </c>
      <c r="W945" s="12" t="n">
        <v>0.5086</v>
      </c>
      <c r="X945" s="3" t="n">
        <v>0.1985</v>
      </c>
      <c r="Y945" s="3" t="n">
        <v>0.6801</v>
      </c>
      <c r="Z945" s="14" t="n">
        <f aca="false">Assumptions!$B$3*R945+Assumptions!$B$4*S945+IF(AA945=1,Assumptions!$B$11,Assumptions!$B$5)*X945+IF(AA945=1,Assumptions!$B$12,Assumptions!$B$6)*T945+Assumptions!$B$7*U945+Assumptions!$B$8*V945+Assumptions!$B$9*Y945</f>
        <v>0.484937</v>
      </c>
      <c r="AA945" s="3" t="n">
        <v>0</v>
      </c>
    </row>
    <row r="946" customFormat="false" ht="15" hidden="false" customHeight="false" outlineLevel="0" collapsed="false">
      <c r="A946" s="3" t="s">
        <v>1131</v>
      </c>
      <c r="B946" s="3" t="n">
        <v>220</v>
      </c>
      <c r="C946" s="11" t="str">
        <f aca="false">IF(M946&gt;=Assumptions!$B$17,"S+",IF(M946&gt;=Assumptions!$B$18,"S",IF(M946&gt;=Assumptions!$B$19,"A",IF(M946&gt;=Assumptions!$B$20,"B",IF(M946&gt;=Assumptions!$B$21,"C",IF(M946&gt;=Assumptions!$B$22,"D","F"))))))</f>
        <v>F</v>
      </c>
      <c r="D946" s="3" t="s">
        <v>180</v>
      </c>
      <c r="E946" s="3" t="n">
        <v>7</v>
      </c>
      <c r="F946" s="12" t="n">
        <v>0.8031</v>
      </c>
      <c r="G946" s="12" t="n">
        <v>0.85</v>
      </c>
      <c r="H946" s="12" t="n">
        <v>0.4762</v>
      </c>
      <c r="I946" s="12" t="n">
        <v>0.7659</v>
      </c>
      <c r="J946" s="12" t="n">
        <v>0.1018</v>
      </c>
      <c r="K946" s="12" t="n">
        <v>0.4748</v>
      </c>
      <c r="L946" s="3" t="n">
        <v>6</v>
      </c>
      <c r="M946" s="12" t="n">
        <f aca="false">Z946-W946</f>
        <v>-0.023736</v>
      </c>
      <c r="N946" s="12" t="n">
        <f aca="false">IFERROR((Z946-J946)/L946,"")</f>
        <v>0.0621606666666667</v>
      </c>
      <c r="O946" s="3" t="n">
        <v>13</v>
      </c>
      <c r="P946" s="13" t="b">
        <f aca="false">FALSE()</f>
        <v>0</v>
      </c>
      <c r="Q946" s="3" t="s">
        <v>166</v>
      </c>
      <c r="R946" s="12" t="n">
        <v>0.3906</v>
      </c>
      <c r="S946" s="12" t="n">
        <v>0.3233</v>
      </c>
      <c r="T946" s="3" t="n">
        <v>0.0715</v>
      </c>
      <c r="U946" s="12" t="n">
        <v>0.5326</v>
      </c>
      <c r="V946" s="12" t="n">
        <v>0.4619</v>
      </c>
      <c r="W946" s="12" t="n">
        <v>0.4985</v>
      </c>
      <c r="X946" s="3" t="n">
        <v>0.5891</v>
      </c>
      <c r="Y946" s="3" t="n">
        <v>0.764</v>
      </c>
      <c r="Z946" s="14" t="n">
        <f aca="false">Assumptions!$B$3*R946+Assumptions!$B$4*S946+IF(AA946=1,Assumptions!$B$11,Assumptions!$B$5)*X946+IF(AA946=1,Assumptions!$B$12,Assumptions!$B$6)*T946+Assumptions!$B$7*U946+Assumptions!$B$8*V946+Assumptions!$B$9*Y946</f>
        <v>0.474764</v>
      </c>
      <c r="AA946" s="3" t="n">
        <v>1</v>
      </c>
    </row>
    <row r="947" customFormat="false" ht="15" hidden="false" customHeight="false" outlineLevel="0" collapsed="false">
      <c r="A947" s="3" t="s">
        <v>1132</v>
      </c>
      <c r="B947" s="3" t="n">
        <v>280</v>
      </c>
      <c r="C947" s="11" t="str">
        <f aca="false">IF(M947&gt;=Assumptions!$B$17,"S+",IF(M947&gt;=Assumptions!$B$18,"S",IF(M947&gt;=Assumptions!$B$19,"A",IF(M947&gt;=Assumptions!$B$20,"B",IF(M947&gt;=Assumptions!$B$21,"C",IF(M947&gt;=Assumptions!$B$22,"D","F"))))))</f>
        <v>F</v>
      </c>
      <c r="D947" s="3" t="s">
        <v>186</v>
      </c>
      <c r="E947" s="3" t="n">
        <v>1</v>
      </c>
      <c r="F947" s="12" t="n">
        <v>0.5597</v>
      </c>
      <c r="G947" s="12" t="n">
        <v>0.85</v>
      </c>
      <c r="H947" s="12" t="n">
        <v>0.75</v>
      </c>
      <c r="I947" s="12" t="n">
        <v>0.7778</v>
      </c>
      <c r="J947" s="12" t="n">
        <v>0.3027</v>
      </c>
      <c r="K947" s="12" t="n">
        <v>0.4285</v>
      </c>
      <c r="L947" s="3" t="n">
        <v>5.66</v>
      </c>
      <c r="M947" s="12" t="n">
        <f aca="false">Z947-W947</f>
        <v>-0.024024</v>
      </c>
      <c r="N947" s="12" t="n">
        <f aca="false">IFERROR((Z947-J947)/L947,"")</f>
        <v>0.0222219081272085</v>
      </c>
      <c r="O947" s="3" t="n">
        <v>19</v>
      </c>
      <c r="P947" s="13" t="b">
        <f aca="false">FALSE()</f>
        <v>0</v>
      </c>
      <c r="Q947" s="3" t="s">
        <v>166</v>
      </c>
      <c r="R947" s="12" t="n">
        <v>0.7434</v>
      </c>
      <c r="S947" s="12" t="n">
        <v>0.3106</v>
      </c>
      <c r="T947" s="3" t="n">
        <v>0.0611</v>
      </c>
      <c r="U947" s="12" t="n">
        <v>0.3117</v>
      </c>
      <c r="V947" s="12" t="n">
        <v>0.3872</v>
      </c>
      <c r="W947" s="12" t="n">
        <v>0.4525</v>
      </c>
      <c r="X947" s="3" t="n">
        <v>0.1839</v>
      </c>
      <c r="Y947" s="3" t="n">
        <v>0.6826</v>
      </c>
      <c r="Z947" s="14" t="n">
        <f aca="false">Assumptions!$B$3*R947+Assumptions!$B$4*S947+IF(AA947=1,Assumptions!$B$11,Assumptions!$B$5)*X947+IF(AA947=1,Assumptions!$B$12,Assumptions!$B$6)*T947+Assumptions!$B$7*U947+Assumptions!$B$8*V947+Assumptions!$B$9*Y947</f>
        <v>0.428476</v>
      </c>
      <c r="AA947" s="3" t="n">
        <v>1</v>
      </c>
    </row>
    <row r="948" customFormat="false" ht="15" hidden="false" customHeight="false" outlineLevel="0" collapsed="false">
      <c r="A948" s="3" t="s">
        <v>1133</v>
      </c>
      <c r="B948" s="3" t="n">
        <v>405</v>
      </c>
      <c r="C948" s="11" t="str">
        <f aca="false">IF(M948&gt;=Assumptions!$B$17,"S+",IF(M948&gt;=Assumptions!$B$18,"S",IF(M948&gt;=Assumptions!$B$19,"A",IF(M948&gt;=Assumptions!$B$20,"B",IF(M948&gt;=Assumptions!$B$21,"C",IF(M948&gt;=Assumptions!$B$22,"D","F"))))))</f>
        <v>F</v>
      </c>
      <c r="D948" s="3" t="s">
        <v>228</v>
      </c>
      <c r="E948" s="3" t="n">
        <v>2</v>
      </c>
      <c r="F948" s="12" t="n">
        <v>0.7588</v>
      </c>
      <c r="G948" s="12" t="n">
        <v>0.6</v>
      </c>
      <c r="H948" s="12" t="n">
        <v>0.75</v>
      </c>
      <c r="I948" s="12" t="n">
        <v>0.6808</v>
      </c>
      <c r="J948" s="12" t="n">
        <v>0.305</v>
      </c>
      <c r="K948" s="12" t="n">
        <v>0.4588</v>
      </c>
      <c r="L948" s="3" t="n">
        <v>3.86</v>
      </c>
      <c r="M948" s="12" t="n">
        <f aca="false">Z948-W948</f>
        <v>-0.0244239999999999</v>
      </c>
      <c r="N948" s="12" t="n">
        <f aca="false">IFERROR((Z948-J948)/L948,"")</f>
        <v>0.0398383419689119</v>
      </c>
      <c r="O948" s="3" t="n">
        <v>18</v>
      </c>
      <c r="P948" s="13" t="b">
        <f aca="false">FALSE()</f>
        <v>0</v>
      </c>
      <c r="Q948" s="3" t="s">
        <v>166</v>
      </c>
      <c r="R948" s="12" t="n">
        <v>0.7789</v>
      </c>
      <c r="S948" s="12" t="n">
        <v>0.3691</v>
      </c>
      <c r="T948" s="3" t="n">
        <v>0.1903</v>
      </c>
      <c r="U948" s="12" t="n">
        <v>0.3504</v>
      </c>
      <c r="V948" s="12" t="n">
        <v>0.4559</v>
      </c>
      <c r="W948" s="12" t="n">
        <v>0.4832</v>
      </c>
      <c r="X948" s="3" t="n">
        <v>0.1687</v>
      </c>
      <c r="Y948" s="3" t="n">
        <v>0.6588</v>
      </c>
      <c r="Z948" s="14" t="n">
        <f aca="false">Assumptions!$B$3*R948+Assumptions!$B$4*S948+IF(AA948=1,Assumptions!$B$11,Assumptions!$B$5)*X948+IF(AA948=1,Assumptions!$B$12,Assumptions!$B$6)*T948+Assumptions!$B$7*U948+Assumptions!$B$8*V948+Assumptions!$B$9*Y948</f>
        <v>0.458776</v>
      </c>
      <c r="AA948" s="3" t="n">
        <v>0</v>
      </c>
    </row>
    <row r="949" customFormat="false" ht="15" hidden="false" customHeight="false" outlineLevel="0" collapsed="false">
      <c r="A949" s="3" t="s">
        <v>1134</v>
      </c>
      <c r="B949" s="3" t="n">
        <v>430</v>
      </c>
      <c r="C949" s="11" t="str">
        <f aca="false">IF(M949&gt;=Assumptions!$B$17,"S+",IF(M949&gt;=Assumptions!$B$18,"S",IF(M949&gt;=Assumptions!$B$19,"A",IF(M949&gt;=Assumptions!$B$20,"B",IF(M949&gt;=Assumptions!$B$21,"C",IF(M949&gt;=Assumptions!$B$22,"D","F"))))))</f>
        <v>F</v>
      </c>
      <c r="D949" s="3" t="s">
        <v>253</v>
      </c>
      <c r="E949" s="3" t="n">
        <v>3</v>
      </c>
      <c r="F949" s="12" t="n">
        <v>0.7002</v>
      </c>
      <c r="G949" s="12" t="n">
        <v>0.4</v>
      </c>
      <c r="H949" s="12" t="n">
        <v>0.75</v>
      </c>
      <c r="I949" s="12" t="n">
        <v>0.5661</v>
      </c>
      <c r="J949" s="12" t="n">
        <v>0.3174</v>
      </c>
      <c r="K949" s="12" t="n">
        <v>0.4974</v>
      </c>
      <c r="L949" s="3" t="n">
        <v>3.76</v>
      </c>
      <c r="M949" s="12" t="n">
        <f aca="false">Z949-W949</f>
        <v>-0.024591</v>
      </c>
      <c r="N949" s="12" t="n">
        <f aca="false">IFERROR((Z949-J949)/L949,"")</f>
        <v>0.0478747340425532</v>
      </c>
      <c r="O949" s="3" t="n">
        <v>17</v>
      </c>
      <c r="P949" s="13" t="b">
        <f aca="false">FALSE()</f>
        <v>0</v>
      </c>
      <c r="Q949" s="3" t="s">
        <v>166</v>
      </c>
      <c r="R949" s="12" t="n">
        <v>0.8221</v>
      </c>
      <c r="S949" s="12" t="n">
        <v>0.4277</v>
      </c>
      <c r="T949" s="3" t="n">
        <v>0.0796</v>
      </c>
      <c r="U949" s="12" t="n">
        <v>0.3665</v>
      </c>
      <c r="V949" s="12" t="n">
        <v>0.3008</v>
      </c>
      <c r="W949" s="12" t="n">
        <v>0.522</v>
      </c>
      <c r="X949" s="3" t="n">
        <v>0.5373</v>
      </c>
      <c r="Y949" s="3" t="n">
        <v>0.5425</v>
      </c>
      <c r="Z949" s="14" t="n">
        <f aca="false">Assumptions!$B$3*R949+Assumptions!$B$4*S949+IF(AA949=1,Assumptions!$B$11,Assumptions!$B$5)*X949+IF(AA949=1,Assumptions!$B$12,Assumptions!$B$6)*T949+Assumptions!$B$7*U949+Assumptions!$B$8*V949+Assumptions!$B$9*Y949</f>
        <v>0.497409</v>
      </c>
      <c r="AA949" s="3" t="n">
        <v>0</v>
      </c>
    </row>
    <row r="950" customFormat="false" ht="15" hidden="false" customHeight="false" outlineLevel="0" collapsed="false">
      <c r="A950" s="3" t="s">
        <v>1135</v>
      </c>
      <c r="B950" s="3" t="n">
        <v>330</v>
      </c>
      <c r="C950" s="11" t="str">
        <f aca="false">IF(M950&gt;=Assumptions!$B$17,"S+",IF(M950&gt;=Assumptions!$B$18,"S",IF(M950&gt;=Assumptions!$B$19,"A",IF(M950&gt;=Assumptions!$B$20,"B",IF(M950&gt;=Assumptions!$B$21,"C",IF(M950&gt;=Assumptions!$B$22,"D","F"))))))</f>
        <v>F</v>
      </c>
      <c r="D950" s="3" t="s">
        <v>228</v>
      </c>
      <c r="E950" s="3" t="n">
        <v>1</v>
      </c>
      <c r="F950" s="12" t="n">
        <v>0.5796</v>
      </c>
      <c r="G950" s="12" t="n">
        <v>1</v>
      </c>
      <c r="H950" s="12" t="n">
        <v>0.75</v>
      </c>
      <c r="I950" s="12" t="n">
        <v>0.8155</v>
      </c>
      <c r="J950" s="12" t="n">
        <v>0.3033</v>
      </c>
      <c r="K950" s="12" t="n">
        <v>0.4673</v>
      </c>
      <c r="L950" s="3" t="n">
        <v>6.61</v>
      </c>
      <c r="M950" s="12" t="n">
        <f aca="false">Z950-W950</f>
        <v>-0.025072</v>
      </c>
      <c r="N950" s="12" t="n">
        <f aca="false">IFERROR((Z950-J950)/L950,"")</f>
        <v>0.0248151285930408</v>
      </c>
      <c r="O950" s="3" t="n">
        <v>19</v>
      </c>
      <c r="P950" s="13" t="b">
        <f aca="false">FALSE()</f>
        <v>0</v>
      </c>
      <c r="Q950" s="3" t="s">
        <v>166</v>
      </c>
      <c r="R950" s="12" t="n">
        <v>0.7609</v>
      </c>
      <c r="S950" s="12" t="n">
        <v>0.2383</v>
      </c>
      <c r="T950" s="3" t="n">
        <v>0.4713</v>
      </c>
      <c r="U950" s="12" t="n">
        <v>0.3765</v>
      </c>
      <c r="V950" s="12" t="n">
        <v>0.4905</v>
      </c>
      <c r="W950" s="12" t="n">
        <v>0.4924</v>
      </c>
      <c r="X950" s="3" t="n">
        <v>0.0708</v>
      </c>
      <c r="Y950" s="3" t="n">
        <v>0.7426</v>
      </c>
      <c r="Z950" s="14" t="n">
        <f aca="false">Assumptions!$B$3*R950+Assumptions!$B$4*S950+IF(AA950=1,Assumptions!$B$11,Assumptions!$B$5)*X950+IF(AA950=1,Assumptions!$B$12,Assumptions!$B$6)*T950+Assumptions!$B$7*U950+Assumptions!$B$8*V950+Assumptions!$B$9*Y950</f>
        <v>0.467328</v>
      </c>
      <c r="AA950" s="3" t="n">
        <v>0</v>
      </c>
    </row>
    <row r="951" customFormat="false" ht="15" hidden="false" customHeight="false" outlineLevel="0" collapsed="false">
      <c r="A951" s="3" t="s">
        <v>1136</v>
      </c>
      <c r="B951" s="3" t="n">
        <v>420</v>
      </c>
      <c r="C951" s="11" t="str">
        <f aca="false">IF(M951&gt;=Assumptions!$B$17,"S+",IF(M951&gt;=Assumptions!$B$18,"S",IF(M951&gt;=Assumptions!$B$19,"A",IF(M951&gt;=Assumptions!$B$20,"B",IF(M951&gt;=Assumptions!$B$21,"C",IF(M951&gt;=Assumptions!$B$22,"D","F"))))))</f>
        <v>F</v>
      </c>
      <c r="D951" s="3" t="s">
        <v>190</v>
      </c>
      <c r="E951" s="3" t="n">
        <v>2</v>
      </c>
      <c r="F951" s="12" t="n">
        <v>0.7323</v>
      </c>
      <c r="G951" s="12" t="n">
        <v>0.4</v>
      </c>
      <c r="H951" s="12" t="n">
        <v>0.75</v>
      </c>
      <c r="I951" s="12" t="n">
        <v>0.5963</v>
      </c>
      <c r="J951" s="12" t="n">
        <v>0.3337</v>
      </c>
      <c r="K951" s="12" t="n">
        <v>0.47</v>
      </c>
      <c r="L951" s="3" t="n">
        <v>3.75</v>
      </c>
      <c r="M951" s="12" t="n">
        <f aca="false">Z951-W951</f>
        <v>-0.0251790000000001</v>
      </c>
      <c r="N951" s="12" t="n">
        <f aca="false">IFERROR((Z951-J951)/L951,"")</f>
        <v>0.0363522666666667</v>
      </c>
      <c r="O951" s="3" t="n">
        <v>18</v>
      </c>
      <c r="P951" s="13" t="b">
        <f aca="false">FALSE()</f>
        <v>0</v>
      </c>
      <c r="Q951" s="3" t="s">
        <v>166</v>
      </c>
      <c r="R951" s="12" t="n">
        <v>0.6928</v>
      </c>
      <c r="S951" s="12" t="n">
        <v>0.3587</v>
      </c>
      <c r="T951" s="3" t="n">
        <v>0.511</v>
      </c>
      <c r="U951" s="12" t="n">
        <v>0.3034</v>
      </c>
      <c r="V951" s="12" t="n">
        <v>0.3516</v>
      </c>
      <c r="W951" s="12" t="n">
        <v>0.4952</v>
      </c>
      <c r="X951" s="3" t="n">
        <v>0.2937</v>
      </c>
      <c r="Y951" s="3" t="n">
        <v>0.5876</v>
      </c>
      <c r="Z951" s="14" t="n">
        <f aca="false">Assumptions!$B$3*R951+Assumptions!$B$4*S951+IF(AA951=1,Assumptions!$B$11,Assumptions!$B$5)*X951+IF(AA951=1,Assumptions!$B$12,Assumptions!$B$6)*T951+Assumptions!$B$7*U951+Assumptions!$B$8*V951+Assumptions!$B$9*Y951</f>
        <v>0.470021</v>
      </c>
      <c r="AA951" s="3" t="n">
        <v>0</v>
      </c>
    </row>
    <row r="952" customFormat="false" ht="15" hidden="false" customHeight="false" outlineLevel="0" collapsed="false">
      <c r="A952" s="3" t="s">
        <v>1137</v>
      </c>
      <c r="B952" s="3" t="n">
        <v>395</v>
      </c>
      <c r="C952" s="11" t="str">
        <f aca="false">IF(M952&gt;=Assumptions!$B$17,"S+",IF(M952&gt;=Assumptions!$B$18,"S",IF(M952&gt;=Assumptions!$B$19,"A",IF(M952&gt;=Assumptions!$B$20,"B",IF(M952&gt;=Assumptions!$B$21,"C",IF(M952&gt;=Assumptions!$B$22,"D","F"))))))</f>
        <v>F</v>
      </c>
      <c r="D952" s="3" t="s">
        <v>253</v>
      </c>
      <c r="E952" s="3" t="n">
        <v>2</v>
      </c>
      <c r="F952" s="12" t="n">
        <v>0.6902</v>
      </c>
      <c r="G952" s="12" t="n">
        <v>0.6</v>
      </c>
      <c r="H952" s="12" t="n">
        <v>0.75</v>
      </c>
      <c r="I952" s="12" t="n">
        <v>0.6589</v>
      </c>
      <c r="J952" s="12" t="n">
        <v>0.3517</v>
      </c>
      <c r="K952" s="12" t="n">
        <v>0.504</v>
      </c>
      <c r="L952" s="3" t="n">
        <v>3.72</v>
      </c>
      <c r="M952" s="12" t="n">
        <f aca="false">Z952-W952</f>
        <v>-0.025165</v>
      </c>
      <c r="N952" s="12" t="n">
        <f aca="false">IFERROR((Z952-J952)/L952,"")</f>
        <v>0.0409502688172043</v>
      </c>
      <c r="O952" s="3" t="n">
        <v>18</v>
      </c>
      <c r="P952" s="13" t="b">
        <f aca="false">FALSE()</f>
        <v>0</v>
      </c>
      <c r="Q952" s="3" t="s">
        <v>166</v>
      </c>
      <c r="R952" s="12" t="n">
        <v>0.588</v>
      </c>
      <c r="S952" s="12" t="n">
        <v>0.549</v>
      </c>
      <c r="T952" s="3" t="n">
        <v>0.1141</v>
      </c>
      <c r="U952" s="12" t="n">
        <v>0.4145</v>
      </c>
      <c r="V952" s="12" t="n">
        <v>0.4849</v>
      </c>
      <c r="W952" s="12" t="n">
        <v>0.5292</v>
      </c>
      <c r="X952" s="3" t="n">
        <v>0.6084</v>
      </c>
      <c r="Y952" s="3" t="n">
        <v>0.6298</v>
      </c>
      <c r="Z952" s="14" t="n">
        <f aca="false">Assumptions!$B$3*R952+Assumptions!$B$4*S952+IF(AA952=1,Assumptions!$B$11,Assumptions!$B$5)*X952+IF(AA952=1,Assumptions!$B$12,Assumptions!$B$6)*T952+Assumptions!$B$7*U952+Assumptions!$B$8*V952+Assumptions!$B$9*Y952</f>
        <v>0.504035</v>
      </c>
      <c r="AA952" s="3" t="n">
        <v>0</v>
      </c>
    </row>
    <row r="953" customFormat="false" ht="15" hidden="false" customHeight="false" outlineLevel="0" collapsed="false">
      <c r="A953" s="3" t="s">
        <v>1138</v>
      </c>
      <c r="B953" s="3" t="n">
        <v>455</v>
      </c>
      <c r="C953" s="11" t="str">
        <f aca="false">IF(M953&gt;=Assumptions!$B$17,"S+",IF(M953&gt;=Assumptions!$B$18,"S",IF(M953&gt;=Assumptions!$B$19,"A",IF(M953&gt;=Assumptions!$B$20,"B",IF(M953&gt;=Assumptions!$B$21,"C",IF(M953&gt;=Assumptions!$B$22,"D","F"))))))</f>
        <v>F</v>
      </c>
      <c r="D953" s="3" t="s">
        <v>218</v>
      </c>
      <c r="E953" s="3" t="n">
        <v>7</v>
      </c>
      <c r="F953" s="12" t="n">
        <v>0.8952</v>
      </c>
      <c r="G953" s="12" t="n">
        <v>0.6</v>
      </c>
      <c r="H953" s="12" t="n">
        <v>0.75</v>
      </c>
      <c r="I953" s="12" t="n">
        <v>0.7245</v>
      </c>
      <c r="J953" s="12" t="n">
        <v>0.3653</v>
      </c>
      <c r="K953" s="12" t="n">
        <v>0.4852</v>
      </c>
      <c r="L953" s="3" t="n">
        <v>4</v>
      </c>
      <c r="M953" s="12" t="n">
        <f aca="false">Z953-W953</f>
        <v>-0.025468</v>
      </c>
      <c r="N953" s="12" t="n">
        <f aca="false">IFERROR((Z953-J953)/L953,"")</f>
        <v>0.029983</v>
      </c>
      <c r="O953" s="3" t="n">
        <v>13</v>
      </c>
      <c r="P953" s="13" t="b">
        <f aca="false">FALSE()</f>
        <v>0</v>
      </c>
      <c r="Q953" s="3" t="s">
        <v>166</v>
      </c>
      <c r="R953" s="12" t="n">
        <v>0.7154</v>
      </c>
      <c r="S953" s="12" t="n">
        <v>0.4721</v>
      </c>
      <c r="T953" s="3" t="n">
        <v>0.1454</v>
      </c>
      <c r="U953" s="12" t="n">
        <v>0.3491</v>
      </c>
      <c r="V953" s="12" t="n">
        <v>0.5475</v>
      </c>
      <c r="W953" s="12" t="n">
        <v>0.5107</v>
      </c>
      <c r="X953" s="3" t="n">
        <v>0.27</v>
      </c>
      <c r="Y953" s="3" t="n">
        <v>0.7263</v>
      </c>
      <c r="Z953" s="14" t="n">
        <f aca="false">Assumptions!$B$3*R953+Assumptions!$B$4*S953+IF(AA953=1,Assumptions!$B$11,Assumptions!$B$5)*X953+IF(AA953=1,Assumptions!$B$12,Assumptions!$B$6)*T953+Assumptions!$B$7*U953+Assumptions!$B$8*V953+Assumptions!$B$9*Y953</f>
        <v>0.485232</v>
      </c>
      <c r="AA953" s="3" t="n">
        <v>0</v>
      </c>
    </row>
    <row r="954" customFormat="false" ht="15" hidden="false" customHeight="false" outlineLevel="0" collapsed="false">
      <c r="A954" s="3" t="s">
        <v>1139</v>
      </c>
      <c r="B954" s="3" t="n">
        <v>320</v>
      </c>
      <c r="C954" s="11" t="str">
        <f aca="false">IF(M954&gt;=Assumptions!$B$17,"S+",IF(M954&gt;=Assumptions!$B$18,"S",IF(M954&gt;=Assumptions!$B$19,"A",IF(M954&gt;=Assumptions!$B$20,"B",IF(M954&gt;=Assumptions!$B$21,"C",IF(M954&gt;=Assumptions!$B$22,"D","F"))))))</f>
        <v>F</v>
      </c>
      <c r="D954" s="3" t="s">
        <v>190</v>
      </c>
      <c r="E954" s="3" t="n">
        <v>1</v>
      </c>
      <c r="F954" s="12" t="n">
        <v>0.6002</v>
      </c>
      <c r="G954" s="12" t="n">
        <v>0.6</v>
      </c>
      <c r="H954" s="12" t="n">
        <v>0.75</v>
      </c>
      <c r="I954" s="12" t="n">
        <v>0.6301</v>
      </c>
      <c r="J954" s="12" t="n">
        <v>0.3032</v>
      </c>
      <c r="K954" s="12" t="n">
        <v>0.4668</v>
      </c>
      <c r="L954" s="3" t="n">
        <v>5.47</v>
      </c>
      <c r="M954" s="12" t="n">
        <f aca="false">Z954-W954</f>
        <v>-0.025907</v>
      </c>
      <c r="N954" s="12" t="n">
        <f aca="false">IFERROR((Z954-J954)/L954,"")</f>
        <v>0.0299073126142596</v>
      </c>
      <c r="O954" s="3" t="n">
        <v>19</v>
      </c>
      <c r="P954" s="13" t="b">
        <f aca="false">FALSE()</f>
        <v>0</v>
      </c>
      <c r="Q954" s="3" t="s">
        <v>166</v>
      </c>
      <c r="R954" s="12" t="n">
        <v>0.6921</v>
      </c>
      <c r="S954" s="12" t="n">
        <v>0.4048</v>
      </c>
      <c r="T954" s="3" t="n">
        <v>0.37</v>
      </c>
      <c r="U954" s="12" t="n">
        <v>0.3724</v>
      </c>
      <c r="V954" s="12" t="n">
        <v>0.4905</v>
      </c>
      <c r="W954" s="12" t="n">
        <v>0.4927</v>
      </c>
      <c r="X954" s="3" t="n">
        <v>0.1852</v>
      </c>
      <c r="Y954" s="3" t="n">
        <v>0.609</v>
      </c>
      <c r="Z954" s="14" t="n">
        <f aca="false">Assumptions!$B$3*R954+Assumptions!$B$4*S954+IF(AA954=1,Assumptions!$B$11,Assumptions!$B$5)*X954+IF(AA954=1,Assumptions!$B$12,Assumptions!$B$6)*T954+Assumptions!$B$7*U954+Assumptions!$B$8*V954+Assumptions!$B$9*Y954</f>
        <v>0.466793</v>
      </c>
      <c r="AA954" s="3" t="n">
        <v>0</v>
      </c>
    </row>
    <row r="955" customFormat="false" ht="15" hidden="false" customHeight="false" outlineLevel="0" collapsed="false">
      <c r="A955" s="3" t="s">
        <v>1140</v>
      </c>
      <c r="B955" s="3" t="n">
        <v>355</v>
      </c>
      <c r="C955" s="11" t="str">
        <f aca="false">IF(M955&gt;=Assumptions!$B$17,"S+",IF(M955&gt;=Assumptions!$B$18,"S",IF(M955&gt;=Assumptions!$B$19,"A",IF(M955&gt;=Assumptions!$B$20,"B",IF(M955&gt;=Assumptions!$B$21,"C",IF(M955&gt;=Assumptions!$B$22,"D","F"))))))</f>
        <v>F</v>
      </c>
      <c r="D955" s="3" t="s">
        <v>190</v>
      </c>
      <c r="E955" s="3" t="n">
        <v>2</v>
      </c>
      <c r="F955" s="12" t="n">
        <v>0.7837</v>
      </c>
      <c r="G955" s="12" t="n">
        <v>1</v>
      </c>
      <c r="H955" s="12" t="n">
        <v>0.75</v>
      </c>
      <c r="I955" s="12" t="n">
        <v>0.8678</v>
      </c>
      <c r="J955" s="12" t="n">
        <v>0.3157</v>
      </c>
      <c r="K955" s="12" t="n">
        <v>0.469</v>
      </c>
      <c r="L955" s="3" t="n">
        <v>6.75</v>
      </c>
      <c r="M955" s="12" t="n">
        <f aca="false">Z955-W955</f>
        <v>-0.026539</v>
      </c>
      <c r="N955" s="12" t="n">
        <f aca="false">IFERROR((Z955-J955)/L955,"")</f>
        <v>0.0227053333333333</v>
      </c>
      <c r="O955" s="3" t="n">
        <v>18</v>
      </c>
      <c r="P955" s="13" t="b">
        <f aca="false">FALSE()</f>
        <v>0</v>
      </c>
      <c r="Q955" s="3" t="s">
        <v>166</v>
      </c>
      <c r="R955" s="12" t="n">
        <v>0.7493</v>
      </c>
      <c r="S955" s="12" t="n">
        <v>0.2228</v>
      </c>
      <c r="T955" s="3" t="n">
        <v>0.3815</v>
      </c>
      <c r="U955" s="12" t="n">
        <v>0.4316</v>
      </c>
      <c r="V955" s="12" t="n">
        <v>0.4445</v>
      </c>
      <c r="W955" s="12" t="n">
        <v>0.4955</v>
      </c>
      <c r="X955" s="3" t="n">
        <v>0.1278</v>
      </c>
      <c r="Y955" s="3" t="n">
        <v>0.8244</v>
      </c>
      <c r="Z955" s="14" t="n">
        <f aca="false">Assumptions!$B$3*R955+Assumptions!$B$4*S955+IF(AA955=1,Assumptions!$B$11,Assumptions!$B$5)*X955+IF(AA955=1,Assumptions!$B$12,Assumptions!$B$6)*T955+Assumptions!$B$7*U955+Assumptions!$B$8*V955+Assumptions!$B$9*Y955</f>
        <v>0.468961</v>
      </c>
      <c r="AA955" s="3" t="n">
        <v>0</v>
      </c>
    </row>
    <row r="956" customFormat="false" ht="15" hidden="false" customHeight="false" outlineLevel="0" collapsed="false">
      <c r="A956" s="3" t="s">
        <v>1141</v>
      </c>
      <c r="B956" s="3" t="n">
        <v>355</v>
      </c>
      <c r="C956" s="11" t="str">
        <f aca="false">IF(M956&gt;=Assumptions!$B$17,"S+",IF(M956&gt;=Assumptions!$B$18,"S",IF(M956&gt;=Assumptions!$B$19,"A",IF(M956&gt;=Assumptions!$B$20,"B",IF(M956&gt;=Assumptions!$B$21,"C",IF(M956&gt;=Assumptions!$B$22,"D","F"))))))</f>
        <v>F</v>
      </c>
      <c r="D956" s="3" t="s">
        <v>197</v>
      </c>
      <c r="E956" s="3" t="n">
        <v>4</v>
      </c>
      <c r="F956" s="12" t="n">
        <v>0.5798</v>
      </c>
      <c r="G956" s="12" t="n">
        <v>0.6</v>
      </c>
      <c r="H956" s="12" t="n">
        <v>0.75</v>
      </c>
      <c r="I956" s="12" t="n">
        <v>0.6223</v>
      </c>
      <c r="J956" s="12" t="n">
        <v>0.2833</v>
      </c>
      <c r="K956" s="12" t="n">
        <v>0.4736</v>
      </c>
      <c r="L956" s="3" t="n">
        <v>5.81</v>
      </c>
      <c r="M956" s="12" t="n">
        <f aca="false">Z956-W956</f>
        <v>-0.0279559999999999</v>
      </c>
      <c r="N956" s="12" t="n">
        <f aca="false">IFERROR((Z956-J956)/L956,"")</f>
        <v>0.0327442340791739</v>
      </c>
      <c r="O956" s="3" t="n">
        <v>16</v>
      </c>
      <c r="P956" s="13" t="b">
        <f aca="false">FALSE()</f>
        <v>0</v>
      </c>
      <c r="Q956" s="3" t="s">
        <v>166</v>
      </c>
      <c r="R956" s="12" t="n">
        <v>0.5152</v>
      </c>
      <c r="S956" s="12" t="n">
        <v>0.4099</v>
      </c>
      <c r="T956" s="3" t="n">
        <v>0.2271</v>
      </c>
      <c r="U956" s="12" t="n">
        <v>0.4086</v>
      </c>
      <c r="V956" s="12" t="n">
        <v>0.4651</v>
      </c>
      <c r="W956" s="12" t="n">
        <v>0.5015</v>
      </c>
      <c r="X956" s="3" t="n">
        <v>0.6124</v>
      </c>
      <c r="Y956" s="3" t="n">
        <v>0.6085</v>
      </c>
      <c r="Z956" s="14" t="n">
        <f aca="false">Assumptions!$B$3*R956+Assumptions!$B$4*S956+IF(AA956=1,Assumptions!$B$11,Assumptions!$B$5)*X956+IF(AA956=1,Assumptions!$B$12,Assumptions!$B$6)*T956+Assumptions!$B$7*U956+Assumptions!$B$8*V956+Assumptions!$B$9*Y956</f>
        <v>0.473544</v>
      </c>
      <c r="AA956" s="3" t="n">
        <v>0</v>
      </c>
    </row>
    <row r="957" customFormat="false" ht="15" hidden="false" customHeight="false" outlineLevel="0" collapsed="false">
      <c r="A957" s="3" t="s">
        <v>1142</v>
      </c>
      <c r="B957" s="3" t="n">
        <v>300</v>
      </c>
      <c r="C957" s="11" t="str">
        <f aca="false">IF(M957&gt;=Assumptions!$B$17,"S+",IF(M957&gt;=Assumptions!$B$18,"S",IF(M957&gt;=Assumptions!$B$19,"A",IF(M957&gt;=Assumptions!$B$20,"B",IF(M957&gt;=Assumptions!$B$21,"C",IF(M957&gt;=Assumptions!$B$22,"D","F"))))))</f>
        <v>F</v>
      </c>
      <c r="D957" s="3" t="s">
        <v>175</v>
      </c>
      <c r="E957" s="3" t="n">
        <v>1</v>
      </c>
      <c r="F957" s="12" t="n">
        <v>0.4703</v>
      </c>
      <c r="G957" s="12" t="n">
        <v>0.45</v>
      </c>
      <c r="H957" s="12" t="n">
        <v>0.75</v>
      </c>
      <c r="I957" s="12" t="n">
        <v>0.513</v>
      </c>
      <c r="J957" s="12" t="n">
        <v>0.2409</v>
      </c>
      <c r="K957" s="12" t="n">
        <v>0.4034</v>
      </c>
      <c r="L957" s="3" t="n">
        <v>5.71</v>
      </c>
      <c r="M957" s="12" t="n">
        <f aca="false">Z957-W957</f>
        <v>-0.028324</v>
      </c>
      <c r="N957" s="12" t="n">
        <f aca="false">IFERROR((Z957-J957)/L957,"")</f>
        <v>0.0284546409807355</v>
      </c>
      <c r="O957" s="3" t="n">
        <v>19</v>
      </c>
      <c r="P957" s="13" t="b">
        <f aca="false">FALSE()</f>
        <v>0</v>
      </c>
      <c r="Q957" s="3" t="s">
        <v>166</v>
      </c>
      <c r="R957" s="12" t="n">
        <v>0.624</v>
      </c>
      <c r="S957" s="12" t="n">
        <v>0.3898</v>
      </c>
      <c r="T957" s="3" t="n">
        <v>0.2013</v>
      </c>
      <c r="U957" s="12" t="n">
        <v>0.2348</v>
      </c>
      <c r="V957" s="12" t="n">
        <v>0.5054</v>
      </c>
      <c r="W957" s="12" t="n">
        <v>0.4317</v>
      </c>
      <c r="X957" s="3" t="n">
        <v>0.2256</v>
      </c>
      <c r="Y957" s="3" t="n">
        <v>0.4334</v>
      </c>
      <c r="Z957" s="14" t="n">
        <f aca="false">Assumptions!$B$3*R957+Assumptions!$B$4*S957+IF(AA957=1,Assumptions!$B$11,Assumptions!$B$5)*X957+IF(AA957=1,Assumptions!$B$12,Assumptions!$B$6)*T957+Assumptions!$B$7*U957+Assumptions!$B$8*V957+Assumptions!$B$9*Y957</f>
        <v>0.403376</v>
      </c>
      <c r="AA957" s="3" t="n">
        <v>0</v>
      </c>
    </row>
    <row r="958" customFormat="false" ht="15" hidden="false" customHeight="false" outlineLevel="0" collapsed="false">
      <c r="A958" s="3" t="s">
        <v>1143</v>
      </c>
      <c r="B958" s="3" t="n">
        <v>480</v>
      </c>
      <c r="C958" s="11" t="str">
        <f aca="false">IF(M958&gt;=Assumptions!$B$17,"S+",IF(M958&gt;=Assumptions!$B$18,"S",IF(M958&gt;=Assumptions!$B$19,"A",IF(M958&gt;=Assumptions!$B$20,"B",IF(M958&gt;=Assumptions!$B$21,"C",IF(M958&gt;=Assumptions!$B$22,"D","F"))))))</f>
        <v>F</v>
      </c>
      <c r="D958" s="3" t="s">
        <v>253</v>
      </c>
      <c r="E958" s="3" t="n">
        <v>6</v>
      </c>
      <c r="F958" s="12" t="n">
        <v>0.8987</v>
      </c>
      <c r="G958" s="12" t="n">
        <v>0.4</v>
      </c>
      <c r="H958" s="12" t="n">
        <v>0.75</v>
      </c>
      <c r="I958" s="12" t="n">
        <v>0.6296</v>
      </c>
      <c r="J958" s="12" t="n">
        <v>0.3371</v>
      </c>
      <c r="K958" s="12" t="n">
        <v>0.4828</v>
      </c>
      <c r="L958" s="3" t="n">
        <v>4</v>
      </c>
      <c r="M958" s="12" t="n">
        <f aca="false">Z958-W958</f>
        <v>-0.0284180000000001</v>
      </c>
      <c r="N958" s="12" t="n">
        <f aca="false">IFERROR((Z958-J958)/L958,"")</f>
        <v>0.0364205</v>
      </c>
      <c r="O958" s="3" t="n">
        <v>14</v>
      </c>
      <c r="P958" s="13" t="b">
        <f aca="false">FALSE()</f>
        <v>0</v>
      </c>
      <c r="Q958" s="3" t="s">
        <v>166</v>
      </c>
      <c r="R958" s="12" t="n">
        <v>0.8246</v>
      </c>
      <c r="S958" s="12" t="n">
        <v>0.2303</v>
      </c>
      <c r="T958" s="3" t="n">
        <v>0.6298</v>
      </c>
      <c r="U958" s="12" t="n">
        <v>0.2308</v>
      </c>
      <c r="V958" s="12" t="n">
        <v>0.4331</v>
      </c>
      <c r="W958" s="12" t="n">
        <v>0.5112</v>
      </c>
      <c r="X958" s="3" t="n">
        <v>0.1749</v>
      </c>
      <c r="Y958" s="3" t="n">
        <v>0.5956</v>
      </c>
      <c r="Z958" s="14" t="n">
        <f aca="false">Assumptions!$B$3*R958+Assumptions!$B$4*S958+IF(AA958=1,Assumptions!$B$11,Assumptions!$B$5)*X958+IF(AA958=1,Assumptions!$B$12,Assumptions!$B$6)*T958+Assumptions!$B$7*U958+Assumptions!$B$8*V958+Assumptions!$B$9*Y958</f>
        <v>0.482782</v>
      </c>
      <c r="AA958" s="3" t="n">
        <v>0</v>
      </c>
    </row>
    <row r="959" customFormat="false" ht="15" hidden="false" customHeight="false" outlineLevel="0" collapsed="false">
      <c r="A959" s="3" t="s">
        <v>1144</v>
      </c>
      <c r="B959" s="3" t="n">
        <v>410</v>
      </c>
      <c r="C959" s="11" t="str">
        <f aca="false">IF(M959&gt;=Assumptions!$B$17,"S+",IF(M959&gt;=Assumptions!$B$18,"S",IF(M959&gt;=Assumptions!$B$19,"A",IF(M959&gt;=Assumptions!$B$20,"B",IF(M959&gt;=Assumptions!$B$21,"C",IF(M959&gt;=Assumptions!$B$22,"D","F"))))))</f>
        <v>F</v>
      </c>
      <c r="D959" s="3" t="s">
        <v>190</v>
      </c>
      <c r="E959" s="3" t="n">
        <v>2</v>
      </c>
      <c r="F959" s="12" t="n">
        <v>0.5946</v>
      </c>
      <c r="G959" s="12" t="n">
        <v>0.8</v>
      </c>
      <c r="H959" s="12" t="n">
        <v>0.75</v>
      </c>
      <c r="I959" s="12" t="n">
        <v>0.7119</v>
      </c>
      <c r="J959" s="12" t="n">
        <v>0.3062</v>
      </c>
      <c r="K959" s="12" t="n">
        <v>0.4632</v>
      </c>
      <c r="L959" s="3" t="n">
        <v>4.64</v>
      </c>
      <c r="M959" s="12" t="n">
        <f aca="false">Z959-W959</f>
        <v>-0.0292339999999999</v>
      </c>
      <c r="N959" s="12" t="n">
        <f aca="false">IFERROR((Z959-J959)/L959,"")</f>
        <v>0.0338288793103448</v>
      </c>
      <c r="O959" s="3" t="n">
        <v>18</v>
      </c>
      <c r="P959" s="13" t="b">
        <f aca="false">FALSE()</f>
        <v>0</v>
      </c>
      <c r="Q959" s="3" t="s">
        <v>166</v>
      </c>
      <c r="R959" s="12" t="n">
        <v>0.6763</v>
      </c>
      <c r="S959" s="12" t="n">
        <v>0.4665</v>
      </c>
      <c r="T959" s="3" t="n">
        <v>0.3346</v>
      </c>
      <c r="U959" s="12" t="n">
        <v>0.282</v>
      </c>
      <c r="V959" s="12" t="n">
        <v>0.4923</v>
      </c>
      <c r="W959" s="12" t="n">
        <v>0.4924</v>
      </c>
      <c r="X959" s="3" t="n">
        <v>0.1913</v>
      </c>
      <c r="Y959" s="3" t="n">
        <v>0.6424</v>
      </c>
      <c r="Z959" s="14" t="n">
        <f aca="false">Assumptions!$B$3*R959+Assumptions!$B$4*S959+IF(AA959=1,Assumptions!$B$11,Assumptions!$B$5)*X959+IF(AA959=1,Assumptions!$B$12,Assumptions!$B$6)*T959+Assumptions!$B$7*U959+Assumptions!$B$8*V959+Assumptions!$B$9*Y959</f>
        <v>0.463166</v>
      </c>
      <c r="AA959" s="3" t="n">
        <v>0</v>
      </c>
    </row>
    <row r="960" customFormat="false" ht="15" hidden="false" customHeight="false" outlineLevel="0" collapsed="false">
      <c r="A960" s="3" t="s">
        <v>1145</v>
      </c>
      <c r="B960" s="3" t="n">
        <v>348</v>
      </c>
      <c r="C960" s="11" t="str">
        <f aca="false">IF(M960&gt;=Assumptions!$B$17,"S+",IF(M960&gt;=Assumptions!$B$18,"S",IF(M960&gt;=Assumptions!$B$19,"A",IF(M960&gt;=Assumptions!$B$20,"B",IF(M960&gt;=Assumptions!$B$21,"C",IF(M960&gt;=Assumptions!$B$22,"D","F"))))))</f>
        <v>F</v>
      </c>
      <c r="D960" s="3" t="s">
        <v>197</v>
      </c>
      <c r="E960" s="3" t="n">
        <v>3</v>
      </c>
      <c r="F960" s="12" t="n">
        <v>0.5775</v>
      </c>
      <c r="G960" s="12" t="n">
        <v>0.8</v>
      </c>
      <c r="H960" s="12" t="n">
        <v>0.75</v>
      </c>
      <c r="I960" s="12" t="n">
        <v>0.7054</v>
      </c>
      <c r="J960" s="12" t="n">
        <v>0.2616</v>
      </c>
      <c r="K960" s="12" t="n">
        <v>0.4452</v>
      </c>
      <c r="L960" s="3" t="n">
        <v>6.82</v>
      </c>
      <c r="M960" s="12" t="n">
        <f aca="false">Z960-W960</f>
        <v>-0.03002</v>
      </c>
      <c r="N960" s="12" t="n">
        <f aca="false">IFERROR((Z960-J960)/L960,"")</f>
        <v>0.0269178885630499</v>
      </c>
      <c r="O960" s="3" t="n">
        <v>17</v>
      </c>
      <c r="P960" s="13" t="b">
        <f aca="false">FALSE()</f>
        <v>0</v>
      </c>
      <c r="Q960" s="3" t="s">
        <v>166</v>
      </c>
      <c r="R960" s="12" t="n">
        <v>0.621</v>
      </c>
      <c r="S960" s="12" t="n">
        <v>0.329</v>
      </c>
      <c r="T960" s="3" t="n">
        <v>0.2723</v>
      </c>
      <c r="U960" s="12" t="n">
        <v>0.3303</v>
      </c>
      <c r="V960" s="12" t="n">
        <v>0.5204</v>
      </c>
      <c r="W960" s="12" t="n">
        <v>0.4752</v>
      </c>
      <c r="X960" s="3" t="n">
        <v>0.287</v>
      </c>
      <c r="Y960" s="3" t="n">
        <v>0.655</v>
      </c>
      <c r="Z960" s="14" t="n">
        <f aca="false">Assumptions!$B$3*R960+Assumptions!$B$4*S960+IF(AA960=1,Assumptions!$B$11,Assumptions!$B$5)*X960+IF(AA960=1,Assumptions!$B$12,Assumptions!$B$6)*T960+Assumptions!$B$7*U960+Assumptions!$B$8*V960+Assumptions!$B$9*Y960</f>
        <v>0.44518</v>
      </c>
      <c r="AA960" s="3" t="n">
        <v>0</v>
      </c>
    </row>
    <row r="961" customFormat="false" ht="15" hidden="false" customHeight="false" outlineLevel="0" collapsed="false">
      <c r="A961" s="3" t="s">
        <v>1146</v>
      </c>
      <c r="B961" s="3" t="n">
        <v>410</v>
      </c>
      <c r="C961" s="11" t="str">
        <f aca="false">IF(M961&gt;=Assumptions!$B$17,"S+",IF(M961&gt;=Assumptions!$B$18,"S",IF(M961&gt;=Assumptions!$B$19,"A",IF(M961&gt;=Assumptions!$B$20,"B",IF(M961&gt;=Assumptions!$B$21,"C",IF(M961&gt;=Assumptions!$B$22,"D","F"))))))</f>
        <v>F</v>
      </c>
      <c r="D961" s="3" t="s">
        <v>183</v>
      </c>
      <c r="E961" s="3" t="n">
        <v>2</v>
      </c>
      <c r="F961" s="12" t="n">
        <v>0.7407</v>
      </c>
      <c r="G961" s="12" t="n">
        <v>0.76</v>
      </c>
      <c r="H961" s="12" t="n">
        <v>0.4444</v>
      </c>
      <c r="I961" s="12" t="n">
        <v>0.6757</v>
      </c>
      <c r="J961" s="12" t="n">
        <v>0.3342</v>
      </c>
      <c r="K961" s="12" t="n">
        <v>0.4646</v>
      </c>
      <c r="L961" s="3" t="n">
        <v>3.81</v>
      </c>
      <c r="M961" s="12" t="n">
        <f aca="false">Z961-W961</f>
        <v>-0.030305</v>
      </c>
      <c r="N961" s="12" t="n">
        <f aca="false">IFERROR((Z961-J961)/L961,"")</f>
        <v>0.0342244094488189</v>
      </c>
      <c r="O961" s="3" t="n">
        <v>18</v>
      </c>
      <c r="P961" s="13" t="b">
        <f aca="false">FALSE()</f>
        <v>0</v>
      </c>
      <c r="Q961" s="3" t="s">
        <v>166</v>
      </c>
      <c r="R961" s="12" t="n">
        <v>0.6335</v>
      </c>
      <c r="S961" s="12" t="n">
        <v>0.5337</v>
      </c>
      <c r="T961" s="3" t="n">
        <v>0.1403</v>
      </c>
      <c r="U961" s="12" t="n">
        <v>0.3248</v>
      </c>
      <c r="V961" s="12" t="n">
        <v>0.3914</v>
      </c>
      <c r="W961" s="12" t="n">
        <v>0.4949</v>
      </c>
      <c r="X961" s="3" t="n">
        <v>0.3241</v>
      </c>
      <c r="Y961" s="3" t="n">
        <v>0.609</v>
      </c>
      <c r="Z961" s="14" t="n">
        <f aca="false">Assumptions!$B$3*R961+Assumptions!$B$4*S961+IF(AA961=1,Assumptions!$B$11,Assumptions!$B$5)*X961+IF(AA961=1,Assumptions!$B$12,Assumptions!$B$6)*T961+Assumptions!$B$7*U961+Assumptions!$B$8*V961+Assumptions!$B$9*Y961</f>
        <v>0.464595</v>
      </c>
      <c r="AA961" s="3" t="n">
        <v>1</v>
      </c>
    </row>
    <row r="962" customFormat="false" ht="15" hidden="false" customHeight="false" outlineLevel="0" collapsed="false">
      <c r="A962" s="3" t="s">
        <v>1147</v>
      </c>
      <c r="B962" s="3" t="n">
        <v>340</v>
      </c>
      <c r="C962" s="11" t="str">
        <f aca="false">IF(M962&gt;=Assumptions!$B$17,"S+",IF(M962&gt;=Assumptions!$B$18,"S",IF(M962&gt;=Assumptions!$B$19,"A",IF(M962&gt;=Assumptions!$B$20,"B",IF(M962&gt;=Assumptions!$B$21,"C",IF(M962&gt;=Assumptions!$B$22,"D","F"))))))</f>
        <v>F</v>
      </c>
      <c r="D962" s="3" t="s">
        <v>190</v>
      </c>
      <c r="E962" s="3" t="n">
        <v>1</v>
      </c>
      <c r="F962" s="12" t="n">
        <v>0.7309</v>
      </c>
      <c r="G962" s="12" t="n">
        <v>0.6</v>
      </c>
      <c r="H962" s="12" t="n">
        <v>0.75</v>
      </c>
      <c r="I962" s="12" t="n">
        <v>0.6797</v>
      </c>
      <c r="J962" s="12" t="n">
        <v>0.3457</v>
      </c>
      <c r="K962" s="12" t="n">
        <v>0.4792</v>
      </c>
      <c r="L962" s="3" t="n">
        <v>3.58</v>
      </c>
      <c r="M962" s="12" t="n">
        <f aca="false">Z962-W962</f>
        <v>-0.0303399999999999</v>
      </c>
      <c r="N962" s="12" t="n">
        <f aca="false">IFERROR((Z962-J962)/L962,"")</f>
        <v>0.0372793296089386</v>
      </c>
      <c r="O962" s="3" t="n">
        <v>19</v>
      </c>
      <c r="P962" s="13" t="b">
        <f aca="false">FALSE()</f>
        <v>0</v>
      </c>
      <c r="Q962" s="3" t="s">
        <v>166</v>
      </c>
      <c r="R962" s="12" t="n">
        <v>0.768</v>
      </c>
      <c r="S962" s="12" t="n">
        <v>0.3494</v>
      </c>
      <c r="T962" s="3" t="n">
        <v>0.3921</v>
      </c>
      <c r="U962" s="12" t="n">
        <v>0.3765</v>
      </c>
      <c r="V962" s="12" t="n">
        <v>0.4878</v>
      </c>
      <c r="W962" s="12" t="n">
        <v>0.5095</v>
      </c>
      <c r="X962" s="3" t="n">
        <v>0.175</v>
      </c>
      <c r="Y962" s="3" t="n">
        <v>0.6071</v>
      </c>
      <c r="Z962" s="14" t="n">
        <f aca="false">Assumptions!$B$3*R962+Assumptions!$B$4*S962+IF(AA962=1,Assumptions!$B$11,Assumptions!$B$5)*X962+IF(AA962=1,Assumptions!$B$12,Assumptions!$B$6)*T962+Assumptions!$B$7*U962+Assumptions!$B$8*V962+Assumptions!$B$9*Y962</f>
        <v>0.47916</v>
      </c>
      <c r="AA962" s="3" t="n">
        <v>0</v>
      </c>
    </row>
    <row r="963" customFormat="false" ht="15" hidden="false" customHeight="false" outlineLevel="0" collapsed="false">
      <c r="A963" s="3" t="s">
        <v>1148</v>
      </c>
      <c r="B963" s="3" t="n">
        <v>290</v>
      </c>
      <c r="C963" s="11" t="str">
        <f aca="false">IF(M963&gt;=Assumptions!$B$17,"S+",IF(M963&gt;=Assumptions!$B$18,"S",IF(M963&gt;=Assumptions!$B$19,"A",IF(M963&gt;=Assumptions!$B$20,"B",IF(M963&gt;=Assumptions!$B$21,"C",IF(M963&gt;=Assumptions!$B$22,"D","F"))))))</f>
        <v>F</v>
      </c>
      <c r="D963" s="3" t="s">
        <v>173</v>
      </c>
      <c r="E963" s="3" t="n">
        <v>7</v>
      </c>
      <c r="F963" s="12" t="n">
        <v>0.2555</v>
      </c>
      <c r="G963" s="12" t="n">
        <v>0.85</v>
      </c>
      <c r="H963" s="12" t="n">
        <v>0.75</v>
      </c>
      <c r="I963" s="12" t="n">
        <v>0.723</v>
      </c>
      <c r="J963" s="12" t="n">
        <v>0.1991</v>
      </c>
      <c r="K963" s="12" t="n">
        <v>0.386</v>
      </c>
      <c r="L963" s="3" t="n">
        <v>6</v>
      </c>
      <c r="M963" s="12" t="n">
        <f aca="false">Z963-W963</f>
        <v>-0.0309139999999999</v>
      </c>
      <c r="N963" s="12" t="n">
        <f aca="false">IFERROR((Z963-J963)/L963,"")</f>
        <v>0.0311476666666667</v>
      </c>
      <c r="O963" s="3" t="n">
        <v>13</v>
      </c>
      <c r="P963" s="13" t="b">
        <f aca="false">FALSE()</f>
        <v>0</v>
      </c>
      <c r="Q963" s="3" t="s">
        <v>166</v>
      </c>
      <c r="R963" s="12" t="n">
        <v>0.6975</v>
      </c>
      <c r="S963" s="12" t="n">
        <v>0.1173</v>
      </c>
      <c r="T963" s="3" t="n">
        <v>0.2141</v>
      </c>
      <c r="U963" s="12" t="n">
        <v>0.2722</v>
      </c>
      <c r="V963" s="12" t="n">
        <v>0.4887</v>
      </c>
      <c r="W963" s="12" t="n">
        <v>0.4169</v>
      </c>
      <c r="X963" s="3" t="n">
        <v>0.105</v>
      </c>
      <c r="Y963" s="3" t="n">
        <v>0.723</v>
      </c>
      <c r="Z963" s="14" t="n">
        <f aca="false">Assumptions!$B$3*R963+Assumptions!$B$4*S963+IF(AA963=1,Assumptions!$B$11,Assumptions!$B$5)*X963+IF(AA963=1,Assumptions!$B$12,Assumptions!$B$6)*T963+Assumptions!$B$7*U963+Assumptions!$B$8*V963+Assumptions!$B$9*Y963</f>
        <v>0.385986</v>
      </c>
      <c r="AA963" s="3" t="n">
        <v>1</v>
      </c>
    </row>
    <row r="964" customFormat="false" ht="15" hidden="false" customHeight="false" outlineLevel="0" collapsed="false">
      <c r="A964" s="3" t="s">
        <v>1149</v>
      </c>
      <c r="B964" s="3" t="n">
        <v>335</v>
      </c>
      <c r="C964" s="11" t="str">
        <f aca="false">IF(M964&gt;=Assumptions!$B$17,"S+",IF(M964&gt;=Assumptions!$B$18,"S",IF(M964&gt;=Assumptions!$B$19,"A",IF(M964&gt;=Assumptions!$B$20,"B",IF(M964&gt;=Assumptions!$B$21,"C",IF(M964&gt;=Assumptions!$B$22,"D","F"))))))</f>
        <v>F</v>
      </c>
      <c r="D964" s="3" t="s">
        <v>190</v>
      </c>
      <c r="E964" s="3" t="n">
        <v>2</v>
      </c>
      <c r="F964" s="12" t="n">
        <v>0.6151</v>
      </c>
      <c r="G964" s="12" t="n">
        <v>0.8</v>
      </c>
      <c r="H964" s="12" t="n">
        <v>0.75</v>
      </c>
      <c r="I964" s="12" t="n">
        <v>0.7197</v>
      </c>
      <c r="J964" s="12" t="n">
        <v>0.2617</v>
      </c>
      <c r="K964" s="12" t="n">
        <v>0.463</v>
      </c>
      <c r="L964" s="3" t="n">
        <v>5.64</v>
      </c>
      <c r="M964" s="12" t="n">
        <f aca="false">Z964-W964</f>
        <v>-0.031309</v>
      </c>
      <c r="N964" s="12" t="n">
        <f aca="false">IFERROR((Z964-J964)/L964,"")</f>
        <v>0.0356898936170213</v>
      </c>
      <c r="O964" s="3" t="n">
        <v>18</v>
      </c>
      <c r="P964" s="13" t="b">
        <f aca="false">FALSE()</f>
        <v>0</v>
      </c>
      <c r="Q964" s="3" t="s">
        <v>166</v>
      </c>
      <c r="R964" s="12" t="n">
        <v>0.6932</v>
      </c>
      <c r="S964" s="12" t="n">
        <v>0.2137</v>
      </c>
      <c r="T964" s="3" t="n">
        <v>0.3574</v>
      </c>
      <c r="U964" s="12" t="n">
        <v>0.4359</v>
      </c>
      <c r="V964" s="12" t="n">
        <v>0.4036</v>
      </c>
      <c r="W964" s="12" t="n">
        <v>0.4943</v>
      </c>
      <c r="X964" s="3" t="n">
        <v>0.304</v>
      </c>
      <c r="Y964" s="3" t="n">
        <v>0.7119</v>
      </c>
      <c r="Z964" s="14" t="n">
        <f aca="false">Assumptions!$B$3*R964+Assumptions!$B$4*S964+IF(AA964=1,Assumptions!$B$11,Assumptions!$B$5)*X964+IF(AA964=1,Assumptions!$B$12,Assumptions!$B$6)*T964+Assumptions!$B$7*U964+Assumptions!$B$8*V964+Assumptions!$B$9*Y964</f>
        <v>0.462991</v>
      </c>
      <c r="AA964" s="3" t="n">
        <v>0</v>
      </c>
    </row>
    <row r="965" customFormat="false" ht="15" hidden="false" customHeight="false" outlineLevel="0" collapsed="false">
      <c r="A965" s="3" t="s">
        <v>1150</v>
      </c>
      <c r="B965" s="3" t="n">
        <v>351</v>
      </c>
      <c r="C965" s="11" t="str">
        <f aca="false">IF(M965&gt;=Assumptions!$B$17,"S+",IF(M965&gt;=Assumptions!$B$18,"S",IF(M965&gt;=Assumptions!$B$19,"A",IF(M965&gt;=Assumptions!$B$20,"B",IF(M965&gt;=Assumptions!$B$21,"C",IF(M965&gt;=Assumptions!$B$22,"D","F"))))))</f>
        <v>F</v>
      </c>
      <c r="D965" s="3" t="s">
        <v>190</v>
      </c>
      <c r="E965" s="3" t="n">
        <v>4</v>
      </c>
      <c r="F965" s="12" t="n">
        <v>0.7267</v>
      </c>
      <c r="G965" s="12" t="n">
        <v>0.8</v>
      </c>
      <c r="H965" s="12" t="n">
        <v>0.75</v>
      </c>
      <c r="I965" s="12" t="n">
        <v>0.7622</v>
      </c>
      <c r="J965" s="12" t="n">
        <v>0.2891</v>
      </c>
      <c r="K965" s="12" t="n">
        <v>0.4492</v>
      </c>
      <c r="L965" s="3" t="n">
        <v>4.75</v>
      </c>
      <c r="M965" s="12" t="n">
        <f aca="false">Z965-W965</f>
        <v>-0.03169</v>
      </c>
      <c r="N965" s="12" t="n">
        <f aca="false">IFERROR((Z965-J965)/L965,"")</f>
        <v>0.0337073684210526</v>
      </c>
      <c r="O965" s="3" t="n">
        <v>16</v>
      </c>
      <c r="P965" s="13" t="b">
        <f aca="false">FALSE()</f>
        <v>0</v>
      </c>
      <c r="Q965" s="3" t="s">
        <v>166</v>
      </c>
      <c r="R965" s="12" t="n">
        <v>0.8201</v>
      </c>
      <c r="S965" s="12" t="n">
        <v>0.133</v>
      </c>
      <c r="T965" s="3" t="n">
        <v>0.3486</v>
      </c>
      <c r="U965" s="12" t="n">
        <v>0.3077</v>
      </c>
      <c r="V965" s="12" t="n">
        <v>0.4316</v>
      </c>
      <c r="W965" s="12" t="n">
        <v>0.4809</v>
      </c>
      <c r="X965" s="3" t="n">
        <v>0.1541</v>
      </c>
      <c r="Y965" s="3" t="n">
        <v>0.713</v>
      </c>
      <c r="Z965" s="14" t="n">
        <f aca="false">Assumptions!$B$3*R965+Assumptions!$B$4*S965+IF(AA965=1,Assumptions!$B$11,Assumptions!$B$5)*X965+IF(AA965=1,Assumptions!$B$12,Assumptions!$B$6)*T965+Assumptions!$B$7*U965+Assumptions!$B$8*V965+Assumptions!$B$9*Y965</f>
        <v>0.44921</v>
      </c>
      <c r="AA965" s="3" t="n">
        <v>0</v>
      </c>
    </row>
    <row r="966" customFormat="false" ht="15" hidden="false" customHeight="false" outlineLevel="0" collapsed="false">
      <c r="A966" s="3" t="s">
        <v>1151</v>
      </c>
      <c r="B966" s="3" t="n">
        <v>305</v>
      </c>
      <c r="C966" s="11" t="str">
        <f aca="false">IF(M966&gt;=Assumptions!$B$17,"S+",IF(M966&gt;=Assumptions!$B$18,"S",IF(M966&gt;=Assumptions!$B$19,"A",IF(M966&gt;=Assumptions!$B$20,"B",IF(M966&gt;=Assumptions!$B$21,"C",IF(M966&gt;=Assumptions!$B$22,"D","F"))))))</f>
        <v>F</v>
      </c>
      <c r="D966" s="3" t="s">
        <v>190</v>
      </c>
      <c r="E966" s="3" t="n">
        <v>1</v>
      </c>
      <c r="F966" s="12" t="n">
        <v>0.7291</v>
      </c>
      <c r="G966" s="12" t="n">
        <v>0.6</v>
      </c>
      <c r="H966" s="12" t="n">
        <v>0.75</v>
      </c>
      <c r="I966" s="12" t="n">
        <v>0.6791</v>
      </c>
      <c r="J966" s="12" t="n">
        <v>0.3096</v>
      </c>
      <c r="K966" s="12" t="n">
        <v>0.4616</v>
      </c>
      <c r="L966" s="3" t="n">
        <v>5.66</v>
      </c>
      <c r="M966" s="12" t="n">
        <f aca="false">Z966-W966</f>
        <v>-0.0321649999999999</v>
      </c>
      <c r="N966" s="12" t="n">
        <f aca="false">IFERROR((Z966-J966)/L966,"")</f>
        <v>0.0268613074204947</v>
      </c>
      <c r="O966" s="3" t="n">
        <v>19</v>
      </c>
      <c r="P966" s="13" t="b">
        <f aca="false">FALSE()</f>
        <v>0</v>
      </c>
      <c r="Q966" s="3" t="s">
        <v>166</v>
      </c>
      <c r="R966" s="12" t="n">
        <v>0.8455</v>
      </c>
      <c r="S966" s="12" t="n">
        <v>0.2062</v>
      </c>
      <c r="T966" s="3" t="n">
        <v>0.375</v>
      </c>
      <c r="U966" s="12" t="n">
        <v>0.3562</v>
      </c>
      <c r="V966" s="12" t="n">
        <v>0.4647</v>
      </c>
      <c r="W966" s="12" t="n">
        <v>0.4938</v>
      </c>
      <c r="X966" s="3" t="n">
        <v>0.0758</v>
      </c>
      <c r="Y966" s="3" t="n">
        <v>0.6701</v>
      </c>
      <c r="Z966" s="14" t="n">
        <f aca="false">Assumptions!$B$3*R966+Assumptions!$B$4*S966+IF(AA966=1,Assumptions!$B$11,Assumptions!$B$5)*X966+IF(AA966=1,Assumptions!$B$12,Assumptions!$B$6)*T966+Assumptions!$B$7*U966+Assumptions!$B$8*V966+Assumptions!$B$9*Y966</f>
        <v>0.461635</v>
      </c>
      <c r="AA966" s="3" t="n">
        <v>0</v>
      </c>
    </row>
    <row r="967" customFormat="false" ht="15" hidden="false" customHeight="false" outlineLevel="0" collapsed="false">
      <c r="A967" s="3" t="s">
        <v>1152</v>
      </c>
      <c r="B967" s="3" t="n">
        <v>355</v>
      </c>
      <c r="C967" s="11" t="str">
        <f aca="false">IF(M967&gt;=Assumptions!$B$17,"S+",IF(M967&gt;=Assumptions!$B$18,"S",IF(M967&gt;=Assumptions!$B$19,"A",IF(M967&gt;=Assumptions!$B$20,"B",IF(M967&gt;=Assumptions!$B$21,"C",IF(M967&gt;=Assumptions!$B$22,"D","F"))))))</f>
        <v>F</v>
      </c>
      <c r="D967" s="3" t="s">
        <v>253</v>
      </c>
      <c r="E967" s="3" t="n">
        <v>2</v>
      </c>
      <c r="F967" s="12" t="n">
        <v>0.4814</v>
      </c>
      <c r="G967" s="12" t="n">
        <v>0.6</v>
      </c>
      <c r="H967" s="12" t="n">
        <v>0.75</v>
      </c>
      <c r="I967" s="12" t="n">
        <v>0.592</v>
      </c>
      <c r="J967" s="12" t="n">
        <v>0.2915</v>
      </c>
      <c r="K967" s="12" t="n">
        <v>0.4911</v>
      </c>
      <c r="L967" s="3" t="n">
        <v>5.72</v>
      </c>
      <c r="M967" s="12" t="n">
        <f aca="false">Z967-W967</f>
        <v>-0.032429</v>
      </c>
      <c r="N967" s="12" t="n">
        <f aca="false">IFERROR((Z967-J967)/L967,"")</f>
        <v>0.034890034965035</v>
      </c>
      <c r="O967" s="3" t="n">
        <v>18</v>
      </c>
      <c r="P967" s="13" t="b">
        <f aca="false">FALSE()</f>
        <v>0</v>
      </c>
      <c r="Q967" s="3" t="s">
        <v>166</v>
      </c>
      <c r="R967" s="12" t="n">
        <v>0.6855</v>
      </c>
      <c r="S967" s="12" t="n">
        <v>0.5386</v>
      </c>
      <c r="T967" s="3" t="n">
        <v>0.0756</v>
      </c>
      <c r="U967" s="12" t="n">
        <v>0.4829</v>
      </c>
      <c r="V967" s="12" t="n">
        <v>0.4195</v>
      </c>
      <c r="W967" s="12" t="n">
        <v>0.5235</v>
      </c>
      <c r="X967" s="3" t="n">
        <v>0.4464</v>
      </c>
      <c r="Y967" s="3" t="n">
        <v>0.5712</v>
      </c>
      <c r="Z967" s="14" t="n">
        <f aca="false">Assumptions!$B$3*R967+Assumptions!$B$4*S967+IF(AA967=1,Assumptions!$B$11,Assumptions!$B$5)*X967+IF(AA967=1,Assumptions!$B$12,Assumptions!$B$6)*T967+Assumptions!$B$7*U967+Assumptions!$B$8*V967+Assumptions!$B$9*Y967</f>
        <v>0.491071</v>
      </c>
      <c r="AA967" s="3" t="n">
        <v>0</v>
      </c>
    </row>
    <row r="968" customFormat="false" ht="15" hidden="false" customHeight="false" outlineLevel="0" collapsed="false">
      <c r="A968" s="3" t="s">
        <v>1153</v>
      </c>
      <c r="B968" s="3" t="n">
        <v>320</v>
      </c>
      <c r="C968" s="11" t="str">
        <f aca="false">IF(M968&gt;=Assumptions!$B$17,"S+",IF(M968&gt;=Assumptions!$B$18,"S",IF(M968&gt;=Assumptions!$B$19,"A",IF(M968&gt;=Assumptions!$B$20,"B",IF(M968&gt;=Assumptions!$B$21,"C",IF(M968&gt;=Assumptions!$B$22,"D","F"))))))</f>
        <v>F</v>
      </c>
      <c r="D968" s="3" t="s">
        <v>218</v>
      </c>
      <c r="E968" s="3" t="n">
        <v>1</v>
      </c>
      <c r="F968" s="12" t="n">
        <v>0.3562</v>
      </c>
      <c r="G968" s="12" t="n">
        <v>1</v>
      </c>
      <c r="H968" s="12" t="n">
        <v>0.75</v>
      </c>
      <c r="I968" s="12" t="n">
        <v>0.744</v>
      </c>
      <c r="J968" s="12" t="n">
        <v>0.3134</v>
      </c>
      <c r="K968" s="12" t="n">
        <v>0.4585</v>
      </c>
      <c r="L968" s="3" t="n">
        <v>6.63</v>
      </c>
      <c r="M968" s="12" t="n">
        <f aca="false">Z968-W968</f>
        <v>-0.032559</v>
      </c>
      <c r="N968" s="12" t="n">
        <f aca="false">IFERROR((Z968-J968)/L968,"")</f>
        <v>0.0218915535444947</v>
      </c>
      <c r="O968" s="3" t="n">
        <v>19</v>
      </c>
      <c r="P968" s="13" t="b">
        <f aca="false">FALSE()</f>
        <v>0</v>
      </c>
      <c r="Q968" s="3" t="s">
        <v>166</v>
      </c>
      <c r="R968" s="12" t="n">
        <v>0.6853</v>
      </c>
      <c r="S968" s="12" t="n">
        <v>0.361</v>
      </c>
      <c r="T968" s="3" t="n">
        <v>0.1417</v>
      </c>
      <c r="U968" s="12" t="n">
        <v>0.4089</v>
      </c>
      <c r="V968" s="12" t="n">
        <v>0.4335</v>
      </c>
      <c r="W968" s="12" t="n">
        <v>0.4911</v>
      </c>
      <c r="X968" s="3" t="n">
        <v>0.3609</v>
      </c>
      <c r="Y968" s="3" t="n">
        <v>0.6289</v>
      </c>
      <c r="Z968" s="14" t="n">
        <f aca="false">Assumptions!$B$3*R968+Assumptions!$B$4*S968+IF(AA968=1,Assumptions!$B$11,Assumptions!$B$5)*X968+IF(AA968=1,Assumptions!$B$12,Assumptions!$B$6)*T968+Assumptions!$B$7*U968+Assumptions!$B$8*V968+Assumptions!$B$9*Y968</f>
        <v>0.458541</v>
      </c>
      <c r="AA968" s="3" t="n">
        <v>0</v>
      </c>
    </row>
    <row r="969" customFormat="false" ht="15" hidden="false" customHeight="false" outlineLevel="0" collapsed="false">
      <c r="A969" s="3" t="s">
        <v>1154</v>
      </c>
      <c r="B969" s="3" t="n">
        <v>475</v>
      </c>
      <c r="C969" s="11" t="str">
        <f aca="false">IF(M969&gt;=Assumptions!$B$17,"S+",IF(M969&gt;=Assumptions!$B$18,"S",IF(M969&gt;=Assumptions!$B$19,"A",IF(M969&gt;=Assumptions!$B$20,"B",IF(M969&gt;=Assumptions!$B$21,"C",IF(M969&gt;=Assumptions!$B$22,"D","F"))))))</f>
        <v>F</v>
      </c>
      <c r="D969" s="3" t="s">
        <v>253</v>
      </c>
      <c r="E969" s="3" t="n">
        <v>3</v>
      </c>
      <c r="F969" s="12" t="n">
        <v>0.8192</v>
      </c>
      <c r="G969" s="12" t="n">
        <v>0.4</v>
      </c>
      <c r="H969" s="12" t="n">
        <v>0.75</v>
      </c>
      <c r="I969" s="12" t="n">
        <v>0.6042</v>
      </c>
      <c r="J969" s="12" t="n">
        <v>0.3504</v>
      </c>
      <c r="K969" s="12" t="n">
        <v>0.5017</v>
      </c>
      <c r="L969" s="3" t="n">
        <v>3.62</v>
      </c>
      <c r="M969" s="12" t="n">
        <f aca="false">Z969-W969</f>
        <v>-0.032612</v>
      </c>
      <c r="N969" s="12" t="n">
        <f aca="false">IFERROR((Z969-J969)/L969,"")</f>
        <v>0.0417922651933702</v>
      </c>
      <c r="O969" s="3" t="n">
        <v>17</v>
      </c>
      <c r="P969" s="13" t="b">
        <f aca="false">FALSE()</f>
        <v>0</v>
      </c>
      <c r="Q969" s="3" t="s">
        <v>166</v>
      </c>
      <c r="R969" s="12" t="n">
        <v>0.7373</v>
      </c>
      <c r="S969" s="12" t="n">
        <v>0.448</v>
      </c>
      <c r="T969" s="3" t="n">
        <v>0.4595</v>
      </c>
      <c r="U969" s="12" t="n">
        <v>0.3574</v>
      </c>
      <c r="V969" s="12" t="n">
        <v>0.4694</v>
      </c>
      <c r="W969" s="12" t="n">
        <v>0.5343</v>
      </c>
      <c r="X969" s="3" t="n">
        <v>0.2771</v>
      </c>
      <c r="Y969" s="3" t="n">
        <v>0.5594</v>
      </c>
      <c r="Z969" s="14" t="n">
        <f aca="false">Assumptions!$B$3*R969+Assumptions!$B$4*S969+IF(AA969=1,Assumptions!$B$11,Assumptions!$B$5)*X969+IF(AA969=1,Assumptions!$B$12,Assumptions!$B$6)*T969+Assumptions!$B$7*U969+Assumptions!$B$8*V969+Assumptions!$B$9*Y969</f>
        <v>0.501688</v>
      </c>
      <c r="AA969" s="3" t="n">
        <v>0</v>
      </c>
    </row>
    <row r="970" customFormat="false" ht="15" hidden="false" customHeight="false" outlineLevel="0" collapsed="false">
      <c r="A970" s="3" t="s">
        <v>1155</v>
      </c>
      <c r="B970" s="3" t="n">
        <v>350</v>
      </c>
      <c r="C970" s="11" t="str">
        <f aca="false">IF(M970&gt;=Assumptions!$B$17,"S+",IF(M970&gt;=Assumptions!$B$18,"S",IF(M970&gt;=Assumptions!$B$19,"A",IF(M970&gt;=Assumptions!$B$20,"B",IF(M970&gt;=Assumptions!$B$21,"C",IF(M970&gt;=Assumptions!$B$22,"D","F"))))))</f>
        <v>F</v>
      </c>
      <c r="D970" s="3" t="s">
        <v>197</v>
      </c>
      <c r="E970" s="3" t="n">
        <v>7</v>
      </c>
      <c r="F970" s="12" t="n">
        <v>0.7457</v>
      </c>
      <c r="G970" s="12" t="n">
        <v>0.4</v>
      </c>
      <c r="H970" s="12" t="n">
        <v>0.75</v>
      </c>
      <c r="I970" s="12" t="n">
        <v>0.6014</v>
      </c>
      <c r="J970" s="12" t="n">
        <v>0.2932</v>
      </c>
      <c r="K970" s="12" t="n">
        <v>0.4536</v>
      </c>
      <c r="L970" s="3" t="n">
        <v>6</v>
      </c>
      <c r="M970" s="12" t="n">
        <f aca="false">Z970-W970</f>
        <v>-0.032883</v>
      </c>
      <c r="N970" s="12" t="n">
        <f aca="false">IFERROR((Z970-J970)/L970,"")</f>
        <v>0.0267361666666667</v>
      </c>
      <c r="O970" s="3" t="n">
        <v>13</v>
      </c>
      <c r="P970" s="13" t="b">
        <f aca="false">FALSE()</f>
        <v>0</v>
      </c>
      <c r="Q970" s="3" t="s">
        <v>166</v>
      </c>
      <c r="R970" s="12" t="n">
        <v>0.749</v>
      </c>
      <c r="S970" s="12" t="n">
        <v>0.1234</v>
      </c>
      <c r="T970" s="3" t="n">
        <v>0.1831</v>
      </c>
      <c r="U970" s="12" t="n">
        <v>0.4615</v>
      </c>
      <c r="V970" s="12" t="n">
        <v>0.3919</v>
      </c>
      <c r="W970" s="12" t="n">
        <v>0.4865</v>
      </c>
      <c r="X970" s="3" t="n">
        <v>0.4301</v>
      </c>
      <c r="Y970" s="3" t="n">
        <v>0.6032</v>
      </c>
      <c r="Z970" s="14" t="n">
        <f aca="false">Assumptions!$B$3*R970+Assumptions!$B$4*S970+IF(AA970=1,Assumptions!$B$11,Assumptions!$B$5)*X970+IF(AA970=1,Assumptions!$B$12,Assumptions!$B$6)*T970+Assumptions!$B$7*U970+Assumptions!$B$8*V970+Assumptions!$B$9*Y970</f>
        <v>0.453617</v>
      </c>
      <c r="AA970" s="3" t="n">
        <v>0</v>
      </c>
    </row>
    <row r="971" customFormat="false" ht="15" hidden="false" customHeight="false" outlineLevel="0" collapsed="false">
      <c r="A971" s="3" t="s">
        <v>1156</v>
      </c>
      <c r="B971" s="3" t="n">
        <v>288</v>
      </c>
      <c r="C971" s="11" t="str">
        <f aca="false">IF(M971&gt;=Assumptions!$B$17,"S+",IF(M971&gt;=Assumptions!$B$18,"S",IF(M971&gt;=Assumptions!$B$19,"A",IF(M971&gt;=Assumptions!$B$20,"B",IF(M971&gt;=Assumptions!$B$21,"C",IF(M971&gt;=Assumptions!$B$22,"D","F"))))))</f>
        <v>F</v>
      </c>
      <c r="D971" s="3" t="s">
        <v>175</v>
      </c>
      <c r="E971" s="3" t="n">
        <v>2</v>
      </c>
      <c r="F971" s="12" t="n">
        <v>0.461</v>
      </c>
      <c r="G971" s="12" t="n">
        <v>0.45</v>
      </c>
      <c r="H971" s="12" t="n">
        <v>0.75</v>
      </c>
      <c r="I971" s="12" t="n">
        <v>0.5116</v>
      </c>
      <c r="J971" s="12" t="n">
        <v>0.2852</v>
      </c>
      <c r="K971" s="12" t="n">
        <v>0.4193</v>
      </c>
      <c r="L971" s="3" t="n">
        <v>5.81</v>
      </c>
      <c r="M971" s="12" t="n">
        <f aca="false">Z971-W971</f>
        <v>-0.033201</v>
      </c>
      <c r="N971" s="12" t="n">
        <f aca="false">IFERROR((Z971-J971)/L971,"")</f>
        <v>0.0230807228915663</v>
      </c>
      <c r="O971" s="3" t="n">
        <v>18</v>
      </c>
      <c r="P971" s="13" t="b">
        <f aca="false">FALSE()</f>
        <v>0</v>
      </c>
      <c r="Q971" s="3" t="s">
        <v>166</v>
      </c>
      <c r="R971" s="12" t="n">
        <v>0.5932</v>
      </c>
      <c r="S971" s="12" t="n">
        <v>0.3852</v>
      </c>
      <c r="T971" s="3" t="n">
        <v>0.1298</v>
      </c>
      <c r="U971" s="12" t="n">
        <v>0.2436</v>
      </c>
      <c r="V971" s="12" t="n">
        <v>0.4441</v>
      </c>
      <c r="W971" s="12" t="n">
        <v>0.4525</v>
      </c>
      <c r="X971" s="3" t="n">
        <v>0.4605</v>
      </c>
      <c r="Y971" s="3" t="n">
        <v>0.4482</v>
      </c>
      <c r="Z971" s="14" t="n">
        <f aca="false">Assumptions!$B$3*R971+Assumptions!$B$4*S971+IF(AA971=1,Assumptions!$B$11,Assumptions!$B$5)*X971+IF(AA971=1,Assumptions!$B$12,Assumptions!$B$6)*T971+Assumptions!$B$7*U971+Assumptions!$B$8*V971+Assumptions!$B$9*Y971</f>
        <v>0.419299</v>
      </c>
      <c r="AA971" s="3" t="n">
        <v>0</v>
      </c>
    </row>
    <row r="972" customFormat="false" ht="15" hidden="false" customHeight="false" outlineLevel="0" collapsed="false">
      <c r="A972" s="3" t="s">
        <v>1157</v>
      </c>
      <c r="B972" s="3" t="n">
        <v>410</v>
      </c>
      <c r="C972" s="11" t="str">
        <f aca="false">IF(M972&gt;=Assumptions!$B$17,"S+",IF(M972&gt;=Assumptions!$B$18,"S",IF(M972&gt;=Assumptions!$B$19,"A",IF(M972&gt;=Assumptions!$B$20,"B",IF(M972&gt;=Assumptions!$B$21,"C",IF(M972&gt;=Assumptions!$B$22,"D","F"))))))</f>
        <v>F</v>
      </c>
      <c r="D972" s="3" t="s">
        <v>197</v>
      </c>
      <c r="E972" s="3" t="n">
        <v>6</v>
      </c>
      <c r="F972" s="12" t="n">
        <v>0.6644</v>
      </c>
      <c r="G972" s="12" t="n">
        <v>0.6</v>
      </c>
      <c r="H972" s="12" t="n">
        <v>0.75</v>
      </c>
      <c r="I972" s="12" t="n">
        <v>0.6545</v>
      </c>
      <c r="J972" s="12" t="n">
        <v>0.2614</v>
      </c>
      <c r="K972" s="12" t="n">
        <v>0.4534</v>
      </c>
      <c r="L972" s="3" t="n">
        <v>5</v>
      </c>
      <c r="M972" s="12" t="n">
        <f aca="false">Z972-W972</f>
        <v>-0.0333720000000001</v>
      </c>
      <c r="N972" s="12" t="n">
        <f aca="false">IFERROR((Z972-J972)/L972,"")</f>
        <v>0.0384056</v>
      </c>
      <c r="O972" s="3" t="n">
        <v>14</v>
      </c>
      <c r="P972" s="13" t="b">
        <f aca="false">FALSE()</f>
        <v>0</v>
      </c>
      <c r="Q972" s="3" t="s">
        <v>166</v>
      </c>
      <c r="R972" s="12" t="n">
        <v>0.6077</v>
      </c>
      <c r="S972" s="12" t="n">
        <v>0.3946</v>
      </c>
      <c r="T972" s="3" t="n">
        <v>0.3241</v>
      </c>
      <c r="U972" s="12" t="n">
        <v>0.3462</v>
      </c>
      <c r="V972" s="12" t="n">
        <v>0.4646</v>
      </c>
      <c r="W972" s="12" t="n">
        <v>0.4868</v>
      </c>
      <c r="X972" s="3" t="n">
        <v>0.2878</v>
      </c>
      <c r="Y972" s="3" t="n">
        <v>0.6557</v>
      </c>
      <c r="Z972" s="14" t="n">
        <f aca="false">Assumptions!$B$3*R972+Assumptions!$B$4*S972+IF(AA972=1,Assumptions!$B$11,Assumptions!$B$5)*X972+IF(AA972=1,Assumptions!$B$12,Assumptions!$B$6)*T972+Assumptions!$B$7*U972+Assumptions!$B$8*V972+Assumptions!$B$9*Y972</f>
        <v>0.453428</v>
      </c>
      <c r="AA972" s="3" t="n">
        <v>0</v>
      </c>
    </row>
    <row r="973" customFormat="false" ht="15" hidden="false" customHeight="false" outlineLevel="0" collapsed="false">
      <c r="A973" s="3" t="s">
        <v>1158</v>
      </c>
      <c r="B973" s="3" t="n">
        <v>300</v>
      </c>
      <c r="C973" s="11" t="str">
        <f aca="false">IF(M973&gt;=Assumptions!$B$17,"S+",IF(M973&gt;=Assumptions!$B$18,"S",IF(M973&gt;=Assumptions!$B$19,"A",IF(M973&gt;=Assumptions!$B$20,"B",IF(M973&gt;=Assumptions!$B$21,"C",IF(M973&gt;=Assumptions!$B$22,"D","F"))))))</f>
        <v>F</v>
      </c>
      <c r="D973" s="3" t="s">
        <v>190</v>
      </c>
      <c r="E973" s="3" t="n">
        <v>1</v>
      </c>
      <c r="F973" s="12" t="n">
        <v>0.5167</v>
      </c>
      <c r="G973" s="12" t="n">
        <v>0.8</v>
      </c>
      <c r="H973" s="12" t="n">
        <v>0.75</v>
      </c>
      <c r="I973" s="12" t="n">
        <v>0.6823</v>
      </c>
      <c r="J973" s="12" t="n">
        <v>0.3231</v>
      </c>
      <c r="K973" s="12" t="n">
        <v>0.4496</v>
      </c>
      <c r="L973" s="3" t="n">
        <v>6.63</v>
      </c>
      <c r="M973" s="12" t="n">
        <f aca="false">Z973-W973</f>
        <v>-0.0340019999999999</v>
      </c>
      <c r="N973" s="12" t="n">
        <f aca="false">IFERROR((Z973-J973)/L973,"")</f>
        <v>0.0190796380090498</v>
      </c>
      <c r="O973" s="3" t="n">
        <v>19</v>
      </c>
      <c r="P973" s="13" t="b">
        <f aca="false">FALSE()</f>
        <v>0</v>
      </c>
      <c r="Q973" s="3" t="s">
        <v>166</v>
      </c>
      <c r="R973" s="12" t="n">
        <v>0.7276</v>
      </c>
      <c r="S973" s="12" t="n">
        <v>0.3813</v>
      </c>
      <c r="T973" s="3" t="n">
        <v>0.1829</v>
      </c>
      <c r="U973" s="12" t="n">
        <v>0.3765</v>
      </c>
      <c r="V973" s="12" t="n">
        <v>0.4809</v>
      </c>
      <c r="W973" s="12" t="n">
        <v>0.4836</v>
      </c>
      <c r="X973" s="3" t="n">
        <v>0.175</v>
      </c>
      <c r="Y973" s="3" t="n">
        <v>0.6273</v>
      </c>
      <c r="Z973" s="14" t="n">
        <f aca="false">Assumptions!$B$3*R973+Assumptions!$B$4*S973+IF(AA973=1,Assumptions!$B$11,Assumptions!$B$5)*X973+IF(AA973=1,Assumptions!$B$12,Assumptions!$B$6)*T973+Assumptions!$B$7*U973+Assumptions!$B$8*V973+Assumptions!$B$9*Y973</f>
        <v>0.449598</v>
      </c>
      <c r="AA973" s="3" t="n">
        <v>0</v>
      </c>
    </row>
    <row r="974" customFormat="false" ht="15" hidden="false" customHeight="false" outlineLevel="0" collapsed="false">
      <c r="A974" s="3" t="s">
        <v>1159</v>
      </c>
      <c r="B974" s="3" t="n">
        <v>266</v>
      </c>
      <c r="C974" s="11" t="str">
        <f aca="false">IF(M974&gt;=Assumptions!$B$17,"S+",IF(M974&gt;=Assumptions!$B$18,"S",IF(M974&gt;=Assumptions!$B$19,"A",IF(M974&gt;=Assumptions!$B$20,"B",IF(M974&gt;=Assumptions!$B$21,"C",IF(M974&gt;=Assumptions!$B$22,"D","F"))))))</f>
        <v>F</v>
      </c>
      <c r="D974" s="3" t="s">
        <v>175</v>
      </c>
      <c r="E974" s="3" t="n">
        <v>1</v>
      </c>
      <c r="F974" s="12" t="n">
        <v>0.6142</v>
      </c>
      <c r="G974" s="12" t="n">
        <v>0.3</v>
      </c>
      <c r="H974" s="12" t="n">
        <v>0.75</v>
      </c>
      <c r="I974" s="12" t="n">
        <v>0.4371</v>
      </c>
      <c r="J974" s="12" t="n">
        <v>0.1878</v>
      </c>
      <c r="K974" s="12" t="n">
        <v>0.4183</v>
      </c>
      <c r="L974" s="3" t="n">
        <v>5.76</v>
      </c>
      <c r="M974" s="12" t="n">
        <f aca="false">Z974-W974</f>
        <v>-0.034153</v>
      </c>
      <c r="N974" s="12" t="n">
        <f aca="false">IFERROR((Z974-J974)/L974,"")</f>
        <v>0.0400255208333333</v>
      </c>
      <c r="O974" s="3" t="n">
        <v>19</v>
      </c>
      <c r="P974" s="13" t="b">
        <f aca="false">FALSE()</f>
        <v>0</v>
      </c>
      <c r="Q974" s="3" t="s">
        <v>166</v>
      </c>
      <c r="R974" s="12" t="n">
        <v>0.779</v>
      </c>
      <c r="S974" s="12" t="n">
        <v>0.3821</v>
      </c>
      <c r="T974" s="3" t="n">
        <v>0.1309</v>
      </c>
      <c r="U974" s="12" t="n">
        <v>0.2389</v>
      </c>
      <c r="V974" s="12" t="n">
        <v>0.4788</v>
      </c>
      <c r="W974" s="12" t="n">
        <v>0.4525</v>
      </c>
      <c r="X974" s="3" t="n">
        <v>0.2066</v>
      </c>
      <c r="Y974" s="3" t="n">
        <v>0.3317</v>
      </c>
      <c r="Z974" s="14" t="n">
        <f aca="false">Assumptions!$B$3*R974+Assumptions!$B$4*S974+IF(AA974=1,Assumptions!$B$11,Assumptions!$B$5)*X974+IF(AA974=1,Assumptions!$B$12,Assumptions!$B$6)*T974+Assumptions!$B$7*U974+Assumptions!$B$8*V974+Assumptions!$B$9*Y974</f>
        <v>0.418347</v>
      </c>
      <c r="AA974" s="3" t="n">
        <v>0</v>
      </c>
    </row>
    <row r="975" customFormat="false" ht="15" hidden="false" customHeight="false" outlineLevel="0" collapsed="false">
      <c r="A975" s="3" t="s">
        <v>1160</v>
      </c>
      <c r="B975" s="3" t="n">
        <v>350</v>
      </c>
      <c r="C975" s="11" t="str">
        <f aca="false">IF(M975&gt;=Assumptions!$B$17,"S+",IF(M975&gt;=Assumptions!$B$18,"S",IF(M975&gt;=Assumptions!$B$19,"A",IF(M975&gt;=Assumptions!$B$20,"B",IF(M975&gt;=Assumptions!$B$21,"C",IF(M975&gt;=Assumptions!$B$22,"D","F"))))))</f>
        <v>F</v>
      </c>
      <c r="D975" s="3" t="s">
        <v>228</v>
      </c>
      <c r="E975" s="3" t="n">
        <v>1</v>
      </c>
      <c r="F975" s="12" t="n">
        <v>0.6649</v>
      </c>
      <c r="G975" s="12" t="n">
        <v>0.4</v>
      </c>
      <c r="H975" s="12" t="n">
        <v>0.75</v>
      </c>
      <c r="I975" s="12" t="n">
        <v>0.5548</v>
      </c>
      <c r="J975" s="12" t="n">
        <v>0.2722</v>
      </c>
      <c r="K975" s="12" t="n">
        <v>0.436</v>
      </c>
      <c r="L975" s="3" t="n">
        <v>5.63</v>
      </c>
      <c r="M975" s="12" t="n">
        <f aca="false">Z975-W975</f>
        <v>-0.0343109999999999</v>
      </c>
      <c r="N975" s="12" t="n">
        <f aca="false">IFERROR((Z975-J975)/L975,"")</f>
        <v>0.0290921847246892</v>
      </c>
      <c r="O975" s="3" t="n">
        <v>19</v>
      </c>
      <c r="P975" s="13" t="b">
        <f aca="false">FALSE()</f>
        <v>0</v>
      </c>
      <c r="Q975" s="3" t="s">
        <v>166</v>
      </c>
      <c r="R975" s="12" t="n">
        <v>0.7628</v>
      </c>
      <c r="S975" s="12" t="n">
        <v>0.2989</v>
      </c>
      <c r="T975" s="3" t="n">
        <v>0.3156</v>
      </c>
      <c r="U975" s="12" t="n">
        <v>0.1538</v>
      </c>
      <c r="V975" s="12" t="n">
        <v>0.4614</v>
      </c>
      <c r="W975" s="12" t="n">
        <v>0.4703</v>
      </c>
      <c r="X975" s="3" t="n">
        <v>0.2175</v>
      </c>
      <c r="Y975" s="3" t="n">
        <v>0.5402</v>
      </c>
      <c r="Z975" s="14" t="n">
        <f aca="false">Assumptions!$B$3*R975+Assumptions!$B$4*S975+IF(AA975=1,Assumptions!$B$11,Assumptions!$B$5)*X975+IF(AA975=1,Assumptions!$B$12,Assumptions!$B$6)*T975+Assumptions!$B$7*U975+Assumptions!$B$8*V975+Assumptions!$B$9*Y975</f>
        <v>0.435989</v>
      </c>
      <c r="AA975" s="3" t="n">
        <v>0</v>
      </c>
    </row>
    <row r="976" customFormat="false" ht="15" hidden="false" customHeight="false" outlineLevel="0" collapsed="false">
      <c r="A976" s="3" t="s">
        <v>1161</v>
      </c>
      <c r="B976" s="3" t="n">
        <v>345</v>
      </c>
      <c r="C976" s="11" t="str">
        <f aca="false">IF(M976&gt;=Assumptions!$B$17,"S+",IF(M976&gt;=Assumptions!$B$18,"S",IF(M976&gt;=Assumptions!$B$19,"A",IF(M976&gt;=Assumptions!$B$20,"B",IF(M976&gt;=Assumptions!$B$21,"C",IF(M976&gt;=Assumptions!$B$22,"D","F"))))))</f>
        <v>F</v>
      </c>
      <c r="D976" s="3" t="s">
        <v>200</v>
      </c>
      <c r="E976" s="3" t="n">
        <v>1</v>
      </c>
      <c r="F976" s="12" t="n">
        <v>0.6359</v>
      </c>
      <c r="G976" s="12" t="n">
        <v>0.85</v>
      </c>
      <c r="H976" s="12" t="n">
        <v>0.5694</v>
      </c>
      <c r="I976" s="12" t="n">
        <v>0.7404</v>
      </c>
      <c r="J976" s="12" t="n">
        <v>0.2749</v>
      </c>
      <c r="K976" s="12" t="n">
        <v>0.4594</v>
      </c>
      <c r="L976" s="3" t="n">
        <v>6.11</v>
      </c>
      <c r="M976" s="12" t="n">
        <f aca="false">Z976-W976</f>
        <v>-0.034558</v>
      </c>
      <c r="N976" s="12" t="n">
        <f aca="false">IFERROR((Z976-J976)/L976,"")</f>
        <v>0.030186906710311</v>
      </c>
      <c r="O976" s="3" t="n">
        <v>19</v>
      </c>
      <c r="P976" s="13" t="b">
        <f aca="false">FALSE()</f>
        <v>0</v>
      </c>
      <c r="Q976" s="3" t="s">
        <v>166</v>
      </c>
      <c r="R976" s="12" t="n">
        <v>0.6538</v>
      </c>
      <c r="S976" s="12" t="n">
        <v>0.4608</v>
      </c>
      <c r="T976" s="3" t="n">
        <v>0.1955</v>
      </c>
      <c r="U976" s="12" t="n">
        <v>0.3036</v>
      </c>
      <c r="V976" s="12" t="n">
        <v>0.4854</v>
      </c>
      <c r="W976" s="12" t="n">
        <v>0.4939</v>
      </c>
      <c r="X976" s="3" t="n">
        <v>0.266</v>
      </c>
      <c r="Y976" s="3" t="n">
        <v>0.6482</v>
      </c>
      <c r="Z976" s="14" t="n">
        <f aca="false">Assumptions!$B$3*R976+Assumptions!$B$4*S976+IF(AA976=1,Assumptions!$B$11,Assumptions!$B$5)*X976+IF(AA976=1,Assumptions!$B$12,Assumptions!$B$6)*T976+Assumptions!$B$7*U976+Assumptions!$B$8*V976+Assumptions!$B$9*Y976</f>
        <v>0.459342</v>
      </c>
      <c r="AA976" s="3" t="n">
        <v>1</v>
      </c>
    </row>
    <row r="977" customFormat="false" ht="15" hidden="false" customHeight="false" outlineLevel="0" collapsed="false">
      <c r="A977" s="3" t="s">
        <v>1162</v>
      </c>
      <c r="B977" s="3" t="n">
        <v>350</v>
      </c>
      <c r="C977" s="11" t="str">
        <f aca="false">IF(M977&gt;=Assumptions!$B$17,"S+",IF(M977&gt;=Assumptions!$B$18,"S",IF(M977&gt;=Assumptions!$B$19,"A",IF(M977&gt;=Assumptions!$B$20,"B",IF(M977&gt;=Assumptions!$B$21,"C",IF(M977&gt;=Assumptions!$B$22,"D","F"))))))</f>
        <v>F</v>
      </c>
      <c r="D977" s="3" t="s">
        <v>190</v>
      </c>
      <c r="E977" s="3" t="n">
        <v>2</v>
      </c>
      <c r="F977" s="12" t="n">
        <v>0.7467</v>
      </c>
      <c r="G977" s="12" t="n">
        <v>0.6</v>
      </c>
      <c r="H977" s="12" t="n">
        <v>0.75</v>
      </c>
      <c r="I977" s="12" t="n">
        <v>0.6858</v>
      </c>
      <c r="J977" s="12" t="n">
        <v>0.3271</v>
      </c>
      <c r="K977" s="12" t="n">
        <v>0.4574</v>
      </c>
      <c r="L977" s="3" t="n">
        <v>4.72</v>
      </c>
      <c r="M977" s="12" t="n">
        <f aca="false">Z977-W977</f>
        <v>-0.035036</v>
      </c>
      <c r="N977" s="12" t="n">
        <f aca="false">IFERROR((Z977-J977)/L977,"")</f>
        <v>0.0275983050847458</v>
      </c>
      <c r="O977" s="3" t="n">
        <v>18</v>
      </c>
      <c r="P977" s="13" t="b">
        <f aca="false">FALSE()</f>
        <v>0</v>
      </c>
      <c r="Q977" s="3" t="s">
        <v>166</v>
      </c>
      <c r="R977" s="12" t="n">
        <v>0.6955</v>
      </c>
      <c r="S977" s="12" t="n">
        <v>0.2424</v>
      </c>
      <c r="T977" s="3" t="n">
        <v>0.442</v>
      </c>
      <c r="U977" s="12" t="n">
        <v>0.3718</v>
      </c>
      <c r="V977" s="12" t="n">
        <v>0.4852</v>
      </c>
      <c r="W977" s="12" t="n">
        <v>0.4924</v>
      </c>
      <c r="X977" s="3" t="n">
        <v>0.1987</v>
      </c>
      <c r="Y977" s="3" t="n">
        <v>0.6479</v>
      </c>
      <c r="Z977" s="14" t="n">
        <f aca="false">Assumptions!$B$3*R977+Assumptions!$B$4*S977+IF(AA977=1,Assumptions!$B$11,Assumptions!$B$5)*X977+IF(AA977=1,Assumptions!$B$12,Assumptions!$B$6)*T977+Assumptions!$B$7*U977+Assumptions!$B$8*V977+Assumptions!$B$9*Y977</f>
        <v>0.457364</v>
      </c>
      <c r="AA977" s="3" t="n">
        <v>0</v>
      </c>
    </row>
    <row r="978" customFormat="false" ht="15" hidden="false" customHeight="false" outlineLevel="0" collapsed="false">
      <c r="A978" s="3" t="s">
        <v>1163</v>
      </c>
      <c r="B978" s="3" t="n">
        <v>290</v>
      </c>
      <c r="C978" s="11" t="str">
        <f aca="false">IF(M978&gt;=Assumptions!$B$17,"S+",IF(M978&gt;=Assumptions!$B$18,"S",IF(M978&gt;=Assumptions!$B$19,"A",IF(M978&gt;=Assumptions!$B$20,"B",IF(M978&gt;=Assumptions!$B$21,"C",IF(M978&gt;=Assumptions!$B$22,"D","F"))))))</f>
        <v>F</v>
      </c>
      <c r="D978" s="3" t="s">
        <v>183</v>
      </c>
      <c r="E978" s="3" t="n">
        <v>1</v>
      </c>
      <c r="F978" s="12" t="n">
        <v>0.5774</v>
      </c>
      <c r="G978" s="12" t="n">
        <v>0.76</v>
      </c>
      <c r="H978" s="12" t="n">
        <v>0.4444</v>
      </c>
      <c r="I978" s="12" t="n">
        <v>0.63</v>
      </c>
      <c r="J978" s="12" t="n">
        <v>0.2555</v>
      </c>
      <c r="K978" s="12" t="n">
        <v>0.4411</v>
      </c>
      <c r="L978" s="3" t="n">
        <v>5.82</v>
      </c>
      <c r="M978" s="12" t="n">
        <f aca="false">Z978-W978</f>
        <v>-0.035237</v>
      </c>
      <c r="N978" s="12" t="n">
        <f aca="false">IFERROR((Z978-J978)/L978,"")</f>
        <v>0.031883676975945</v>
      </c>
      <c r="O978" s="3" t="n">
        <v>19</v>
      </c>
      <c r="P978" s="13" t="b">
        <f aca="false">FALSE()</f>
        <v>0</v>
      </c>
      <c r="Q978" s="3" t="s">
        <v>166</v>
      </c>
      <c r="R978" s="12" t="n">
        <v>0.6098</v>
      </c>
      <c r="S978" s="12" t="n">
        <v>0.4128</v>
      </c>
      <c r="T978" s="3" t="n">
        <v>0.0648</v>
      </c>
      <c r="U978" s="12" t="n">
        <v>0.3441</v>
      </c>
      <c r="V978" s="12" t="n">
        <v>0.3883</v>
      </c>
      <c r="W978" s="12" t="n">
        <v>0.4763</v>
      </c>
      <c r="X978" s="3" t="n">
        <v>0.33</v>
      </c>
      <c r="Y978" s="3" t="n">
        <v>0.6168</v>
      </c>
      <c r="Z978" s="14" t="n">
        <f aca="false">Assumptions!$B$3*R978+Assumptions!$B$4*S978+IF(AA978=1,Assumptions!$B$11,Assumptions!$B$5)*X978+IF(AA978=1,Assumptions!$B$12,Assumptions!$B$6)*T978+Assumptions!$B$7*U978+Assumptions!$B$8*V978+Assumptions!$B$9*Y978</f>
        <v>0.441063</v>
      </c>
      <c r="AA978" s="3" t="n">
        <v>1</v>
      </c>
    </row>
    <row r="979" customFormat="false" ht="15" hidden="false" customHeight="false" outlineLevel="0" collapsed="false">
      <c r="A979" s="3" t="s">
        <v>1164</v>
      </c>
      <c r="B979" s="3" t="n">
        <v>350</v>
      </c>
      <c r="C979" s="11" t="str">
        <f aca="false">IF(M979&gt;=Assumptions!$B$17,"S+",IF(M979&gt;=Assumptions!$B$18,"S",IF(M979&gt;=Assumptions!$B$19,"A",IF(M979&gt;=Assumptions!$B$20,"B",IF(M979&gt;=Assumptions!$B$21,"C",IF(M979&gt;=Assumptions!$B$22,"D","F"))))))</f>
        <v>F</v>
      </c>
      <c r="D979" s="3" t="s">
        <v>228</v>
      </c>
      <c r="E979" s="3" t="n">
        <v>7</v>
      </c>
      <c r="F979" s="12" t="n">
        <v>0.5294</v>
      </c>
      <c r="G979" s="12" t="n">
        <v>0.6</v>
      </c>
      <c r="H979" s="12" t="n">
        <v>0.75</v>
      </c>
      <c r="I979" s="12" t="n">
        <v>0.6074</v>
      </c>
      <c r="J979" s="12" t="n">
        <v>0.2674</v>
      </c>
      <c r="K979" s="12" t="n">
        <v>0.4288</v>
      </c>
      <c r="L979" s="3" t="n">
        <v>6</v>
      </c>
      <c r="M979" s="12" t="n">
        <f aca="false">Z979-W979</f>
        <v>-0.035257</v>
      </c>
      <c r="N979" s="12" t="n">
        <f aca="false">IFERROR((Z979-J979)/L979,"")</f>
        <v>0.0269071666666667</v>
      </c>
      <c r="O979" s="3" t="n">
        <v>13</v>
      </c>
      <c r="P979" s="13" t="b">
        <f aca="false">FALSE()</f>
        <v>0</v>
      </c>
      <c r="Q979" s="3" t="s">
        <v>166</v>
      </c>
      <c r="R979" s="12" t="n">
        <v>0.6862</v>
      </c>
      <c r="S979" s="12" t="n">
        <v>0.2393</v>
      </c>
      <c r="T979" s="3" t="n">
        <v>0.1115</v>
      </c>
      <c r="U979" s="12" t="n">
        <v>0.503</v>
      </c>
      <c r="V979" s="12" t="n">
        <v>0.45</v>
      </c>
      <c r="W979" s="12" t="n">
        <v>0.4641</v>
      </c>
      <c r="X979" s="3" t="n">
        <v>0.2521</v>
      </c>
      <c r="Y979" s="3" t="n">
        <v>0.6102</v>
      </c>
      <c r="Z979" s="14" t="n">
        <f aca="false">Assumptions!$B$3*R979+Assumptions!$B$4*S979+IF(AA979=1,Assumptions!$B$11,Assumptions!$B$5)*X979+IF(AA979=1,Assumptions!$B$12,Assumptions!$B$6)*T979+Assumptions!$B$7*U979+Assumptions!$B$8*V979+Assumptions!$B$9*Y979</f>
        <v>0.428843</v>
      </c>
      <c r="AA979" s="3" t="n">
        <v>0</v>
      </c>
    </row>
    <row r="980" customFormat="false" ht="15" hidden="false" customHeight="false" outlineLevel="0" collapsed="false">
      <c r="A980" s="3" t="s">
        <v>1165</v>
      </c>
      <c r="B980" s="3" t="n">
        <v>480</v>
      </c>
      <c r="C980" s="11" t="str">
        <f aca="false">IF(M980&gt;=Assumptions!$B$17,"S+",IF(M980&gt;=Assumptions!$B$18,"S",IF(M980&gt;=Assumptions!$B$19,"A",IF(M980&gt;=Assumptions!$B$20,"B",IF(M980&gt;=Assumptions!$B$21,"C",IF(M980&gt;=Assumptions!$B$22,"D","F"))))))</f>
        <v>F</v>
      </c>
      <c r="D980" s="3" t="s">
        <v>253</v>
      </c>
      <c r="E980" s="3" t="n">
        <v>3</v>
      </c>
      <c r="F980" s="12" t="n">
        <v>0.8987</v>
      </c>
      <c r="G980" s="12" t="n">
        <v>0.4</v>
      </c>
      <c r="H980" s="12" t="n">
        <v>0.75</v>
      </c>
      <c r="I980" s="12" t="n">
        <v>0.6296</v>
      </c>
      <c r="J980" s="12" t="n">
        <v>0.3531</v>
      </c>
      <c r="K980" s="12" t="n">
        <v>0.4836</v>
      </c>
      <c r="L980" s="3" t="n">
        <v>3.76</v>
      </c>
      <c r="M980" s="12" t="n">
        <f aca="false">Z980-W980</f>
        <v>-0.03523</v>
      </c>
      <c r="N980" s="12" t="n">
        <f aca="false">IFERROR((Z980-J980)/L980,"")</f>
        <v>0.0346994680851064</v>
      </c>
      <c r="O980" s="3" t="n">
        <v>17</v>
      </c>
      <c r="P980" s="13" t="b">
        <f aca="false">FALSE()</f>
        <v>0</v>
      </c>
      <c r="Q980" s="3" t="s">
        <v>201</v>
      </c>
      <c r="R980" s="12" t="n">
        <v>0.8008</v>
      </c>
      <c r="S980" s="12" t="n">
        <v>0.3007</v>
      </c>
      <c r="T980" s="3" t="n">
        <v>0.6951</v>
      </c>
      <c r="U980" s="12" t="n">
        <v>0.1991</v>
      </c>
      <c r="V980" s="12" t="n">
        <v>0.4299</v>
      </c>
      <c r="W980" s="12" t="n">
        <v>0.5188</v>
      </c>
      <c r="X980" s="3" t="n">
        <v>0.1441</v>
      </c>
      <c r="Y980" s="3" t="n">
        <v>0.5659</v>
      </c>
      <c r="Z980" s="14" t="n">
        <f aca="false">Assumptions!$B$3*R980+Assumptions!$B$4*S980+IF(AA980=1,Assumptions!$B$11,Assumptions!$B$5)*X980+IF(AA980=1,Assumptions!$B$12,Assumptions!$B$6)*T980+Assumptions!$B$7*U980+Assumptions!$B$8*V980+Assumptions!$B$9*Y980</f>
        <v>0.48357</v>
      </c>
      <c r="AA980" s="3" t="n">
        <v>0</v>
      </c>
    </row>
    <row r="981" customFormat="false" ht="15" hidden="false" customHeight="false" outlineLevel="0" collapsed="false">
      <c r="A981" s="3" t="s">
        <v>1166</v>
      </c>
      <c r="B981" s="3" t="n">
        <v>303</v>
      </c>
      <c r="C981" s="11" t="str">
        <f aca="false">IF(M981&gt;=Assumptions!$B$17,"S+",IF(M981&gt;=Assumptions!$B$18,"S",IF(M981&gt;=Assumptions!$B$19,"A",IF(M981&gt;=Assumptions!$B$20,"B",IF(M981&gt;=Assumptions!$B$21,"C",IF(M981&gt;=Assumptions!$B$22,"D","F"))))))</f>
        <v>F</v>
      </c>
      <c r="D981" s="3" t="s">
        <v>180</v>
      </c>
      <c r="E981" s="3" t="n">
        <v>2</v>
      </c>
      <c r="F981" s="12" t="n">
        <v>0.5877</v>
      </c>
      <c r="G981" s="12" t="n">
        <v>0.85</v>
      </c>
      <c r="H981" s="12" t="n">
        <v>0.5298</v>
      </c>
      <c r="I981" s="12" t="n">
        <v>0.7335</v>
      </c>
      <c r="J981" s="12" t="n">
        <v>0.3215</v>
      </c>
      <c r="K981" s="12" t="n">
        <v>0.4523</v>
      </c>
      <c r="L981" s="3" t="n">
        <v>5.67</v>
      </c>
      <c r="M981" s="12" t="n">
        <f aca="false">Z981-W981</f>
        <v>-0.035401</v>
      </c>
      <c r="N981" s="12" t="n">
        <f aca="false">IFERROR((Z981-J981)/L981,"")</f>
        <v>0.02306860670194</v>
      </c>
      <c r="O981" s="3" t="n">
        <v>18</v>
      </c>
      <c r="P981" s="13" t="b">
        <f aca="false">FALSE()</f>
        <v>0</v>
      </c>
      <c r="Q981" s="3" t="s">
        <v>166</v>
      </c>
      <c r="R981" s="12" t="n">
        <v>0.5477</v>
      </c>
      <c r="S981" s="12" t="n">
        <v>0.447</v>
      </c>
      <c r="T981" s="3" t="n">
        <v>0.103</v>
      </c>
      <c r="U981" s="12" t="n">
        <v>0.376</v>
      </c>
      <c r="V981" s="12" t="n">
        <v>0.5367</v>
      </c>
      <c r="W981" s="12" t="n">
        <v>0.4877</v>
      </c>
      <c r="X981" s="3" t="n">
        <v>0.2925</v>
      </c>
      <c r="Y981" s="3" t="n">
        <v>0.7189</v>
      </c>
      <c r="Z981" s="14" t="n">
        <f aca="false">Assumptions!$B$3*R981+Assumptions!$B$4*S981+IF(AA981=1,Assumptions!$B$11,Assumptions!$B$5)*X981+IF(AA981=1,Assumptions!$B$12,Assumptions!$B$6)*T981+Assumptions!$B$7*U981+Assumptions!$B$8*V981+Assumptions!$B$9*Y981</f>
        <v>0.452299</v>
      </c>
      <c r="AA981" s="3" t="n">
        <v>1</v>
      </c>
    </row>
    <row r="982" customFormat="false" ht="15" hidden="false" customHeight="false" outlineLevel="0" collapsed="false">
      <c r="A982" s="3" t="s">
        <v>1167</v>
      </c>
      <c r="B982" s="3" t="n">
        <v>318</v>
      </c>
      <c r="C982" s="11" t="str">
        <f aca="false">IF(M982&gt;=Assumptions!$B$17,"S+",IF(M982&gt;=Assumptions!$B$18,"S",IF(M982&gt;=Assumptions!$B$19,"A",IF(M982&gt;=Assumptions!$B$20,"B",IF(M982&gt;=Assumptions!$B$21,"C",IF(M982&gt;=Assumptions!$B$22,"D","F"))))))</f>
        <v>F</v>
      </c>
      <c r="D982" s="3" t="s">
        <v>197</v>
      </c>
      <c r="E982" s="3" t="n">
        <v>1</v>
      </c>
      <c r="F982" s="12" t="n">
        <v>0.449</v>
      </c>
      <c r="G982" s="12" t="n">
        <v>0.8</v>
      </c>
      <c r="H982" s="12" t="n">
        <v>0.75</v>
      </c>
      <c r="I982" s="12" t="n">
        <v>0.6566</v>
      </c>
      <c r="J982" s="12" t="n">
        <v>0.2789</v>
      </c>
      <c r="K982" s="12" t="n">
        <v>0.4579</v>
      </c>
      <c r="L982" s="3" t="n">
        <v>6.68</v>
      </c>
      <c r="M982" s="12" t="n">
        <f aca="false">Z982-W982</f>
        <v>-0.035542</v>
      </c>
      <c r="N982" s="12" t="n">
        <f aca="false">IFERROR((Z982-J982)/L982,"")</f>
        <v>0.026790119760479</v>
      </c>
      <c r="O982" s="3" t="n">
        <v>19</v>
      </c>
      <c r="P982" s="13" t="b">
        <f aca="false">FALSE()</f>
        <v>0</v>
      </c>
      <c r="Q982" s="3" t="s">
        <v>166</v>
      </c>
      <c r="R982" s="12" t="n">
        <v>0.6554</v>
      </c>
      <c r="S982" s="12" t="n">
        <v>0.3517</v>
      </c>
      <c r="T982" s="3" t="n">
        <v>0.1984</v>
      </c>
      <c r="U982" s="12" t="n">
        <v>0.4251</v>
      </c>
      <c r="V982" s="12" t="n">
        <v>0.4857</v>
      </c>
      <c r="W982" s="12" t="n">
        <v>0.4934</v>
      </c>
      <c r="X982" s="3" t="n">
        <v>0.3179</v>
      </c>
      <c r="Y982" s="3" t="n">
        <v>0.6409</v>
      </c>
      <c r="Z982" s="14" t="n">
        <f aca="false">Assumptions!$B$3*R982+Assumptions!$B$4*S982+IF(AA982=1,Assumptions!$B$11,Assumptions!$B$5)*X982+IF(AA982=1,Assumptions!$B$12,Assumptions!$B$6)*T982+Assumptions!$B$7*U982+Assumptions!$B$8*V982+Assumptions!$B$9*Y982</f>
        <v>0.457858</v>
      </c>
      <c r="AA982" s="3" t="n">
        <v>0</v>
      </c>
    </row>
    <row r="983" customFormat="false" ht="15" hidden="false" customHeight="false" outlineLevel="0" collapsed="false">
      <c r="A983" s="3" t="s">
        <v>1168</v>
      </c>
      <c r="B983" s="3" t="n">
        <v>405</v>
      </c>
      <c r="C983" s="11" t="str">
        <f aca="false">IF(M983&gt;=Assumptions!$B$17,"S+",IF(M983&gt;=Assumptions!$B$18,"S",IF(M983&gt;=Assumptions!$B$19,"A",IF(M983&gt;=Assumptions!$B$20,"B",IF(M983&gt;=Assumptions!$B$21,"C",IF(M983&gt;=Assumptions!$B$22,"D","F"))))))</f>
        <v>F</v>
      </c>
      <c r="D983" s="3" t="s">
        <v>197</v>
      </c>
      <c r="E983" s="3" t="n">
        <v>2</v>
      </c>
      <c r="F983" s="12" t="n">
        <v>0.795</v>
      </c>
      <c r="G983" s="12" t="n">
        <v>1</v>
      </c>
      <c r="H983" s="12" t="n">
        <v>0.75</v>
      </c>
      <c r="I983" s="12" t="n">
        <v>0.8721</v>
      </c>
      <c r="J983" s="12" t="n">
        <v>0.3593</v>
      </c>
      <c r="K983" s="12" t="n">
        <v>0.4702</v>
      </c>
      <c r="L983" s="3" t="n">
        <v>4.89</v>
      </c>
      <c r="M983" s="12" t="n">
        <f aca="false">Z983-W983</f>
        <v>-0.035773</v>
      </c>
      <c r="N983" s="12" t="n">
        <f aca="false">IFERROR((Z983-J983)/L983,"")</f>
        <v>0.0226844580777096</v>
      </c>
      <c r="O983" s="3" t="n">
        <v>18</v>
      </c>
      <c r="P983" s="13" t="b">
        <f aca="false">FALSE()</f>
        <v>0</v>
      </c>
      <c r="Q983" s="3" t="s">
        <v>166</v>
      </c>
      <c r="R983" s="12" t="n">
        <v>0.6536</v>
      </c>
      <c r="S983" s="12" t="n">
        <v>0.3025</v>
      </c>
      <c r="T983" s="3" t="n">
        <v>0.4617</v>
      </c>
      <c r="U983" s="12" t="n">
        <v>0.3718</v>
      </c>
      <c r="V983" s="12" t="n">
        <v>0.4458</v>
      </c>
      <c r="W983" s="12" t="n">
        <v>0.506</v>
      </c>
      <c r="X983" s="3" t="n">
        <v>0.1814</v>
      </c>
      <c r="Y983" s="3" t="n">
        <v>0.8427</v>
      </c>
      <c r="Z983" s="14" t="n">
        <f aca="false">Assumptions!$B$3*R983+Assumptions!$B$4*S983+IF(AA983=1,Assumptions!$B$11,Assumptions!$B$5)*X983+IF(AA983=1,Assumptions!$B$12,Assumptions!$B$6)*T983+Assumptions!$B$7*U983+Assumptions!$B$8*V983+Assumptions!$B$9*Y983</f>
        <v>0.470227</v>
      </c>
      <c r="AA983" s="3" t="n">
        <v>0</v>
      </c>
    </row>
    <row r="984" customFormat="false" ht="15" hidden="false" customHeight="false" outlineLevel="0" collapsed="false">
      <c r="A984" s="3" t="s">
        <v>1169</v>
      </c>
      <c r="B984" s="3" t="n">
        <v>418</v>
      </c>
      <c r="C984" s="11" t="str">
        <f aca="false">IF(M984&gt;=Assumptions!$B$17,"S+",IF(M984&gt;=Assumptions!$B$18,"S",IF(M984&gt;=Assumptions!$B$19,"A",IF(M984&gt;=Assumptions!$B$20,"B",IF(M984&gt;=Assumptions!$B$21,"C",IF(M984&gt;=Assumptions!$B$22,"D","F"))))))</f>
        <v>F</v>
      </c>
      <c r="D984" s="3" t="s">
        <v>218</v>
      </c>
      <c r="E984" s="3" t="n">
        <v>2</v>
      </c>
      <c r="F984" s="12" t="n">
        <v>0.7455</v>
      </c>
      <c r="G984" s="12" t="n">
        <v>0.6</v>
      </c>
      <c r="H984" s="12" t="n">
        <v>0.75</v>
      </c>
      <c r="I984" s="12" t="n">
        <v>0.6765</v>
      </c>
      <c r="J984" s="12" t="n">
        <v>0.3196</v>
      </c>
      <c r="K984" s="12" t="n">
        <v>0.4846</v>
      </c>
      <c r="L984" s="3" t="n">
        <v>4.75</v>
      </c>
      <c r="M984" s="12" t="n">
        <f aca="false">Z984-W984</f>
        <v>-0.0356709999999999</v>
      </c>
      <c r="N984" s="12" t="n">
        <f aca="false">IFERROR((Z984-J984)/L984,"")</f>
        <v>0.0347429473684211</v>
      </c>
      <c r="O984" s="3" t="n">
        <v>18</v>
      </c>
      <c r="P984" s="13" t="b">
        <f aca="false">FALSE()</f>
        <v>0</v>
      </c>
      <c r="Q984" s="3" t="s">
        <v>166</v>
      </c>
      <c r="R984" s="12" t="n">
        <v>0.8284</v>
      </c>
      <c r="S984" s="12" t="n">
        <v>0.3868</v>
      </c>
      <c r="T984" s="3" t="n">
        <v>0.2421</v>
      </c>
      <c r="U984" s="12" t="n">
        <v>0.2949</v>
      </c>
      <c r="V984" s="12" t="n">
        <v>0.4559</v>
      </c>
      <c r="W984" s="12" t="n">
        <v>0.5203</v>
      </c>
      <c r="X984" s="3" t="n">
        <v>0.2359</v>
      </c>
      <c r="Y984" s="3" t="n">
        <v>0.6479</v>
      </c>
      <c r="Z984" s="14" t="n">
        <f aca="false">Assumptions!$B$3*R984+Assumptions!$B$4*S984+IF(AA984=1,Assumptions!$B$11,Assumptions!$B$5)*X984+IF(AA984=1,Assumptions!$B$12,Assumptions!$B$6)*T984+Assumptions!$B$7*U984+Assumptions!$B$8*V984+Assumptions!$B$9*Y984</f>
        <v>0.484629</v>
      </c>
      <c r="AA984" s="3" t="n">
        <v>0</v>
      </c>
    </row>
    <row r="985" customFormat="false" ht="15" hidden="false" customHeight="false" outlineLevel="0" collapsed="false">
      <c r="A985" s="3" t="s">
        <v>1170</v>
      </c>
      <c r="B985" s="3" t="n">
        <v>360</v>
      </c>
      <c r="C985" s="11" t="str">
        <f aca="false">IF(M985&gt;=Assumptions!$B$17,"S+",IF(M985&gt;=Assumptions!$B$18,"S",IF(M985&gt;=Assumptions!$B$19,"A",IF(M985&gt;=Assumptions!$B$20,"B",IF(M985&gt;=Assumptions!$B$21,"C",IF(M985&gt;=Assumptions!$B$22,"D","F"))))))</f>
        <v>F</v>
      </c>
      <c r="D985" s="3" t="s">
        <v>218</v>
      </c>
      <c r="E985" s="3" t="n">
        <v>2</v>
      </c>
      <c r="F985" s="12" t="n">
        <v>0.7284</v>
      </c>
      <c r="G985" s="12" t="n">
        <v>0.4</v>
      </c>
      <c r="H985" s="12" t="n">
        <v>0.75</v>
      </c>
      <c r="I985" s="12" t="n">
        <v>0.5751</v>
      </c>
      <c r="J985" s="12" t="n">
        <v>0.2493</v>
      </c>
      <c r="K985" s="12" t="n">
        <v>0.4697</v>
      </c>
      <c r="L985" s="3" t="n">
        <v>5.67</v>
      </c>
      <c r="M985" s="12" t="n">
        <f aca="false">Z985-W985</f>
        <v>-0.0359380000000001</v>
      </c>
      <c r="N985" s="12" t="n">
        <f aca="false">IFERROR((Z985-J985)/L985,"")</f>
        <v>0.0388645502645503</v>
      </c>
      <c r="O985" s="3" t="n">
        <v>18</v>
      </c>
      <c r="P985" s="13" t="b">
        <f aca="false">FALSE()</f>
        <v>0</v>
      </c>
      <c r="Q985" s="3" t="s">
        <v>166</v>
      </c>
      <c r="R985" s="12" t="n">
        <v>0.6815</v>
      </c>
      <c r="S985" s="12" t="n">
        <v>0.3156</v>
      </c>
      <c r="T985" s="3" t="n">
        <v>0.2841</v>
      </c>
      <c r="U985" s="12" t="n">
        <v>0.3718</v>
      </c>
      <c r="V985" s="12" t="n">
        <v>0.4414</v>
      </c>
      <c r="W985" s="12" t="n">
        <v>0.5056</v>
      </c>
      <c r="X985" s="3" t="n">
        <v>0.4821</v>
      </c>
      <c r="Y985" s="3" t="n">
        <v>0.4817</v>
      </c>
      <c r="Z985" s="14" t="n">
        <f aca="false">Assumptions!$B$3*R985+Assumptions!$B$4*S985+IF(AA985=1,Assumptions!$B$11,Assumptions!$B$5)*X985+IF(AA985=1,Assumptions!$B$12,Assumptions!$B$6)*T985+Assumptions!$B$7*U985+Assumptions!$B$8*V985+Assumptions!$B$9*Y985</f>
        <v>0.469662</v>
      </c>
      <c r="AA985" s="3" t="n">
        <v>0</v>
      </c>
    </row>
    <row r="986" customFormat="false" ht="15" hidden="false" customHeight="false" outlineLevel="0" collapsed="false">
      <c r="A986" s="3" t="s">
        <v>1171</v>
      </c>
      <c r="B986" s="3" t="n">
        <v>289</v>
      </c>
      <c r="C986" s="11" t="str">
        <f aca="false">IF(M986&gt;=Assumptions!$B$17,"S+",IF(M986&gt;=Assumptions!$B$18,"S",IF(M986&gt;=Assumptions!$B$19,"A",IF(M986&gt;=Assumptions!$B$20,"B",IF(M986&gt;=Assumptions!$B$21,"C",IF(M986&gt;=Assumptions!$B$22,"D","F"))))))</f>
        <v>F</v>
      </c>
      <c r="D986" s="3" t="s">
        <v>253</v>
      </c>
      <c r="E986" s="3" t="n">
        <v>2</v>
      </c>
      <c r="F986" s="12" t="n">
        <v>0.5595</v>
      </c>
      <c r="G986" s="12" t="n">
        <v>1</v>
      </c>
      <c r="H986" s="12" t="n">
        <v>0.75</v>
      </c>
      <c r="I986" s="12" t="n">
        <v>0.809</v>
      </c>
      <c r="J986" s="12" t="n">
        <v>0.2948</v>
      </c>
      <c r="K986" s="12" t="n">
        <v>0.4905</v>
      </c>
      <c r="L986" s="3" t="n">
        <v>6.78</v>
      </c>
      <c r="M986" s="12" t="n">
        <f aca="false">Z986-W986</f>
        <v>-0.035992</v>
      </c>
      <c r="N986" s="12" t="n">
        <f aca="false">IFERROR((Z986-J986)/L986,"")</f>
        <v>0.0288654867256637</v>
      </c>
      <c r="O986" s="3" t="n">
        <v>18</v>
      </c>
      <c r="P986" s="13" t="b">
        <f aca="false">FALSE()</f>
        <v>0</v>
      </c>
      <c r="Q986" s="3" t="s">
        <v>166</v>
      </c>
      <c r="R986" s="12" t="n">
        <v>0.6212</v>
      </c>
      <c r="S986" s="12" t="n">
        <v>0.2622</v>
      </c>
      <c r="T986" s="3" t="n">
        <v>0.3223</v>
      </c>
      <c r="U986" s="12" t="n">
        <v>0.6282</v>
      </c>
      <c r="V986" s="12" t="n">
        <v>0.466</v>
      </c>
      <c r="W986" s="12" t="n">
        <v>0.5265</v>
      </c>
      <c r="X986" s="3" t="n">
        <v>0.3735</v>
      </c>
      <c r="Y986" s="3" t="n">
        <v>0.7715</v>
      </c>
      <c r="Z986" s="14" t="n">
        <f aca="false">Assumptions!$B$3*R986+Assumptions!$B$4*S986+IF(AA986=1,Assumptions!$B$11,Assumptions!$B$5)*X986+IF(AA986=1,Assumptions!$B$12,Assumptions!$B$6)*T986+Assumptions!$B$7*U986+Assumptions!$B$8*V986+Assumptions!$B$9*Y986</f>
        <v>0.490508</v>
      </c>
      <c r="AA986" s="3" t="n">
        <v>0</v>
      </c>
    </row>
    <row r="987" customFormat="false" ht="15" hidden="false" customHeight="false" outlineLevel="0" collapsed="false">
      <c r="A987" s="3" t="s">
        <v>1172</v>
      </c>
      <c r="B987" s="3" t="n">
        <v>310</v>
      </c>
      <c r="C987" s="11" t="str">
        <f aca="false">IF(M987&gt;=Assumptions!$B$17,"S+",IF(M987&gt;=Assumptions!$B$18,"S",IF(M987&gt;=Assumptions!$B$19,"A",IF(M987&gt;=Assumptions!$B$20,"B",IF(M987&gt;=Assumptions!$B$21,"C",IF(M987&gt;=Assumptions!$B$22,"D","F"))))))</f>
        <v>F</v>
      </c>
      <c r="D987" s="3" t="s">
        <v>169</v>
      </c>
      <c r="E987" s="3" t="n">
        <v>3</v>
      </c>
      <c r="F987" s="12" t="n">
        <v>0.567</v>
      </c>
      <c r="G987" s="12" t="n">
        <v>0.85</v>
      </c>
      <c r="H987" s="12" t="n">
        <v>0.506</v>
      </c>
      <c r="I987" s="12" t="n">
        <v>0.7246</v>
      </c>
      <c r="J987" s="12" t="n">
        <v>0.2394</v>
      </c>
      <c r="K987" s="12" t="n">
        <v>0.4261</v>
      </c>
      <c r="L987" s="3" t="n">
        <v>5.94</v>
      </c>
      <c r="M987" s="12" t="n">
        <f aca="false">Z987-W987</f>
        <v>-0.035946</v>
      </c>
      <c r="N987" s="12" t="n">
        <f aca="false">IFERROR((Z987-J987)/L987,"")</f>
        <v>0.0314400673400673</v>
      </c>
      <c r="O987" s="3" t="n">
        <v>17</v>
      </c>
      <c r="P987" s="13" t="b">
        <f aca="false">FALSE()</f>
        <v>0</v>
      </c>
      <c r="Q987" s="3" t="s">
        <v>166</v>
      </c>
      <c r="R987" s="12" t="n">
        <v>0.5108</v>
      </c>
      <c r="S987" s="12" t="n">
        <v>0.4301</v>
      </c>
      <c r="T987" s="3" t="n">
        <v>0.091</v>
      </c>
      <c r="U987" s="12" t="n">
        <v>0.3213</v>
      </c>
      <c r="V987" s="12" t="n">
        <v>0.4857</v>
      </c>
      <c r="W987" s="12" t="n">
        <v>0.4621</v>
      </c>
      <c r="X987" s="3" t="n">
        <v>0.2936</v>
      </c>
      <c r="Y987" s="3" t="n">
        <v>0.6917</v>
      </c>
      <c r="Z987" s="14" t="n">
        <f aca="false">Assumptions!$B$3*R987+Assumptions!$B$4*S987+IF(AA987=1,Assumptions!$B$11,Assumptions!$B$5)*X987+IF(AA987=1,Assumptions!$B$12,Assumptions!$B$6)*T987+Assumptions!$B$7*U987+Assumptions!$B$8*V987+Assumptions!$B$9*Y987</f>
        <v>0.426154</v>
      </c>
      <c r="AA987" s="3" t="n">
        <v>1</v>
      </c>
    </row>
    <row r="988" customFormat="false" ht="15" hidden="false" customHeight="false" outlineLevel="0" collapsed="false">
      <c r="A988" s="3" t="s">
        <v>1173</v>
      </c>
      <c r="B988" s="3" t="n">
        <v>420</v>
      </c>
      <c r="C988" s="11" t="str">
        <f aca="false">IF(M988&gt;=Assumptions!$B$17,"S+",IF(M988&gt;=Assumptions!$B$18,"S",IF(M988&gt;=Assumptions!$B$19,"A",IF(M988&gt;=Assumptions!$B$20,"B",IF(M988&gt;=Assumptions!$B$21,"C",IF(M988&gt;=Assumptions!$B$22,"D","F"))))))</f>
        <v>F</v>
      </c>
      <c r="D988" s="3" t="s">
        <v>218</v>
      </c>
      <c r="E988" s="3" t="n">
        <v>2</v>
      </c>
      <c r="F988" s="12" t="n">
        <v>0.6677</v>
      </c>
      <c r="G988" s="12" t="n">
        <v>0.6</v>
      </c>
      <c r="H988" s="12" t="n">
        <v>0.75</v>
      </c>
      <c r="I988" s="12" t="n">
        <v>0.6517</v>
      </c>
      <c r="J988" s="12" t="n">
        <v>0.3377</v>
      </c>
      <c r="K988" s="12" t="n">
        <v>0.4781</v>
      </c>
      <c r="L988" s="3" t="n">
        <v>3.86</v>
      </c>
      <c r="M988" s="12" t="n">
        <f aca="false">Z988-W988</f>
        <v>-0.0360759999999999</v>
      </c>
      <c r="N988" s="12" t="n">
        <f aca="false">IFERROR((Z988-J988)/L988,"")</f>
        <v>0.036379274611399</v>
      </c>
      <c r="O988" s="3" t="n">
        <v>18</v>
      </c>
      <c r="P988" s="13" t="b">
        <f aca="false">FALSE()</f>
        <v>0</v>
      </c>
      <c r="Q988" s="3" t="s">
        <v>166</v>
      </c>
      <c r="R988" s="12" t="n">
        <v>0.6784</v>
      </c>
      <c r="S988" s="12" t="n">
        <v>0.4387</v>
      </c>
      <c r="T988" s="3" t="n">
        <v>0.4829</v>
      </c>
      <c r="U988" s="12" t="n">
        <v>0.2949</v>
      </c>
      <c r="V988" s="12" t="n">
        <v>0.4731</v>
      </c>
      <c r="W988" s="12" t="n">
        <v>0.5142</v>
      </c>
      <c r="X988" s="3" t="n">
        <v>0.2156</v>
      </c>
      <c r="Y988" s="3" t="n">
        <v>0.6196</v>
      </c>
      <c r="Z988" s="14" t="n">
        <f aca="false">Assumptions!$B$3*R988+Assumptions!$B$4*S988+IF(AA988=1,Assumptions!$B$11,Assumptions!$B$5)*X988+IF(AA988=1,Assumptions!$B$12,Assumptions!$B$6)*T988+Assumptions!$B$7*U988+Assumptions!$B$8*V988+Assumptions!$B$9*Y988</f>
        <v>0.478124</v>
      </c>
      <c r="AA988" s="3" t="n">
        <v>0</v>
      </c>
    </row>
    <row r="989" customFormat="false" ht="15" hidden="false" customHeight="false" outlineLevel="0" collapsed="false">
      <c r="A989" s="3" t="s">
        <v>1174</v>
      </c>
      <c r="B989" s="3" t="n">
        <v>413</v>
      </c>
      <c r="C989" s="11" t="str">
        <f aca="false">IF(M989&gt;=Assumptions!$B$17,"S+",IF(M989&gt;=Assumptions!$B$18,"S",IF(M989&gt;=Assumptions!$B$19,"A",IF(M989&gt;=Assumptions!$B$20,"B",IF(M989&gt;=Assumptions!$B$21,"C",IF(M989&gt;=Assumptions!$B$22,"D","F"))))))</f>
        <v>F</v>
      </c>
      <c r="D989" s="3" t="s">
        <v>253</v>
      </c>
      <c r="E989" s="3" t="n">
        <v>2</v>
      </c>
      <c r="F989" s="12" t="n">
        <v>0.3989</v>
      </c>
      <c r="G989" s="12" t="n">
        <v>0.6</v>
      </c>
      <c r="H989" s="12" t="n">
        <v>0.75</v>
      </c>
      <c r="I989" s="12" t="n">
        <v>0.5657</v>
      </c>
      <c r="J989" s="12" t="n">
        <v>0.3193</v>
      </c>
      <c r="K989" s="12" t="n">
        <v>0.4875</v>
      </c>
      <c r="L989" s="3" t="n">
        <v>3.64</v>
      </c>
      <c r="M989" s="12" t="n">
        <f aca="false">Z989-W989</f>
        <v>-0.0366080000000001</v>
      </c>
      <c r="N989" s="12" t="n">
        <f aca="false">IFERROR((Z989-J989)/L989,"")</f>
        <v>0.0462065934065934</v>
      </c>
      <c r="O989" s="3" t="n">
        <v>18</v>
      </c>
      <c r="P989" s="13" t="b">
        <f aca="false">FALSE()</f>
        <v>0</v>
      </c>
      <c r="Q989" s="3" t="s">
        <v>166</v>
      </c>
      <c r="R989" s="12" t="n">
        <v>0.5689</v>
      </c>
      <c r="S989" s="12" t="n">
        <v>0.4908</v>
      </c>
      <c r="T989" s="3" t="n">
        <v>0.3379</v>
      </c>
      <c r="U989" s="12" t="n">
        <v>0.4145</v>
      </c>
      <c r="V989" s="12" t="n">
        <v>0.4458</v>
      </c>
      <c r="W989" s="12" t="n">
        <v>0.5241</v>
      </c>
      <c r="X989" s="3" t="n">
        <v>0.5072</v>
      </c>
      <c r="Y989" s="3" t="n">
        <v>0.5377</v>
      </c>
      <c r="Z989" s="14" t="n">
        <f aca="false">Assumptions!$B$3*R989+Assumptions!$B$4*S989+IF(AA989=1,Assumptions!$B$11,Assumptions!$B$5)*X989+IF(AA989=1,Assumptions!$B$12,Assumptions!$B$6)*T989+Assumptions!$B$7*U989+Assumptions!$B$8*V989+Assumptions!$B$9*Y989</f>
        <v>0.487492</v>
      </c>
      <c r="AA989" s="3" t="n">
        <v>0</v>
      </c>
    </row>
    <row r="990" customFormat="false" ht="15" hidden="false" customHeight="false" outlineLevel="0" collapsed="false">
      <c r="A990" s="3" t="s">
        <v>1175</v>
      </c>
      <c r="B990" s="3" t="n">
        <v>305</v>
      </c>
      <c r="C990" s="11" t="str">
        <f aca="false">IF(M990&gt;=Assumptions!$B$17,"S+",IF(M990&gt;=Assumptions!$B$18,"S",IF(M990&gt;=Assumptions!$B$19,"A",IF(M990&gt;=Assumptions!$B$20,"B",IF(M990&gt;=Assumptions!$B$21,"C",IF(M990&gt;=Assumptions!$B$22,"D","F"))))))</f>
        <v>F</v>
      </c>
      <c r="D990" s="3" t="s">
        <v>218</v>
      </c>
      <c r="E990" s="3" t="n">
        <v>2</v>
      </c>
      <c r="F990" s="12" t="n">
        <v>0.7326</v>
      </c>
      <c r="G990" s="12" t="n">
        <v>1</v>
      </c>
      <c r="H990" s="12" t="n">
        <v>0.75</v>
      </c>
      <c r="I990" s="12" t="n">
        <v>0.8644</v>
      </c>
      <c r="J990" s="12" t="n">
        <v>0.3108</v>
      </c>
      <c r="K990" s="12" t="n">
        <v>0.4833</v>
      </c>
      <c r="L990" s="3" t="n">
        <v>5.81</v>
      </c>
      <c r="M990" s="12" t="n">
        <f aca="false">Z990-W990</f>
        <v>-0.0366560000000001</v>
      </c>
      <c r="N990" s="12" t="n">
        <f aca="false">IFERROR((Z990-J990)/L990,"")</f>
        <v>0.0296805507745267</v>
      </c>
      <c r="O990" s="3" t="n">
        <v>18</v>
      </c>
      <c r="P990" s="13" t="b">
        <f aca="false">FALSE()</f>
        <v>0</v>
      </c>
      <c r="Q990" s="3" t="s">
        <v>166</v>
      </c>
      <c r="R990" s="12" t="n">
        <v>0.7656</v>
      </c>
      <c r="S990" s="12" t="n">
        <v>0.3147</v>
      </c>
      <c r="T990" s="3" t="n">
        <v>0.1122</v>
      </c>
      <c r="U990" s="12" t="n">
        <v>0.4188</v>
      </c>
      <c r="V990" s="12" t="n">
        <v>0.4627</v>
      </c>
      <c r="W990" s="12" t="n">
        <v>0.5199</v>
      </c>
      <c r="X990" s="3" t="n">
        <v>0.3262</v>
      </c>
      <c r="Y990" s="3" t="n">
        <v>0.7855</v>
      </c>
      <c r="Z990" s="14" t="n">
        <f aca="false">Assumptions!$B$3*R990+Assumptions!$B$4*S990+IF(AA990=1,Assumptions!$B$11,Assumptions!$B$5)*X990+IF(AA990=1,Assumptions!$B$12,Assumptions!$B$6)*T990+Assumptions!$B$7*U990+Assumptions!$B$8*V990+Assumptions!$B$9*Y990</f>
        <v>0.483244</v>
      </c>
      <c r="AA990" s="3" t="n">
        <v>0</v>
      </c>
    </row>
    <row r="991" customFormat="false" ht="15" hidden="false" customHeight="false" outlineLevel="0" collapsed="false">
      <c r="A991" s="3" t="s">
        <v>1176</v>
      </c>
      <c r="B991" s="3" t="n">
        <v>250</v>
      </c>
      <c r="C991" s="11" t="str">
        <f aca="false">IF(M991&gt;=Assumptions!$B$17,"S+",IF(M991&gt;=Assumptions!$B$18,"S",IF(M991&gt;=Assumptions!$B$19,"A",IF(M991&gt;=Assumptions!$B$20,"B",IF(M991&gt;=Assumptions!$B$21,"C",IF(M991&gt;=Assumptions!$B$22,"D","F"))))))</f>
        <v>F</v>
      </c>
      <c r="D991" s="3" t="s">
        <v>186</v>
      </c>
      <c r="E991" s="3" t="n">
        <v>1</v>
      </c>
      <c r="F991" s="12" t="n">
        <v>0.486</v>
      </c>
      <c r="G991" s="12" t="n">
        <v>0.6</v>
      </c>
      <c r="H991" s="12" t="n">
        <v>0.75</v>
      </c>
      <c r="I991" s="12" t="n">
        <v>0.6095</v>
      </c>
      <c r="J991" s="12" t="n">
        <v>0.2498</v>
      </c>
      <c r="K991" s="12" t="n">
        <v>0.4317</v>
      </c>
      <c r="L991" s="3" t="n">
        <v>6.82</v>
      </c>
      <c r="M991" s="12" t="n">
        <f aca="false">Z991-W991</f>
        <v>-0.036911</v>
      </c>
      <c r="N991" s="12" t="n">
        <f aca="false">IFERROR((Z991-J991)/L991,"")</f>
        <v>0.0266699413489736</v>
      </c>
      <c r="O991" s="3" t="n">
        <v>19</v>
      </c>
      <c r="P991" s="13" t="b">
        <f aca="false">FALSE()</f>
        <v>0</v>
      </c>
      <c r="Q991" s="3" t="s">
        <v>166</v>
      </c>
      <c r="R991" s="12" t="n">
        <v>0.6917</v>
      </c>
      <c r="S991" s="12" t="n">
        <v>0.2283</v>
      </c>
      <c r="T991" s="3" t="n">
        <v>0.1698</v>
      </c>
      <c r="U991" s="12" t="n">
        <v>0.4494</v>
      </c>
      <c r="V991" s="12" t="n">
        <v>0.3864</v>
      </c>
      <c r="W991" s="12" t="n">
        <v>0.4686</v>
      </c>
      <c r="X991" s="3" t="n">
        <v>0.2599</v>
      </c>
      <c r="Y991" s="3" t="n">
        <v>0.6099</v>
      </c>
      <c r="Z991" s="14" t="n">
        <f aca="false">Assumptions!$B$3*R991+Assumptions!$B$4*S991+IF(AA991=1,Assumptions!$B$11,Assumptions!$B$5)*X991+IF(AA991=1,Assumptions!$B$12,Assumptions!$B$6)*T991+Assumptions!$B$7*U991+Assumptions!$B$8*V991+Assumptions!$B$9*Y991</f>
        <v>0.431689</v>
      </c>
      <c r="AA991" s="3" t="n">
        <v>1</v>
      </c>
    </row>
    <row r="992" customFormat="false" ht="15" hidden="false" customHeight="false" outlineLevel="0" collapsed="false">
      <c r="A992" s="3" t="s">
        <v>1177</v>
      </c>
      <c r="B992" s="3" t="n">
        <v>308</v>
      </c>
      <c r="C992" s="11" t="str">
        <f aca="false">IF(M992&gt;=Assumptions!$B$17,"S+",IF(M992&gt;=Assumptions!$B$18,"S",IF(M992&gt;=Assumptions!$B$19,"A",IF(M992&gt;=Assumptions!$B$20,"B",IF(M992&gt;=Assumptions!$B$21,"C",IF(M992&gt;=Assumptions!$B$22,"D","F"))))))</f>
        <v>F</v>
      </c>
      <c r="D992" s="3" t="s">
        <v>175</v>
      </c>
      <c r="E992" s="3" t="n">
        <v>1</v>
      </c>
      <c r="F992" s="12" t="n">
        <v>0.3319</v>
      </c>
      <c r="G992" s="12" t="n">
        <v>0.6</v>
      </c>
      <c r="H992" s="12" t="n">
        <v>0.75</v>
      </c>
      <c r="I992" s="12" t="n">
        <v>0.5898</v>
      </c>
      <c r="J992" s="12" t="n">
        <v>0.2624</v>
      </c>
      <c r="K992" s="12" t="n">
        <v>0.4398</v>
      </c>
      <c r="L992" s="3" t="n">
        <v>5.5</v>
      </c>
      <c r="M992" s="12" t="n">
        <f aca="false">Z992-W992</f>
        <v>-0.038097</v>
      </c>
      <c r="N992" s="12" t="n">
        <f aca="false">IFERROR((Z992-J992)/L992,"")</f>
        <v>0.0322550909090909</v>
      </c>
      <c r="O992" s="3" t="n">
        <v>19</v>
      </c>
      <c r="P992" s="13" t="b">
        <f aca="false">FALSE()</f>
        <v>0</v>
      </c>
      <c r="Q992" s="3" t="s">
        <v>166</v>
      </c>
      <c r="R992" s="12" t="n">
        <v>0.556</v>
      </c>
      <c r="S992" s="12" t="n">
        <v>0.3242</v>
      </c>
      <c r="T992" s="3" t="n">
        <v>0.3521</v>
      </c>
      <c r="U992" s="12" t="n">
        <v>0.5547</v>
      </c>
      <c r="V992" s="12" t="n">
        <v>0.4497</v>
      </c>
      <c r="W992" s="12" t="n">
        <v>0.4779</v>
      </c>
      <c r="X992" s="3" t="n">
        <v>0.3044</v>
      </c>
      <c r="Y992" s="3" t="n">
        <v>0.5072</v>
      </c>
      <c r="Z992" s="14" t="n">
        <f aca="false">Assumptions!$B$3*R992+Assumptions!$B$4*S992+IF(AA992=1,Assumptions!$B$11,Assumptions!$B$5)*X992+IF(AA992=1,Assumptions!$B$12,Assumptions!$B$6)*T992+Assumptions!$B$7*U992+Assumptions!$B$8*V992+Assumptions!$B$9*Y992</f>
        <v>0.439803</v>
      </c>
      <c r="AA992" s="3" t="n">
        <v>0</v>
      </c>
    </row>
    <row r="993" customFormat="false" ht="15" hidden="false" customHeight="false" outlineLevel="0" collapsed="false">
      <c r="A993" s="3" t="s">
        <v>1178</v>
      </c>
      <c r="B993" s="3" t="n">
        <v>420</v>
      </c>
      <c r="C993" s="11" t="str">
        <f aca="false">IF(M993&gt;=Assumptions!$B$17,"S+",IF(M993&gt;=Assumptions!$B$18,"S",IF(M993&gt;=Assumptions!$B$19,"A",IF(M993&gt;=Assumptions!$B$20,"B",IF(M993&gt;=Assumptions!$B$21,"C",IF(M993&gt;=Assumptions!$B$22,"D","F"))))))</f>
        <v>F</v>
      </c>
      <c r="D993" s="3" t="s">
        <v>218</v>
      </c>
      <c r="E993" s="3" t="n">
        <v>7</v>
      </c>
      <c r="F993" s="12" t="n">
        <v>0.6507</v>
      </c>
      <c r="G993" s="12" t="n">
        <v>0.4</v>
      </c>
      <c r="H993" s="12" t="n">
        <v>0.75</v>
      </c>
      <c r="I993" s="12" t="n">
        <v>0.5502</v>
      </c>
      <c r="J993" s="12" t="n">
        <v>0.3217</v>
      </c>
      <c r="K993" s="12" t="n">
        <v>0.4624</v>
      </c>
      <c r="L993" s="3" t="n">
        <v>4</v>
      </c>
      <c r="M993" s="12" t="n">
        <f aca="false">Z993-W993</f>
        <v>-0.038506</v>
      </c>
      <c r="N993" s="12" t="n">
        <f aca="false">IFERROR((Z993-J993)/L993,"")</f>
        <v>0.0351735</v>
      </c>
      <c r="O993" s="3" t="n">
        <v>13</v>
      </c>
      <c r="P993" s="13" t="b">
        <f aca="false">FALSE()</f>
        <v>0</v>
      </c>
      <c r="Q993" s="3" t="s">
        <v>166</v>
      </c>
      <c r="R993" s="12" t="n">
        <v>0.8697</v>
      </c>
      <c r="S993" s="12" t="n">
        <v>0.335</v>
      </c>
      <c r="T993" s="3" t="n">
        <v>0.119</v>
      </c>
      <c r="U993" s="12" t="n">
        <v>0.1953</v>
      </c>
      <c r="V993" s="12" t="n">
        <v>0.451</v>
      </c>
      <c r="W993" s="12" t="n">
        <v>0.5009</v>
      </c>
      <c r="X993" s="3" t="n">
        <v>0.2977</v>
      </c>
      <c r="Y993" s="3" t="n">
        <v>0.5497</v>
      </c>
      <c r="Z993" s="14" t="n">
        <f aca="false">Assumptions!$B$3*R993+Assumptions!$B$4*S993+IF(AA993=1,Assumptions!$B$11,Assumptions!$B$5)*X993+IF(AA993=1,Assumptions!$B$12,Assumptions!$B$6)*T993+Assumptions!$B$7*U993+Assumptions!$B$8*V993+Assumptions!$B$9*Y993</f>
        <v>0.462394</v>
      </c>
      <c r="AA993" s="3" t="n">
        <v>0</v>
      </c>
    </row>
    <row r="994" customFormat="false" ht="15" hidden="false" customHeight="false" outlineLevel="0" collapsed="false">
      <c r="A994" s="3" t="s">
        <v>1179</v>
      </c>
      <c r="B994" s="3" t="n">
        <v>330</v>
      </c>
      <c r="C994" s="11" t="str">
        <f aca="false">IF(M994&gt;=Assumptions!$B$17,"S+",IF(M994&gt;=Assumptions!$B$18,"S",IF(M994&gt;=Assumptions!$B$19,"A",IF(M994&gt;=Assumptions!$B$20,"B",IF(M994&gt;=Assumptions!$B$21,"C",IF(M994&gt;=Assumptions!$B$22,"D","F"))))))</f>
        <v>F</v>
      </c>
      <c r="D994" s="3" t="s">
        <v>186</v>
      </c>
      <c r="E994" s="3" t="n">
        <v>1</v>
      </c>
      <c r="F994" s="12" t="n">
        <v>0.6514</v>
      </c>
      <c r="G994" s="12" t="n">
        <v>0.6</v>
      </c>
      <c r="H994" s="12" t="n">
        <v>0.75</v>
      </c>
      <c r="I994" s="12" t="n">
        <v>0.6393</v>
      </c>
      <c r="J994" s="12" t="n">
        <v>0.2766</v>
      </c>
      <c r="K994" s="12" t="n">
        <v>0.444</v>
      </c>
      <c r="L994" s="3" t="n">
        <v>5.55</v>
      </c>
      <c r="M994" s="12" t="n">
        <f aca="false">Z994-W994</f>
        <v>-0.0386799999999999</v>
      </c>
      <c r="N994" s="12" t="n">
        <f aca="false">IFERROR((Z994-J994)/L994,"")</f>
        <v>0.0301657657657658</v>
      </c>
      <c r="O994" s="3" t="n">
        <v>19</v>
      </c>
      <c r="P994" s="13" t="b">
        <f aca="false">FALSE()</f>
        <v>0</v>
      </c>
      <c r="Q994" s="3" t="s">
        <v>166</v>
      </c>
      <c r="R994" s="12" t="n">
        <v>0.6374</v>
      </c>
      <c r="S994" s="12" t="n">
        <v>0.4875</v>
      </c>
      <c r="T994" s="3" t="n">
        <v>0.1624</v>
      </c>
      <c r="U994" s="12" t="n">
        <v>0.417</v>
      </c>
      <c r="V994" s="12" t="n">
        <v>0.4809</v>
      </c>
      <c r="W994" s="12" t="n">
        <v>0.4827</v>
      </c>
      <c r="X994" s="3" t="n">
        <v>0.2134</v>
      </c>
      <c r="Y994" s="3" t="n">
        <v>0.5286</v>
      </c>
      <c r="Z994" s="14" t="n">
        <f aca="false">Assumptions!$B$3*R994+Assumptions!$B$4*S994+IF(AA994=1,Assumptions!$B$11,Assumptions!$B$5)*X994+IF(AA994=1,Assumptions!$B$12,Assumptions!$B$6)*T994+Assumptions!$B$7*U994+Assumptions!$B$8*V994+Assumptions!$B$9*Y994</f>
        <v>0.44402</v>
      </c>
      <c r="AA994" s="3" t="n">
        <v>1</v>
      </c>
    </row>
    <row r="995" customFormat="false" ht="15" hidden="false" customHeight="false" outlineLevel="0" collapsed="false">
      <c r="A995" s="3" t="s">
        <v>1180</v>
      </c>
      <c r="B995" s="3" t="n">
        <v>300</v>
      </c>
      <c r="C995" s="11" t="str">
        <f aca="false">IF(M995&gt;=Assumptions!$B$17,"S+",IF(M995&gt;=Assumptions!$B$18,"S",IF(M995&gt;=Assumptions!$B$19,"A",IF(M995&gt;=Assumptions!$B$20,"B",IF(M995&gt;=Assumptions!$B$21,"C",IF(M995&gt;=Assumptions!$B$22,"D","F"))))))</f>
        <v>F</v>
      </c>
      <c r="D995" s="3" t="s">
        <v>253</v>
      </c>
      <c r="E995" s="3" t="n">
        <v>1</v>
      </c>
      <c r="F995" s="12" t="n">
        <v>0.4449</v>
      </c>
      <c r="G995" s="12" t="n">
        <v>0.4</v>
      </c>
      <c r="H995" s="12" t="n">
        <v>0.75</v>
      </c>
      <c r="I995" s="12" t="n">
        <v>0.4844</v>
      </c>
      <c r="J995" s="12" t="n">
        <v>0.2445</v>
      </c>
      <c r="K995" s="12" t="n">
        <v>0.4221</v>
      </c>
      <c r="L995" s="3" t="n">
        <v>5.32</v>
      </c>
      <c r="M995" s="12" t="n">
        <f aca="false">Z995-W995</f>
        <v>-0.038787</v>
      </c>
      <c r="N995" s="12" t="n">
        <f aca="false">IFERROR((Z995-J995)/L995,"")</f>
        <v>0.0333859022556391</v>
      </c>
      <c r="O995" s="3" t="n">
        <v>19</v>
      </c>
      <c r="P995" s="13" t="b">
        <f aca="false">FALSE()</f>
        <v>0</v>
      </c>
      <c r="Q995" s="3" t="s">
        <v>166</v>
      </c>
      <c r="R995" s="12" t="n">
        <v>0.5163</v>
      </c>
      <c r="S995" s="12" t="n">
        <v>0.4111</v>
      </c>
      <c r="T995" s="3" t="n">
        <v>0.1195</v>
      </c>
      <c r="U995" s="12" t="n">
        <v>0.3563</v>
      </c>
      <c r="V995" s="12" t="n">
        <v>0.5054</v>
      </c>
      <c r="W995" s="12" t="n">
        <v>0.4609</v>
      </c>
      <c r="X995" s="3" t="n">
        <v>0.3419</v>
      </c>
      <c r="Y995" s="3" t="n">
        <v>0.4815</v>
      </c>
      <c r="Z995" s="14" t="n">
        <f aca="false">Assumptions!$B$3*R995+Assumptions!$B$4*S995+IF(AA995=1,Assumptions!$B$11,Assumptions!$B$5)*X995+IF(AA995=1,Assumptions!$B$12,Assumptions!$B$6)*T995+Assumptions!$B$7*U995+Assumptions!$B$8*V995+Assumptions!$B$9*Y995</f>
        <v>0.422113</v>
      </c>
      <c r="AA995" s="3" t="n">
        <v>1</v>
      </c>
    </row>
    <row r="996" customFormat="false" ht="15" hidden="false" customHeight="false" outlineLevel="0" collapsed="false">
      <c r="A996" s="3" t="s">
        <v>1181</v>
      </c>
      <c r="B996" s="3" t="n">
        <v>270</v>
      </c>
      <c r="C996" s="11" t="str">
        <f aca="false">IF(M996&gt;=Assumptions!$B$17,"S+",IF(M996&gt;=Assumptions!$B$18,"S",IF(M996&gt;=Assumptions!$B$19,"A",IF(M996&gt;=Assumptions!$B$20,"B",IF(M996&gt;=Assumptions!$B$21,"C",IF(M996&gt;=Assumptions!$B$22,"D","F"))))))</f>
        <v>F</v>
      </c>
      <c r="D996" s="3" t="s">
        <v>197</v>
      </c>
      <c r="E996" s="3" t="n">
        <v>1</v>
      </c>
      <c r="F996" s="12" t="n">
        <v>0.7046</v>
      </c>
      <c r="G996" s="12" t="n">
        <v>0.6</v>
      </c>
      <c r="H996" s="12" t="n">
        <v>0.75</v>
      </c>
      <c r="I996" s="12" t="n">
        <v>0.6698</v>
      </c>
      <c r="J996" s="12" t="n">
        <v>0.3011</v>
      </c>
      <c r="K996" s="12" t="n">
        <v>0.465</v>
      </c>
      <c r="L996" s="3" t="n">
        <v>5.74</v>
      </c>
      <c r="M996" s="12" t="n">
        <f aca="false">Z996-W996</f>
        <v>-0.039814</v>
      </c>
      <c r="N996" s="12" t="n">
        <f aca="false">IFERROR((Z996-J996)/L996,"")</f>
        <v>0.0285515679442509</v>
      </c>
      <c r="O996" s="3" t="n">
        <v>19</v>
      </c>
      <c r="P996" s="13" t="b">
        <f aca="false">FALSE()</f>
        <v>0</v>
      </c>
      <c r="Q996" s="3" t="s">
        <v>166</v>
      </c>
      <c r="R996" s="12" t="n">
        <v>0.6898</v>
      </c>
      <c r="S996" s="12" t="n">
        <v>0.2084</v>
      </c>
      <c r="T996" s="3" t="n">
        <v>0.4361</v>
      </c>
      <c r="U996" s="12" t="n">
        <v>0.4535</v>
      </c>
      <c r="V996" s="12" t="n">
        <v>0.4854</v>
      </c>
      <c r="W996" s="12" t="n">
        <v>0.5048</v>
      </c>
      <c r="X996" s="3" t="n">
        <v>0.2412</v>
      </c>
      <c r="Y996" s="3" t="n">
        <v>0.6471</v>
      </c>
      <c r="Z996" s="14" t="n">
        <f aca="false">Assumptions!$B$3*R996+Assumptions!$B$4*S996+IF(AA996=1,Assumptions!$B$11,Assumptions!$B$5)*X996+IF(AA996=1,Assumptions!$B$12,Assumptions!$B$6)*T996+Assumptions!$B$7*U996+Assumptions!$B$8*V996+Assumptions!$B$9*Y996</f>
        <v>0.464986</v>
      </c>
      <c r="AA996" s="3" t="n">
        <v>0</v>
      </c>
    </row>
    <row r="997" customFormat="false" ht="15" hidden="false" customHeight="false" outlineLevel="0" collapsed="false">
      <c r="A997" s="3" t="s">
        <v>1182</v>
      </c>
      <c r="B997" s="3" t="n">
        <v>320</v>
      </c>
      <c r="C997" s="11" t="str">
        <f aca="false">IF(M997&gt;=Assumptions!$B$17,"S+",IF(M997&gt;=Assumptions!$B$18,"S",IF(M997&gt;=Assumptions!$B$19,"A",IF(M997&gt;=Assumptions!$B$20,"B",IF(M997&gt;=Assumptions!$B$21,"C",IF(M997&gt;=Assumptions!$B$22,"D","F"))))))</f>
        <v>F</v>
      </c>
      <c r="D997" s="3" t="s">
        <v>218</v>
      </c>
      <c r="E997" s="3" t="n">
        <v>1</v>
      </c>
      <c r="F997" s="12" t="n">
        <v>0.7847</v>
      </c>
      <c r="G997" s="12" t="n">
        <v>1</v>
      </c>
      <c r="H997" s="12" t="n">
        <v>0.75</v>
      </c>
      <c r="I997" s="12" t="n">
        <v>0.8811</v>
      </c>
      <c r="J997" s="12" t="n">
        <v>0.3094</v>
      </c>
      <c r="K997" s="12" t="n">
        <v>0.4685</v>
      </c>
      <c r="L997" s="3" t="n">
        <v>6.66</v>
      </c>
      <c r="M997" s="12" t="n">
        <f aca="false">Z997-W997</f>
        <v>-0.040116</v>
      </c>
      <c r="N997" s="12" t="n">
        <f aca="false">IFERROR((Z997-J997)/L997,"")</f>
        <v>0.0238864864864865</v>
      </c>
      <c r="O997" s="3" t="n">
        <v>19</v>
      </c>
      <c r="P997" s="13" t="b">
        <f aca="false">FALSE()</f>
        <v>0</v>
      </c>
      <c r="Q997" s="3" t="s">
        <v>166</v>
      </c>
      <c r="R997" s="12" t="n">
        <v>0.7264</v>
      </c>
      <c r="S997" s="12" t="n">
        <v>0.3566</v>
      </c>
      <c r="T997" s="3" t="n">
        <v>0.2613</v>
      </c>
      <c r="U997" s="12" t="n">
        <v>0.2915</v>
      </c>
      <c r="V997" s="12" t="n">
        <v>0.5054</v>
      </c>
      <c r="W997" s="12" t="n">
        <v>0.5086</v>
      </c>
      <c r="X997" s="3" t="n">
        <v>0.169</v>
      </c>
      <c r="Y997" s="3" t="n">
        <v>0.8299</v>
      </c>
      <c r="Z997" s="14" t="n">
        <f aca="false">Assumptions!$B$3*R997+Assumptions!$B$4*S997+IF(AA997=1,Assumptions!$B$11,Assumptions!$B$5)*X997+IF(AA997=1,Assumptions!$B$12,Assumptions!$B$6)*T997+Assumptions!$B$7*U997+Assumptions!$B$8*V997+Assumptions!$B$9*Y997</f>
        <v>0.468484</v>
      </c>
      <c r="AA997" s="3" t="n">
        <v>0</v>
      </c>
    </row>
    <row r="998" customFormat="false" ht="15" hidden="false" customHeight="false" outlineLevel="0" collapsed="false">
      <c r="A998" s="3" t="s">
        <v>1183</v>
      </c>
      <c r="B998" s="3" t="n">
        <v>348</v>
      </c>
      <c r="C998" s="11" t="str">
        <f aca="false">IF(M998&gt;=Assumptions!$B$17,"S+",IF(M998&gt;=Assumptions!$B$18,"S",IF(M998&gt;=Assumptions!$B$19,"A",IF(M998&gt;=Assumptions!$B$20,"B",IF(M998&gt;=Assumptions!$B$21,"C",IF(M998&gt;=Assumptions!$B$22,"D","F"))))))</f>
        <v>F</v>
      </c>
      <c r="D998" s="3" t="s">
        <v>218</v>
      </c>
      <c r="E998" s="3" t="n">
        <v>1</v>
      </c>
      <c r="F998" s="12" t="n">
        <v>0.709</v>
      </c>
      <c r="G998" s="12" t="n">
        <v>1</v>
      </c>
      <c r="H998" s="12" t="n">
        <v>0.75</v>
      </c>
      <c r="I998" s="12" t="n">
        <v>0.8569</v>
      </c>
      <c r="J998" s="12" t="n">
        <v>0.2945</v>
      </c>
      <c r="K998" s="12" t="n">
        <v>0.484</v>
      </c>
      <c r="L998" s="3" t="n">
        <v>6.68</v>
      </c>
      <c r="M998" s="12" t="n">
        <f aca="false">Z998-W998</f>
        <v>-0.0408600000000001</v>
      </c>
      <c r="N998" s="12" t="n">
        <f aca="false">IFERROR((Z998-J998)/L998,"")</f>
        <v>0.0283592814371258</v>
      </c>
      <c r="O998" s="3" t="n">
        <v>19</v>
      </c>
      <c r="P998" s="13" t="b">
        <f aca="false">FALSE()</f>
        <v>0</v>
      </c>
      <c r="Q998" s="3" t="s">
        <v>166</v>
      </c>
      <c r="R998" s="12" t="n">
        <v>0.779</v>
      </c>
      <c r="S998" s="12" t="n">
        <v>0.4201</v>
      </c>
      <c r="T998" s="3" t="n">
        <v>0.1996</v>
      </c>
      <c r="U998" s="12" t="n">
        <v>0.3927</v>
      </c>
      <c r="V998" s="12" t="n">
        <v>0.4647</v>
      </c>
      <c r="W998" s="12" t="n">
        <v>0.5248</v>
      </c>
      <c r="X998" s="3" t="n">
        <v>0.1706</v>
      </c>
      <c r="Y998" s="3" t="n">
        <v>0.7675</v>
      </c>
      <c r="Z998" s="14" t="n">
        <f aca="false">Assumptions!$B$3*R998+Assumptions!$B$4*S998+IF(AA998=1,Assumptions!$B$11,Assumptions!$B$5)*X998+IF(AA998=1,Assumptions!$B$12,Assumptions!$B$6)*T998+Assumptions!$B$7*U998+Assumptions!$B$8*V998+Assumptions!$B$9*Y998</f>
        <v>0.48394</v>
      </c>
      <c r="AA998" s="3" t="n">
        <v>0</v>
      </c>
    </row>
    <row r="999" customFormat="false" ht="15" hidden="false" customHeight="false" outlineLevel="0" collapsed="false">
      <c r="A999" s="3" t="s">
        <v>1184</v>
      </c>
      <c r="B999" s="3" t="n">
        <v>430</v>
      </c>
      <c r="C999" s="11" t="str">
        <f aca="false">IF(M999&gt;=Assumptions!$B$17,"S+",IF(M999&gt;=Assumptions!$B$18,"S",IF(M999&gt;=Assumptions!$B$19,"A",IF(M999&gt;=Assumptions!$B$20,"B",IF(M999&gt;=Assumptions!$B$21,"C",IF(M999&gt;=Assumptions!$B$22,"D","F"))))))</f>
        <v>F</v>
      </c>
      <c r="D999" s="3" t="s">
        <v>186</v>
      </c>
      <c r="E999" s="3" t="n">
        <v>5</v>
      </c>
      <c r="F999" s="12" t="n">
        <v>0.6645</v>
      </c>
      <c r="G999" s="12" t="n">
        <v>0.85</v>
      </c>
      <c r="H999" s="12" t="n">
        <v>0.75</v>
      </c>
      <c r="I999" s="12" t="n">
        <v>0.7966</v>
      </c>
      <c r="J999" s="12" t="n">
        <v>0.2858</v>
      </c>
      <c r="K999" s="12" t="n">
        <v>0.4465</v>
      </c>
      <c r="L999" s="3" t="n">
        <v>3.93</v>
      </c>
      <c r="M999" s="12" t="n">
        <f aca="false">Z999-W999</f>
        <v>-0.041004</v>
      </c>
      <c r="N999" s="12" t="n">
        <f aca="false">IFERROR((Z999-J999)/L999,"")</f>
        <v>0.0408895674300254</v>
      </c>
      <c r="O999" s="3" t="n">
        <v>15</v>
      </c>
      <c r="P999" s="13" t="b">
        <f aca="false">FALSE()</f>
        <v>0</v>
      </c>
      <c r="Q999" s="3" t="s">
        <v>166</v>
      </c>
      <c r="R999" s="12" t="n">
        <v>0.7965</v>
      </c>
      <c r="S999" s="12" t="n">
        <v>0.3002</v>
      </c>
      <c r="T999" s="3" t="n">
        <v>0.1174</v>
      </c>
      <c r="U999" s="12" t="n">
        <v>0.3179</v>
      </c>
      <c r="V999" s="12" t="n">
        <v>0.3456</v>
      </c>
      <c r="W999" s="12" t="n">
        <v>0.4875</v>
      </c>
      <c r="X999" s="3" t="n">
        <v>0.2757</v>
      </c>
      <c r="Y999" s="3" t="n">
        <v>0.6637</v>
      </c>
      <c r="Z999" s="14" t="n">
        <f aca="false">Assumptions!$B$3*R999+Assumptions!$B$4*S999+IF(AA999=1,Assumptions!$B$11,Assumptions!$B$5)*X999+IF(AA999=1,Assumptions!$B$12,Assumptions!$B$6)*T999+Assumptions!$B$7*U999+Assumptions!$B$8*V999+Assumptions!$B$9*Y999</f>
        <v>0.446496</v>
      </c>
      <c r="AA999" s="3" t="n">
        <v>0</v>
      </c>
    </row>
    <row r="1000" customFormat="false" ht="15" hidden="false" customHeight="false" outlineLevel="0" collapsed="false">
      <c r="A1000" s="3" t="s">
        <v>1185</v>
      </c>
      <c r="B1000" s="3" t="n">
        <v>315</v>
      </c>
      <c r="C1000" s="11" t="str">
        <f aca="false">IF(M1000&gt;=Assumptions!$B$17,"S+",IF(M1000&gt;=Assumptions!$B$18,"S",IF(M1000&gt;=Assumptions!$B$19,"A",IF(M1000&gt;=Assumptions!$B$20,"B",IF(M1000&gt;=Assumptions!$B$21,"C",IF(M1000&gt;=Assumptions!$B$22,"D","F"))))))</f>
        <v>F</v>
      </c>
      <c r="D1000" s="3" t="s">
        <v>218</v>
      </c>
      <c r="E1000" s="3" t="n">
        <v>3</v>
      </c>
      <c r="F1000" s="12" t="n">
        <v>0.8028</v>
      </c>
      <c r="G1000" s="12" t="n">
        <v>0.4</v>
      </c>
      <c r="H1000" s="12" t="n">
        <v>0.75</v>
      </c>
      <c r="I1000" s="12" t="n">
        <v>0.5989</v>
      </c>
      <c r="J1000" s="12" t="n">
        <v>0.3355</v>
      </c>
      <c r="K1000" s="12" t="n">
        <v>0.4702</v>
      </c>
      <c r="L1000" s="3" t="n">
        <v>5.79</v>
      </c>
      <c r="M1000" s="12" t="n">
        <f aca="false">Z1000-W1000</f>
        <v>-0.0410069999999999</v>
      </c>
      <c r="N1000" s="12" t="n">
        <f aca="false">IFERROR((Z1000-J1000)/L1000,"")</f>
        <v>0.0232630397236615</v>
      </c>
      <c r="O1000" s="3" t="n">
        <v>17</v>
      </c>
      <c r="P1000" s="13" t="b">
        <f aca="false">FALSE()</f>
        <v>0</v>
      </c>
      <c r="Q1000" s="3" t="s">
        <v>166</v>
      </c>
      <c r="R1000" s="12" t="n">
        <v>0.8537</v>
      </c>
      <c r="S1000" s="12" t="n">
        <v>0.3321</v>
      </c>
      <c r="T1000" s="3" t="n">
        <v>0.1436</v>
      </c>
      <c r="U1000" s="12" t="n">
        <v>0.3167</v>
      </c>
      <c r="V1000" s="12" t="n">
        <v>0.4718</v>
      </c>
      <c r="W1000" s="12" t="n">
        <v>0.5112</v>
      </c>
      <c r="X1000" s="3" t="n">
        <v>0.2321</v>
      </c>
      <c r="Y1000" s="3" t="n">
        <v>0.6048</v>
      </c>
      <c r="Z1000" s="14" t="n">
        <f aca="false">Assumptions!$B$3*R1000+Assumptions!$B$4*S1000+IF(AA1000=1,Assumptions!$B$11,Assumptions!$B$5)*X1000+IF(AA1000=1,Assumptions!$B$12,Assumptions!$B$6)*T1000+Assumptions!$B$7*U1000+Assumptions!$B$8*V1000+Assumptions!$B$9*Y1000</f>
        <v>0.470193</v>
      </c>
      <c r="AA1000" s="3" t="n">
        <v>0</v>
      </c>
    </row>
    <row r="1001" customFormat="false" ht="15" hidden="false" customHeight="false" outlineLevel="0" collapsed="false">
      <c r="A1001" s="3" t="s">
        <v>1186</v>
      </c>
      <c r="B1001" s="3" t="n">
        <v>350</v>
      </c>
      <c r="C1001" s="11" t="str">
        <f aca="false">IF(M1001&gt;=Assumptions!$B$17,"S+",IF(M1001&gt;=Assumptions!$B$18,"S",IF(M1001&gt;=Assumptions!$B$19,"A",IF(M1001&gt;=Assumptions!$B$20,"B",IF(M1001&gt;=Assumptions!$B$21,"C",IF(M1001&gt;=Assumptions!$B$22,"D","F"))))))</f>
        <v>F</v>
      </c>
      <c r="D1001" s="3" t="s">
        <v>218</v>
      </c>
      <c r="E1001" s="3" t="n">
        <v>1</v>
      </c>
      <c r="F1001" s="12" t="n">
        <v>0.7165</v>
      </c>
      <c r="G1001" s="12" t="n">
        <v>1</v>
      </c>
      <c r="H1001" s="12" t="n">
        <v>0.75</v>
      </c>
      <c r="I1001" s="12" t="n">
        <v>0.8593</v>
      </c>
      <c r="J1001" s="12" t="n">
        <v>0.3348</v>
      </c>
      <c r="K1001" s="12" t="n">
        <v>0.4819</v>
      </c>
      <c r="L1001" s="3" t="n">
        <v>4.66</v>
      </c>
      <c r="M1001" s="12" t="n">
        <f aca="false">Z1001-W1001</f>
        <v>-0.041216</v>
      </c>
      <c r="N1001" s="12" t="n">
        <f aca="false">IFERROR((Z1001-J1001)/L1001,"")</f>
        <v>0.0315630901287554</v>
      </c>
      <c r="O1001" s="3" t="n">
        <v>19</v>
      </c>
      <c r="P1001" s="13" t="b">
        <f aca="false">FALSE()</f>
        <v>0</v>
      </c>
      <c r="Q1001" s="3" t="s">
        <v>166</v>
      </c>
      <c r="R1001" s="12" t="n">
        <v>0.7712</v>
      </c>
      <c r="S1001" s="12" t="n">
        <v>0.332</v>
      </c>
      <c r="T1001" s="3" t="n">
        <v>0.3411</v>
      </c>
      <c r="U1001" s="12" t="n">
        <v>0.4292</v>
      </c>
      <c r="V1001" s="12" t="n">
        <v>0.4878</v>
      </c>
      <c r="W1001" s="12" t="n">
        <v>0.5231</v>
      </c>
      <c r="X1001" s="3" t="n">
        <v>0.0927</v>
      </c>
      <c r="Y1001" s="3" t="n">
        <v>0.7923</v>
      </c>
      <c r="Z1001" s="14" t="n">
        <f aca="false">Assumptions!$B$3*R1001+Assumptions!$B$4*S1001+IF(AA1001=1,Assumptions!$B$11,Assumptions!$B$5)*X1001+IF(AA1001=1,Assumptions!$B$12,Assumptions!$B$6)*T1001+Assumptions!$B$7*U1001+Assumptions!$B$8*V1001+Assumptions!$B$9*Y1001</f>
        <v>0.481884</v>
      </c>
      <c r="AA1001" s="3" t="n">
        <v>0</v>
      </c>
    </row>
    <row r="1002" customFormat="false" ht="15" hidden="false" customHeight="false" outlineLevel="0" collapsed="false">
      <c r="A1002" s="3" t="s">
        <v>1187</v>
      </c>
      <c r="B1002" s="3" t="n">
        <v>265</v>
      </c>
      <c r="C1002" s="11" t="str">
        <f aca="false">IF(M1002&gt;=Assumptions!$B$17,"S+",IF(M1002&gt;=Assumptions!$B$18,"S",IF(M1002&gt;=Assumptions!$B$19,"A",IF(M1002&gt;=Assumptions!$B$20,"B",IF(M1002&gt;=Assumptions!$B$21,"C",IF(M1002&gt;=Assumptions!$B$22,"D","F"))))))</f>
        <v>F</v>
      </c>
      <c r="D1002" s="3" t="s">
        <v>190</v>
      </c>
      <c r="E1002" s="3" t="n">
        <v>1</v>
      </c>
      <c r="F1002" s="12" t="n">
        <v>0.7143</v>
      </c>
      <c r="G1002" s="12" t="n">
        <v>0.6</v>
      </c>
      <c r="H1002" s="12" t="n">
        <v>0.75</v>
      </c>
      <c r="I1002" s="12" t="n">
        <v>0.6734</v>
      </c>
      <c r="J1002" s="12" t="n">
        <v>0.2977</v>
      </c>
      <c r="K1002" s="12" t="n">
        <v>0.4592</v>
      </c>
      <c r="L1002" s="3" t="n">
        <v>5.87</v>
      </c>
      <c r="M1002" s="12" t="n">
        <f aca="false">Z1002-W1002</f>
        <v>-0.042038</v>
      </c>
      <c r="N1002" s="12" t="n">
        <f aca="false">IFERROR((Z1002-J1002)/L1002,"")</f>
        <v>0.0275063032367973</v>
      </c>
      <c r="O1002" s="3" t="n">
        <v>19</v>
      </c>
      <c r="P1002" s="13" t="b">
        <f aca="false">FALSE()</f>
        <v>0</v>
      </c>
      <c r="Q1002" s="3" t="s">
        <v>166</v>
      </c>
      <c r="R1002" s="12" t="n">
        <v>0.7514</v>
      </c>
      <c r="S1002" s="12" t="n">
        <v>0.2313</v>
      </c>
      <c r="T1002" s="3" t="n">
        <v>0.4321</v>
      </c>
      <c r="U1002" s="12" t="n">
        <v>0.332</v>
      </c>
      <c r="V1002" s="12" t="n">
        <v>0.4809</v>
      </c>
      <c r="W1002" s="12" t="n">
        <v>0.5012</v>
      </c>
      <c r="X1002" s="3" t="n">
        <v>0.1767</v>
      </c>
      <c r="Y1002" s="3" t="n">
        <v>0.6288</v>
      </c>
      <c r="Z1002" s="14" t="n">
        <f aca="false">Assumptions!$B$3*R1002+Assumptions!$B$4*S1002+IF(AA1002=1,Assumptions!$B$11,Assumptions!$B$5)*X1002+IF(AA1002=1,Assumptions!$B$12,Assumptions!$B$6)*T1002+Assumptions!$B$7*U1002+Assumptions!$B$8*V1002+Assumptions!$B$9*Y1002</f>
        <v>0.459162</v>
      </c>
      <c r="AA1002" s="3" t="n">
        <v>0</v>
      </c>
    </row>
    <row r="1003" customFormat="false" ht="15" hidden="false" customHeight="false" outlineLevel="0" collapsed="false">
      <c r="A1003" s="3" t="s">
        <v>1188</v>
      </c>
      <c r="B1003" s="3" t="n">
        <v>280</v>
      </c>
      <c r="C1003" s="11" t="str">
        <f aca="false">IF(M1003&gt;=Assumptions!$B$17,"S+",IF(M1003&gt;=Assumptions!$B$18,"S",IF(M1003&gt;=Assumptions!$B$19,"A",IF(M1003&gt;=Assumptions!$B$20,"B",IF(M1003&gt;=Assumptions!$B$21,"C",IF(M1003&gt;=Assumptions!$B$22,"D","F"))))))</f>
        <v>F</v>
      </c>
      <c r="D1003" s="3" t="s">
        <v>197</v>
      </c>
      <c r="E1003" s="3" t="n">
        <v>1</v>
      </c>
      <c r="F1003" s="12" t="n">
        <v>0.6369</v>
      </c>
      <c r="G1003" s="12" t="n">
        <v>1</v>
      </c>
      <c r="H1003" s="12" t="n">
        <v>0.75</v>
      </c>
      <c r="I1003" s="12" t="n">
        <v>0.812</v>
      </c>
      <c r="J1003" s="12" t="n">
        <v>0.3071</v>
      </c>
      <c r="K1003" s="12" t="n">
        <v>0.4677</v>
      </c>
      <c r="L1003" s="3" t="n">
        <v>6.63</v>
      </c>
      <c r="M1003" s="12" t="n">
        <f aca="false">Z1003-W1003</f>
        <v>-0.042394</v>
      </c>
      <c r="N1003" s="12" t="n">
        <f aca="false">IFERROR((Z1003-J1003)/L1003,"")</f>
        <v>0.0242241327300151</v>
      </c>
      <c r="O1003" s="3" t="n">
        <v>19</v>
      </c>
      <c r="P1003" s="13" t="b">
        <f aca="false">FALSE()</f>
        <v>0</v>
      </c>
      <c r="Q1003" s="3" t="s">
        <v>166</v>
      </c>
      <c r="R1003" s="12" t="n">
        <v>0.5945</v>
      </c>
      <c r="S1003" s="12" t="n">
        <v>0.3222</v>
      </c>
      <c r="T1003" s="3" t="n">
        <v>0.3375</v>
      </c>
      <c r="U1003" s="12" t="n">
        <v>0.4089</v>
      </c>
      <c r="V1003" s="12" t="n">
        <v>0.561</v>
      </c>
      <c r="W1003" s="12" t="n">
        <v>0.5101</v>
      </c>
      <c r="X1003" s="3" t="n">
        <v>0.2946</v>
      </c>
      <c r="Y1003" s="3" t="n">
        <v>0.7457</v>
      </c>
      <c r="Z1003" s="14" t="n">
        <f aca="false">Assumptions!$B$3*R1003+Assumptions!$B$4*S1003+IF(AA1003=1,Assumptions!$B$11,Assumptions!$B$5)*X1003+IF(AA1003=1,Assumptions!$B$12,Assumptions!$B$6)*T1003+Assumptions!$B$7*U1003+Assumptions!$B$8*V1003+Assumptions!$B$9*Y1003</f>
        <v>0.467706</v>
      </c>
      <c r="AA1003" s="3" t="n">
        <v>0</v>
      </c>
    </row>
    <row r="1004" customFormat="false" ht="15" hidden="false" customHeight="false" outlineLevel="0" collapsed="false">
      <c r="A1004" s="3" t="s">
        <v>1189</v>
      </c>
      <c r="B1004" s="3" t="n">
        <v>329</v>
      </c>
      <c r="C1004" s="11" t="str">
        <f aca="false">IF(M1004&gt;=Assumptions!$B$17,"S+",IF(M1004&gt;=Assumptions!$B$18,"S",IF(M1004&gt;=Assumptions!$B$19,"A",IF(M1004&gt;=Assumptions!$B$20,"B",IF(M1004&gt;=Assumptions!$B$21,"C",IF(M1004&gt;=Assumptions!$B$22,"D","F"))))))</f>
        <v>F</v>
      </c>
      <c r="D1004" s="3" t="s">
        <v>218</v>
      </c>
      <c r="E1004" s="3" t="n">
        <v>3</v>
      </c>
      <c r="F1004" s="12" t="n">
        <v>0.4849</v>
      </c>
      <c r="G1004" s="12" t="n">
        <v>0.6</v>
      </c>
      <c r="H1004" s="12" t="n">
        <v>0.75</v>
      </c>
      <c r="I1004" s="12" t="n">
        <v>0.5932</v>
      </c>
      <c r="J1004" s="12" t="n">
        <v>0.3137</v>
      </c>
      <c r="K1004" s="12" t="n">
        <v>0.4663</v>
      </c>
      <c r="L1004" s="3" t="n">
        <v>5.71</v>
      </c>
      <c r="M1004" s="12" t="n">
        <f aca="false">Z1004-W1004</f>
        <v>-0.042662</v>
      </c>
      <c r="N1004" s="12" t="n">
        <f aca="false">IFERROR((Z1004-J1004)/L1004,"")</f>
        <v>0.0267316987740806</v>
      </c>
      <c r="O1004" s="3" t="n">
        <v>17</v>
      </c>
      <c r="P1004" s="13" t="b">
        <f aca="false">FALSE()</f>
        <v>0</v>
      </c>
      <c r="Q1004" s="3" t="s">
        <v>166</v>
      </c>
      <c r="R1004" s="12" t="n">
        <v>0.8036</v>
      </c>
      <c r="S1004" s="12" t="n">
        <v>0.2928</v>
      </c>
      <c r="T1004" s="3" t="n">
        <v>0.3654</v>
      </c>
      <c r="U1004" s="12" t="n">
        <v>0.2851</v>
      </c>
      <c r="V1004" s="12" t="n">
        <v>0.5436</v>
      </c>
      <c r="W1004" s="12" t="n">
        <v>0.509</v>
      </c>
      <c r="X1004" s="3" t="n">
        <v>0.1798</v>
      </c>
      <c r="Y1004" s="3" t="n">
        <v>0.5256</v>
      </c>
      <c r="Z1004" s="14" t="n">
        <f aca="false">Assumptions!$B$3*R1004+Assumptions!$B$4*S1004+IF(AA1004=1,Assumptions!$B$11,Assumptions!$B$5)*X1004+IF(AA1004=1,Assumptions!$B$12,Assumptions!$B$6)*T1004+Assumptions!$B$7*U1004+Assumptions!$B$8*V1004+Assumptions!$B$9*Y1004</f>
        <v>0.466338</v>
      </c>
      <c r="AA1004" s="3" t="n">
        <v>0</v>
      </c>
    </row>
    <row r="1005" customFormat="false" ht="15" hidden="false" customHeight="false" outlineLevel="0" collapsed="false">
      <c r="A1005" s="3" t="s">
        <v>1190</v>
      </c>
      <c r="B1005" s="3" t="n">
        <v>365</v>
      </c>
      <c r="C1005" s="11" t="str">
        <f aca="false">IF(M1005&gt;=Assumptions!$B$17,"S+",IF(M1005&gt;=Assumptions!$B$18,"S",IF(M1005&gt;=Assumptions!$B$19,"A",IF(M1005&gt;=Assumptions!$B$20,"B",IF(M1005&gt;=Assumptions!$B$21,"C",IF(M1005&gt;=Assumptions!$B$22,"D","F"))))))</f>
        <v>F</v>
      </c>
      <c r="D1005" s="3" t="s">
        <v>190</v>
      </c>
      <c r="E1005" s="3" t="n">
        <v>2</v>
      </c>
      <c r="F1005" s="12" t="n">
        <v>0.6376</v>
      </c>
      <c r="G1005" s="12" t="n">
        <v>0.4</v>
      </c>
      <c r="H1005" s="12" t="n">
        <v>0.75</v>
      </c>
      <c r="I1005" s="12" t="n">
        <v>0.5603</v>
      </c>
      <c r="J1005" s="12" t="n">
        <v>0.2941</v>
      </c>
      <c r="K1005" s="12" t="n">
        <v>0.4396</v>
      </c>
      <c r="L1005" s="3" t="n">
        <v>3.67</v>
      </c>
      <c r="M1005" s="12" t="n">
        <f aca="false">Z1005-W1005</f>
        <v>-0.042719</v>
      </c>
      <c r="N1005" s="12" t="n">
        <f aca="false">IFERROR((Z1005-J1005)/L1005,"")</f>
        <v>0.0396405994550409</v>
      </c>
      <c r="O1005" s="3" t="n">
        <v>18</v>
      </c>
      <c r="P1005" s="13" t="b">
        <f aca="false">FALSE()</f>
        <v>0</v>
      </c>
      <c r="Q1005" s="3" t="s">
        <v>166</v>
      </c>
      <c r="R1005" s="12" t="n">
        <v>0.6383</v>
      </c>
      <c r="S1005" s="12" t="n">
        <v>0.4015</v>
      </c>
      <c r="T1005" s="3" t="n">
        <v>0.3907</v>
      </c>
      <c r="U1005" s="12" t="n">
        <v>0.282</v>
      </c>
      <c r="V1005" s="12" t="n">
        <v>0.4992</v>
      </c>
      <c r="W1005" s="12" t="n">
        <v>0.4823</v>
      </c>
      <c r="X1005" s="3" t="n">
        <v>0.2242</v>
      </c>
      <c r="Y1005" s="3" t="n">
        <v>0.4753</v>
      </c>
      <c r="Z1005" s="14" t="n">
        <f aca="false">Assumptions!$B$3*R1005+Assumptions!$B$4*S1005+IF(AA1005=1,Assumptions!$B$11,Assumptions!$B$5)*X1005+IF(AA1005=1,Assumptions!$B$12,Assumptions!$B$6)*T1005+Assumptions!$B$7*U1005+Assumptions!$B$8*V1005+Assumptions!$B$9*Y1005</f>
        <v>0.439581</v>
      </c>
      <c r="AA1005" s="3" t="n">
        <v>0</v>
      </c>
    </row>
    <row r="1006" customFormat="false" ht="15" hidden="false" customHeight="false" outlineLevel="0" collapsed="false">
      <c r="A1006" s="3" t="s">
        <v>1191</v>
      </c>
      <c r="B1006" s="3" t="n">
        <v>245</v>
      </c>
      <c r="C1006" s="11" t="str">
        <f aca="false">IF(M1006&gt;=Assumptions!$B$17,"S+",IF(M1006&gt;=Assumptions!$B$18,"S",IF(M1006&gt;=Assumptions!$B$19,"A",IF(M1006&gt;=Assumptions!$B$20,"B",IF(M1006&gt;=Assumptions!$B$21,"C",IF(M1006&gt;=Assumptions!$B$22,"D","F"))))))</f>
        <v>F</v>
      </c>
      <c r="D1006" s="3" t="s">
        <v>203</v>
      </c>
      <c r="E1006" s="3" t="n">
        <v>1</v>
      </c>
      <c r="F1006" s="12" t="n">
        <v>0.6332</v>
      </c>
      <c r="G1006" s="12" t="n">
        <v>0.4</v>
      </c>
      <c r="H1006" s="12" t="n">
        <v>0.75</v>
      </c>
      <c r="I1006" s="12" t="n">
        <v>0.54</v>
      </c>
      <c r="J1006" s="12" t="n">
        <v>0.2702</v>
      </c>
      <c r="K1006" s="12" t="n">
        <v>0.4422</v>
      </c>
      <c r="L1006" s="3" t="n">
        <v>5.61</v>
      </c>
      <c r="M1006" s="12" t="n">
        <f aca="false">Z1006-W1006</f>
        <v>-0.0436210000000001</v>
      </c>
      <c r="N1006" s="12" t="n">
        <f aca="false">IFERROR((Z1006-J1006)/L1006,"")</f>
        <v>0.0306557932263815</v>
      </c>
      <c r="O1006" s="3" t="n">
        <v>19</v>
      </c>
      <c r="P1006" s="13" t="b">
        <f aca="false">FALSE()</f>
        <v>0</v>
      </c>
      <c r="Q1006" s="3" t="s">
        <v>166</v>
      </c>
      <c r="R1006" s="12" t="n">
        <v>0.7577</v>
      </c>
      <c r="S1006" s="12" t="n">
        <v>0.2226</v>
      </c>
      <c r="T1006" s="3" t="n">
        <v>0.4707</v>
      </c>
      <c r="U1006" s="12" t="n">
        <v>0.3117</v>
      </c>
      <c r="V1006" s="12" t="n">
        <v>0.4905</v>
      </c>
      <c r="W1006" s="12" t="n">
        <v>0.4858</v>
      </c>
      <c r="X1006" s="3" t="n">
        <v>0.1008</v>
      </c>
      <c r="Y1006" s="3" t="n">
        <v>0.5405</v>
      </c>
      <c r="Z1006" s="14" t="n">
        <f aca="false">Assumptions!$B$3*R1006+Assumptions!$B$4*S1006+IF(AA1006=1,Assumptions!$B$11,Assumptions!$B$5)*X1006+IF(AA1006=1,Assumptions!$B$12,Assumptions!$B$6)*T1006+Assumptions!$B$7*U1006+Assumptions!$B$8*V1006+Assumptions!$B$9*Y1006</f>
        <v>0.442179</v>
      </c>
      <c r="AA1006" s="3" t="n">
        <v>0</v>
      </c>
    </row>
    <row r="1007" customFormat="false" ht="15" hidden="false" customHeight="false" outlineLevel="0" collapsed="false">
      <c r="A1007" s="3" t="s">
        <v>1192</v>
      </c>
      <c r="B1007" s="3" t="n">
        <v>335</v>
      </c>
      <c r="C1007" s="11" t="str">
        <f aca="false">IF(M1007&gt;=Assumptions!$B$17,"S+",IF(M1007&gt;=Assumptions!$B$18,"S",IF(M1007&gt;=Assumptions!$B$19,"A",IF(M1007&gt;=Assumptions!$B$20,"B",IF(M1007&gt;=Assumptions!$B$21,"C",IF(M1007&gt;=Assumptions!$B$22,"D","F"))))))</f>
        <v>F</v>
      </c>
      <c r="D1007" s="3" t="s">
        <v>253</v>
      </c>
      <c r="E1007" s="3" t="n">
        <v>1</v>
      </c>
      <c r="F1007" s="12" t="n">
        <v>0.335</v>
      </c>
      <c r="G1007" s="12" t="n">
        <v>0.8</v>
      </c>
      <c r="H1007" s="12" t="n">
        <v>0.75</v>
      </c>
      <c r="I1007" s="12" t="n">
        <v>0.6412</v>
      </c>
      <c r="J1007" s="12" t="n">
        <v>0.294</v>
      </c>
      <c r="K1007" s="12" t="n">
        <v>0.4645</v>
      </c>
      <c r="L1007" s="3" t="n">
        <v>6.42</v>
      </c>
      <c r="M1007" s="12" t="n">
        <f aca="false">Z1007-W1007</f>
        <v>-0.044113</v>
      </c>
      <c r="N1007" s="12" t="n">
        <f aca="false">IFERROR((Z1007-J1007)/L1007,"")</f>
        <v>0.0265556074766355</v>
      </c>
      <c r="O1007" s="3" t="n">
        <v>19</v>
      </c>
      <c r="P1007" s="13" t="b">
        <f aca="false">FALSE()</f>
        <v>0</v>
      </c>
      <c r="Q1007" s="3" t="s">
        <v>166</v>
      </c>
      <c r="R1007" s="12" t="n">
        <v>0.6501</v>
      </c>
      <c r="S1007" s="12" t="n">
        <v>0.3031</v>
      </c>
      <c r="T1007" s="3" t="n">
        <v>0.3506</v>
      </c>
      <c r="U1007" s="12" t="n">
        <v>0.4292</v>
      </c>
      <c r="V1007" s="12" t="n">
        <v>0.4314</v>
      </c>
      <c r="W1007" s="12" t="n">
        <v>0.5086</v>
      </c>
      <c r="X1007" s="3" t="n">
        <v>0.3765</v>
      </c>
      <c r="Y1007" s="3" t="n">
        <v>0.5731</v>
      </c>
      <c r="Z1007" s="14" t="n">
        <f aca="false">Assumptions!$B$3*R1007+Assumptions!$B$4*S1007+IF(AA1007=1,Assumptions!$B$11,Assumptions!$B$5)*X1007+IF(AA1007=1,Assumptions!$B$12,Assumptions!$B$6)*T1007+Assumptions!$B$7*U1007+Assumptions!$B$8*V1007+Assumptions!$B$9*Y1007</f>
        <v>0.464487</v>
      </c>
      <c r="AA1007" s="3" t="n">
        <v>0</v>
      </c>
    </row>
    <row r="1008" customFormat="false" ht="15" hidden="false" customHeight="false" outlineLevel="0" collapsed="false">
      <c r="A1008" s="3" t="s">
        <v>1193</v>
      </c>
      <c r="B1008" s="3" t="n">
        <v>320</v>
      </c>
      <c r="C1008" s="11" t="str">
        <f aca="false">IF(M1008&gt;=Assumptions!$B$17,"S+",IF(M1008&gt;=Assumptions!$B$18,"S",IF(M1008&gt;=Assumptions!$B$19,"A",IF(M1008&gt;=Assumptions!$B$20,"B",IF(M1008&gt;=Assumptions!$B$21,"C",IF(M1008&gt;=Assumptions!$B$22,"D","F"))))))</f>
        <v>F</v>
      </c>
      <c r="D1008" s="3" t="s">
        <v>197</v>
      </c>
      <c r="E1008" s="3" t="n">
        <v>1</v>
      </c>
      <c r="F1008" s="12" t="n">
        <v>0.6882</v>
      </c>
      <c r="G1008" s="12" t="n">
        <v>0.6</v>
      </c>
      <c r="H1008" s="12" t="n">
        <v>0.75</v>
      </c>
      <c r="I1008" s="12" t="n">
        <v>0.6635</v>
      </c>
      <c r="J1008" s="12" t="n">
        <v>0.2758</v>
      </c>
      <c r="K1008" s="12" t="n">
        <v>0.4693</v>
      </c>
      <c r="L1008" s="3" t="n">
        <v>5.68</v>
      </c>
      <c r="M1008" s="12" t="n">
        <f aca="false">Z1008-W1008</f>
        <v>-0.044654</v>
      </c>
      <c r="N1008" s="12" t="n">
        <f aca="false">IFERROR((Z1008-J1008)/L1008,"")</f>
        <v>0.034075</v>
      </c>
      <c r="O1008" s="3" t="n">
        <v>19</v>
      </c>
      <c r="P1008" s="13" t="b">
        <f aca="false">FALSE()</f>
        <v>0</v>
      </c>
      <c r="Q1008" s="3" t="s">
        <v>166</v>
      </c>
      <c r="R1008" s="12" t="n">
        <v>0.6941</v>
      </c>
      <c r="S1008" s="12" t="n">
        <v>0.2378</v>
      </c>
      <c r="T1008" s="3" t="n">
        <v>0.3287</v>
      </c>
      <c r="U1008" s="12" t="n">
        <v>0.5223</v>
      </c>
      <c r="V1008" s="12" t="n">
        <v>0.4708</v>
      </c>
      <c r="W1008" s="12" t="n">
        <v>0.514</v>
      </c>
      <c r="X1008" s="3" t="n">
        <v>0.3058</v>
      </c>
      <c r="Y1008" s="3" t="n">
        <v>0.6082</v>
      </c>
      <c r="Z1008" s="14" t="n">
        <f aca="false">Assumptions!$B$3*R1008+Assumptions!$B$4*S1008+IF(AA1008=1,Assumptions!$B$11,Assumptions!$B$5)*X1008+IF(AA1008=1,Assumptions!$B$12,Assumptions!$B$6)*T1008+Assumptions!$B$7*U1008+Assumptions!$B$8*V1008+Assumptions!$B$9*Y1008</f>
        <v>0.469346</v>
      </c>
      <c r="AA1008" s="3" t="n">
        <v>0</v>
      </c>
    </row>
    <row r="1009" customFormat="false" ht="15" hidden="false" customHeight="false" outlineLevel="0" collapsed="false">
      <c r="A1009" s="3" t="s">
        <v>1194</v>
      </c>
      <c r="B1009" s="3" t="n">
        <v>328</v>
      </c>
      <c r="C1009" s="11" t="str">
        <f aca="false">IF(M1009&gt;=Assumptions!$B$17,"S+",IF(M1009&gt;=Assumptions!$B$18,"S",IF(M1009&gt;=Assumptions!$B$19,"A",IF(M1009&gt;=Assumptions!$B$20,"B",IF(M1009&gt;=Assumptions!$B$21,"C",IF(M1009&gt;=Assumptions!$B$22,"D","F"))))))</f>
        <v>F</v>
      </c>
      <c r="D1009" s="3" t="s">
        <v>218</v>
      </c>
      <c r="E1009" s="3" t="n">
        <v>1</v>
      </c>
      <c r="F1009" s="12" t="n">
        <v>0.7632</v>
      </c>
      <c r="G1009" s="12" t="n">
        <v>0.8</v>
      </c>
      <c r="H1009" s="12" t="n">
        <v>0.75</v>
      </c>
      <c r="I1009" s="12" t="n">
        <v>0.7782</v>
      </c>
      <c r="J1009" s="12" t="n">
        <v>0.3276</v>
      </c>
      <c r="K1009" s="12" t="n">
        <v>0.4719</v>
      </c>
      <c r="L1009" s="3" t="n">
        <v>5.68</v>
      </c>
      <c r="M1009" s="12" t="n">
        <f aca="false">Z1009-W1009</f>
        <v>-0.0448150000000001</v>
      </c>
      <c r="N1009" s="12" t="n">
        <f aca="false">IFERROR((Z1009-J1009)/L1009,"")</f>
        <v>0.0254022887323944</v>
      </c>
      <c r="O1009" s="3" t="n">
        <v>19</v>
      </c>
      <c r="P1009" s="13" t="b">
        <f aca="false">FALSE()</f>
        <v>0</v>
      </c>
      <c r="Q1009" s="3" t="s">
        <v>166</v>
      </c>
      <c r="R1009" s="12" t="n">
        <v>0.7334</v>
      </c>
      <c r="S1009" s="12" t="n">
        <v>0.3178</v>
      </c>
      <c r="T1009" s="3" t="n">
        <v>0.3707</v>
      </c>
      <c r="U1009" s="12" t="n">
        <v>0.3441</v>
      </c>
      <c r="V1009" s="12" t="n">
        <v>0.4809</v>
      </c>
      <c r="W1009" s="12" t="n">
        <v>0.5167</v>
      </c>
      <c r="X1009" s="3" t="n">
        <v>0.1548</v>
      </c>
      <c r="Y1009" s="3" t="n">
        <v>0.7697</v>
      </c>
      <c r="Z1009" s="14" t="n">
        <f aca="false">Assumptions!$B$3*R1009+Assumptions!$B$4*S1009+IF(AA1009=1,Assumptions!$B$11,Assumptions!$B$5)*X1009+IF(AA1009=1,Assumptions!$B$12,Assumptions!$B$6)*T1009+Assumptions!$B$7*U1009+Assumptions!$B$8*V1009+Assumptions!$B$9*Y1009</f>
        <v>0.471885</v>
      </c>
      <c r="AA1009" s="3" t="n">
        <v>0</v>
      </c>
    </row>
    <row r="1010" customFormat="false" ht="15" hidden="false" customHeight="false" outlineLevel="0" collapsed="false">
      <c r="A1010" s="3" t="s">
        <v>1195</v>
      </c>
      <c r="B1010" s="3" t="n">
        <v>334</v>
      </c>
      <c r="C1010" s="11" t="str">
        <f aca="false">IF(M1010&gt;=Assumptions!$B$17,"S+",IF(M1010&gt;=Assumptions!$B$18,"S",IF(M1010&gt;=Assumptions!$B$19,"A",IF(M1010&gt;=Assumptions!$B$20,"B",IF(M1010&gt;=Assumptions!$B$21,"C",IF(M1010&gt;=Assumptions!$B$22,"D","F"))))))</f>
        <v>F</v>
      </c>
      <c r="D1010" s="3" t="s">
        <v>228</v>
      </c>
      <c r="E1010" s="3" t="n">
        <v>3</v>
      </c>
      <c r="F1010" s="12" t="n">
        <v>0.5485</v>
      </c>
      <c r="G1010" s="12" t="n">
        <v>0.6</v>
      </c>
      <c r="H1010" s="12" t="n">
        <v>0.75</v>
      </c>
      <c r="I1010" s="12" t="n">
        <v>0.6135</v>
      </c>
      <c r="J1010" s="12" t="n">
        <v>0.2863</v>
      </c>
      <c r="K1010" s="12" t="n">
        <v>0.4243</v>
      </c>
      <c r="L1010" s="3" t="n">
        <v>5.76</v>
      </c>
      <c r="M1010" s="12" t="n">
        <f aca="false">Z1010-W1010</f>
        <v>-0.0448559999999999</v>
      </c>
      <c r="N1010" s="12" t="n">
        <f aca="false">IFERROR((Z1010-J1010)/L1010,"")</f>
        <v>0.0239486111111111</v>
      </c>
      <c r="O1010" s="3" t="n">
        <v>17</v>
      </c>
      <c r="P1010" s="13" t="b">
        <f aca="false">FALSE()</f>
        <v>0</v>
      </c>
      <c r="Q1010" s="3" t="s">
        <v>166</v>
      </c>
      <c r="R1010" s="12" t="n">
        <v>0.6963</v>
      </c>
      <c r="S1010" s="12" t="n">
        <v>0.2061</v>
      </c>
      <c r="T1010" s="3" t="n">
        <v>0.1408</v>
      </c>
      <c r="U1010" s="12" t="n">
        <v>0.4887</v>
      </c>
      <c r="V1010" s="12" t="n">
        <v>0.3103</v>
      </c>
      <c r="W1010" s="12" t="n">
        <v>0.4691</v>
      </c>
      <c r="X1010" s="3" t="n">
        <v>0.3162</v>
      </c>
      <c r="Y1010" s="3" t="n">
        <v>0.618</v>
      </c>
      <c r="Z1010" s="14" t="n">
        <f aca="false">Assumptions!$B$3*R1010+Assumptions!$B$4*S1010+IF(AA1010=1,Assumptions!$B$11,Assumptions!$B$5)*X1010+IF(AA1010=1,Assumptions!$B$12,Assumptions!$B$6)*T1010+Assumptions!$B$7*U1010+Assumptions!$B$8*V1010+Assumptions!$B$9*Y1010</f>
        <v>0.424244</v>
      </c>
      <c r="AA1010" s="3" t="n">
        <v>0</v>
      </c>
    </row>
    <row r="1011" customFormat="false" ht="15" hidden="false" customHeight="false" outlineLevel="0" collapsed="false">
      <c r="A1011" s="3" t="s">
        <v>1196</v>
      </c>
      <c r="B1011" s="3" t="n">
        <v>300</v>
      </c>
      <c r="C1011" s="11" t="str">
        <f aca="false">IF(M1011&gt;=Assumptions!$B$17,"S+",IF(M1011&gt;=Assumptions!$B$18,"S",IF(M1011&gt;=Assumptions!$B$19,"A",IF(M1011&gt;=Assumptions!$B$20,"B",IF(M1011&gt;=Assumptions!$B$21,"C",IF(M1011&gt;=Assumptions!$B$22,"D","F"))))))</f>
        <v>F</v>
      </c>
      <c r="D1011" s="3" t="s">
        <v>218</v>
      </c>
      <c r="E1011" s="3" t="n">
        <v>1</v>
      </c>
      <c r="F1011" s="12" t="n">
        <v>0.544</v>
      </c>
      <c r="G1011" s="12" t="n">
        <v>0.6</v>
      </c>
      <c r="H1011" s="12" t="n">
        <v>0.75</v>
      </c>
      <c r="I1011" s="12" t="n">
        <v>0.6121</v>
      </c>
      <c r="J1011" s="12" t="n">
        <v>0.2749</v>
      </c>
      <c r="K1011" s="12" t="n">
        <v>0.4572</v>
      </c>
      <c r="L1011" s="3" t="n">
        <v>5.37</v>
      </c>
      <c r="M1011" s="12" t="n">
        <f aca="false">Z1011-W1011</f>
        <v>-0.0448960000000001</v>
      </c>
      <c r="N1011" s="12" t="n">
        <f aca="false">IFERROR((Z1011-J1011)/L1011,"")</f>
        <v>0.0339486033519553</v>
      </c>
      <c r="O1011" s="3" t="n">
        <v>19</v>
      </c>
      <c r="P1011" s="13" t="b">
        <f aca="false">FALSE()</f>
        <v>0</v>
      </c>
      <c r="Q1011" s="3" t="s">
        <v>166</v>
      </c>
      <c r="R1011" s="12" t="n">
        <v>0.6386</v>
      </c>
      <c r="S1011" s="12" t="n">
        <v>0.3414</v>
      </c>
      <c r="T1011" s="3" t="n">
        <v>0.2013</v>
      </c>
      <c r="U1011" s="12" t="n">
        <v>0.3927</v>
      </c>
      <c r="V1011" s="12" t="n">
        <v>0.5054</v>
      </c>
      <c r="W1011" s="12" t="n">
        <v>0.5021</v>
      </c>
      <c r="X1011" s="3" t="n">
        <v>0.3743</v>
      </c>
      <c r="Y1011" s="3" t="n">
        <v>0.6105</v>
      </c>
      <c r="Z1011" s="14" t="n">
        <f aca="false">Assumptions!$B$3*R1011+Assumptions!$B$4*S1011+IF(AA1011=1,Assumptions!$B$11,Assumptions!$B$5)*X1011+IF(AA1011=1,Assumptions!$B$12,Assumptions!$B$6)*T1011+Assumptions!$B$7*U1011+Assumptions!$B$8*V1011+Assumptions!$B$9*Y1011</f>
        <v>0.457204</v>
      </c>
      <c r="AA1011" s="3" t="n">
        <v>0</v>
      </c>
    </row>
    <row r="1012" customFormat="false" ht="15" hidden="false" customHeight="false" outlineLevel="0" collapsed="false">
      <c r="A1012" s="3" t="s">
        <v>1197</v>
      </c>
      <c r="B1012" s="3" t="n">
        <v>420</v>
      </c>
      <c r="C1012" s="11" t="str">
        <f aca="false">IF(M1012&gt;=Assumptions!$B$17,"S+",IF(M1012&gt;=Assumptions!$B$18,"S",IF(M1012&gt;=Assumptions!$B$19,"A",IF(M1012&gt;=Assumptions!$B$20,"B",IF(M1012&gt;=Assumptions!$B$21,"C",IF(M1012&gt;=Assumptions!$B$22,"D","F"))))))</f>
        <v>F</v>
      </c>
      <c r="D1012" s="3" t="s">
        <v>218</v>
      </c>
      <c r="E1012" s="3" t="n">
        <v>7</v>
      </c>
      <c r="F1012" s="12" t="n">
        <v>0.5322</v>
      </c>
      <c r="G1012" s="12" t="n">
        <v>0.6</v>
      </c>
      <c r="H1012" s="12" t="n">
        <v>0.75</v>
      </c>
      <c r="I1012" s="12" t="n">
        <v>0.6083</v>
      </c>
      <c r="J1012" s="12" t="n">
        <v>0.2858</v>
      </c>
      <c r="K1012" s="12" t="n">
        <v>0.4654</v>
      </c>
      <c r="L1012" s="3" t="n">
        <v>4</v>
      </c>
      <c r="M1012" s="12" t="n">
        <f aca="false">Z1012-W1012</f>
        <v>-0.0452830000000001</v>
      </c>
      <c r="N1012" s="12" t="n">
        <f aca="false">IFERROR((Z1012-J1012)/L1012,"")</f>
        <v>0.04490425</v>
      </c>
      <c r="O1012" s="3" t="n">
        <v>13</v>
      </c>
      <c r="P1012" s="13" t="b">
        <f aca="false">FALSE()</f>
        <v>0</v>
      </c>
      <c r="Q1012" s="3" t="s">
        <v>166</v>
      </c>
      <c r="R1012" s="12" t="n">
        <v>0.8137</v>
      </c>
      <c r="S1012" s="12" t="n">
        <v>0.3163</v>
      </c>
      <c r="T1012" s="3" t="n">
        <v>0.1839</v>
      </c>
      <c r="U1012" s="12" t="n">
        <v>0.4556</v>
      </c>
      <c r="V1012" s="12" t="n">
        <v>0.4372</v>
      </c>
      <c r="W1012" s="12" t="n">
        <v>0.5107</v>
      </c>
      <c r="X1012" s="3" t="n">
        <v>0.185</v>
      </c>
      <c r="Y1012" s="3" t="n">
        <v>0.6109</v>
      </c>
      <c r="Z1012" s="14" t="n">
        <f aca="false">Assumptions!$B$3*R1012+Assumptions!$B$4*S1012+IF(AA1012=1,Assumptions!$B$11,Assumptions!$B$5)*X1012+IF(AA1012=1,Assumptions!$B$12,Assumptions!$B$6)*T1012+Assumptions!$B$7*U1012+Assumptions!$B$8*V1012+Assumptions!$B$9*Y1012</f>
        <v>0.465417</v>
      </c>
      <c r="AA1012" s="3" t="n">
        <v>0</v>
      </c>
    </row>
    <row r="1013" customFormat="false" ht="15" hidden="false" customHeight="false" outlineLevel="0" collapsed="false">
      <c r="A1013" s="3" t="s">
        <v>1198</v>
      </c>
      <c r="B1013" s="3" t="n">
        <v>305</v>
      </c>
      <c r="C1013" s="11" t="str">
        <f aca="false">IF(M1013&gt;=Assumptions!$B$17,"S+",IF(M1013&gt;=Assumptions!$B$18,"S",IF(M1013&gt;=Assumptions!$B$19,"A",IF(M1013&gt;=Assumptions!$B$20,"B",IF(M1013&gt;=Assumptions!$B$21,"C",IF(M1013&gt;=Assumptions!$B$22,"D","F"))))))</f>
        <v>F</v>
      </c>
      <c r="D1013" s="3" t="s">
        <v>169</v>
      </c>
      <c r="E1013" s="3" t="n">
        <v>1</v>
      </c>
      <c r="F1013" s="12" t="n">
        <v>0.4672</v>
      </c>
      <c r="G1013" s="12" t="n">
        <v>0.45</v>
      </c>
      <c r="H1013" s="12" t="n">
        <v>0.5694</v>
      </c>
      <c r="I1013" s="12" t="n">
        <v>0.4773</v>
      </c>
      <c r="J1013" s="12" t="n">
        <v>0.3117</v>
      </c>
      <c r="K1013" s="12" t="n">
        <v>0.4311</v>
      </c>
      <c r="L1013" s="3" t="n">
        <v>5.79</v>
      </c>
      <c r="M1013" s="12" t="n">
        <f aca="false">Z1013-W1013</f>
        <v>-0.045598</v>
      </c>
      <c r="N1013" s="12" t="n">
        <f aca="false">IFERROR((Z1013-J1013)/L1013,"")</f>
        <v>0.0206221070811744</v>
      </c>
      <c r="O1013" s="3" t="n">
        <v>19</v>
      </c>
      <c r="P1013" s="13" t="b">
        <f aca="false">FALSE()</f>
        <v>0</v>
      </c>
      <c r="Q1013" s="3" t="s">
        <v>166</v>
      </c>
      <c r="R1013" s="12" t="n">
        <v>0.5759</v>
      </c>
      <c r="S1013" s="12" t="n">
        <v>0.4616</v>
      </c>
      <c r="T1013" s="3" t="n">
        <v>0.1733</v>
      </c>
      <c r="U1013" s="12" t="n">
        <v>0.4008</v>
      </c>
      <c r="V1013" s="12" t="n">
        <v>0.4854</v>
      </c>
      <c r="W1013" s="12" t="n">
        <v>0.4767</v>
      </c>
      <c r="X1013" s="3" t="n">
        <v>0.2788</v>
      </c>
      <c r="Y1013" s="3" t="n">
        <v>0.4481</v>
      </c>
      <c r="Z1013" s="14" t="n">
        <f aca="false">Assumptions!$B$3*R1013+Assumptions!$B$4*S1013+IF(AA1013=1,Assumptions!$B$11,Assumptions!$B$5)*X1013+IF(AA1013=1,Assumptions!$B$12,Assumptions!$B$6)*T1013+Assumptions!$B$7*U1013+Assumptions!$B$8*V1013+Assumptions!$B$9*Y1013</f>
        <v>0.431102</v>
      </c>
      <c r="AA1013" s="3" t="n">
        <v>1</v>
      </c>
    </row>
    <row r="1014" customFormat="false" ht="15" hidden="false" customHeight="false" outlineLevel="0" collapsed="false">
      <c r="A1014" s="3" t="s">
        <v>1199</v>
      </c>
      <c r="B1014" s="3" t="n">
        <v>510</v>
      </c>
      <c r="C1014" s="11" t="str">
        <f aca="false">IF(M1014&gt;=Assumptions!$B$17,"S+",IF(M1014&gt;=Assumptions!$B$18,"S",IF(M1014&gt;=Assumptions!$B$19,"A",IF(M1014&gt;=Assumptions!$B$20,"B",IF(M1014&gt;=Assumptions!$B$21,"C",IF(M1014&gt;=Assumptions!$B$22,"D","F"))))))</f>
        <v>F</v>
      </c>
      <c r="D1014" s="3" t="s">
        <v>253</v>
      </c>
      <c r="E1014" s="3" t="n">
        <v>4</v>
      </c>
      <c r="F1014" s="12" t="n">
        <v>0.9179</v>
      </c>
      <c r="G1014" s="12" t="n">
        <v>0.4</v>
      </c>
      <c r="H1014" s="12" t="n">
        <v>0.75</v>
      </c>
      <c r="I1014" s="12" t="n">
        <v>0.6357</v>
      </c>
      <c r="J1014" s="12" t="n">
        <v>0.3514</v>
      </c>
      <c r="K1014" s="12" t="n">
        <v>0.485</v>
      </c>
      <c r="L1014" s="3" t="n">
        <v>3.94</v>
      </c>
      <c r="M1014" s="12" t="n">
        <f aca="false">Z1014-W1014</f>
        <v>-0.045679</v>
      </c>
      <c r="N1014" s="12" t="n">
        <f aca="false">IFERROR((Z1014-J1014)/L1014,"")</f>
        <v>0.0338885786802031</v>
      </c>
      <c r="O1014" s="3" t="n">
        <v>16</v>
      </c>
      <c r="P1014" s="13" t="b">
        <f aca="false">FALSE()</f>
        <v>0</v>
      </c>
      <c r="Q1014" s="3" t="s">
        <v>166</v>
      </c>
      <c r="R1014" s="12" t="n">
        <v>0.7908</v>
      </c>
      <c r="S1014" s="12" t="n">
        <v>0.3549</v>
      </c>
      <c r="T1014" s="3" t="n">
        <v>0.4547</v>
      </c>
      <c r="U1014" s="12" t="n">
        <v>0.2452</v>
      </c>
      <c r="V1014" s="12" t="n">
        <v>0.4632</v>
      </c>
      <c r="W1014" s="12" t="n">
        <v>0.5306</v>
      </c>
      <c r="X1014" s="3" t="n">
        <v>0.2072</v>
      </c>
      <c r="Y1014" s="3" t="n">
        <v>0.6289</v>
      </c>
      <c r="Z1014" s="14" t="n">
        <f aca="false">Assumptions!$B$3*R1014+Assumptions!$B$4*S1014+IF(AA1014=1,Assumptions!$B$11,Assumptions!$B$5)*X1014+IF(AA1014=1,Assumptions!$B$12,Assumptions!$B$6)*T1014+Assumptions!$B$7*U1014+Assumptions!$B$8*V1014+Assumptions!$B$9*Y1014</f>
        <v>0.484921</v>
      </c>
      <c r="AA1014" s="3" t="n">
        <v>0</v>
      </c>
    </row>
    <row r="1015" customFormat="false" ht="15" hidden="false" customHeight="false" outlineLevel="0" collapsed="false">
      <c r="A1015" s="3" t="s">
        <v>1200</v>
      </c>
      <c r="B1015" s="3" t="n">
        <v>334</v>
      </c>
      <c r="C1015" s="11" t="str">
        <f aca="false">IF(M1015&gt;=Assumptions!$B$17,"S+",IF(M1015&gt;=Assumptions!$B$18,"S",IF(M1015&gt;=Assumptions!$B$19,"A",IF(M1015&gt;=Assumptions!$B$20,"B",IF(M1015&gt;=Assumptions!$B$21,"C",IF(M1015&gt;=Assumptions!$B$22,"D","F"))))))</f>
        <v>F</v>
      </c>
      <c r="D1015" s="3" t="s">
        <v>218</v>
      </c>
      <c r="E1015" s="3" t="n">
        <v>3</v>
      </c>
      <c r="F1015" s="12" t="n">
        <v>0.5481</v>
      </c>
      <c r="G1015" s="12" t="n">
        <v>1</v>
      </c>
      <c r="H1015" s="12" t="n">
        <v>0.75</v>
      </c>
      <c r="I1015" s="12" t="n">
        <v>0.8054</v>
      </c>
      <c r="J1015" s="12" t="n">
        <v>0.2885</v>
      </c>
      <c r="K1015" s="12" t="n">
        <v>0.4651</v>
      </c>
      <c r="L1015" s="3" t="n">
        <v>6.35</v>
      </c>
      <c r="M1015" s="12" t="n">
        <f aca="false">Z1015-W1015</f>
        <v>-0.046092</v>
      </c>
      <c r="N1015" s="12" t="n">
        <f aca="false">IFERROR((Z1015-J1015)/L1015,"")</f>
        <v>0.0278122834645669</v>
      </c>
      <c r="O1015" s="3" t="n">
        <v>17</v>
      </c>
      <c r="P1015" s="13" t="b">
        <f aca="false">FALSE()</f>
        <v>0</v>
      </c>
      <c r="Q1015" s="3" t="s">
        <v>166</v>
      </c>
      <c r="R1015" s="12" t="n">
        <v>0.6653</v>
      </c>
      <c r="S1015" s="12" t="n">
        <v>0.396</v>
      </c>
      <c r="T1015" s="3" t="n">
        <v>0.127</v>
      </c>
      <c r="U1015" s="12" t="n">
        <v>0.3936</v>
      </c>
      <c r="V1015" s="12" t="n">
        <v>0.3802</v>
      </c>
      <c r="W1015" s="12" t="n">
        <v>0.5112</v>
      </c>
      <c r="X1015" s="3" t="n">
        <v>0.3453</v>
      </c>
      <c r="Y1015" s="3" t="n">
        <v>0.8106</v>
      </c>
      <c r="Z1015" s="14" t="n">
        <f aca="false">Assumptions!$B$3*R1015+Assumptions!$B$4*S1015+IF(AA1015=1,Assumptions!$B$11,Assumptions!$B$5)*X1015+IF(AA1015=1,Assumptions!$B$12,Assumptions!$B$6)*T1015+Assumptions!$B$7*U1015+Assumptions!$B$8*V1015+Assumptions!$B$9*Y1015</f>
        <v>0.465108</v>
      </c>
      <c r="AA1015" s="3" t="n">
        <v>0</v>
      </c>
    </row>
    <row r="1016" customFormat="false" ht="15" hidden="false" customHeight="false" outlineLevel="0" collapsed="false">
      <c r="A1016" s="3" t="s">
        <v>1201</v>
      </c>
      <c r="B1016" s="3" t="n">
        <v>265</v>
      </c>
      <c r="C1016" s="11" t="str">
        <f aca="false">IF(M1016&gt;=Assumptions!$B$17,"S+",IF(M1016&gt;=Assumptions!$B$18,"S",IF(M1016&gt;=Assumptions!$B$19,"A",IF(M1016&gt;=Assumptions!$B$20,"B",IF(M1016&gt;=Assumptions!$B$21,"C",IF(M1016&gt;=Assumptions!$B$22,"D","F"))))))</f>
        <v>F</v>
      </c>
      <c r="D1016" s="3" t="s">
        <v>190</v>
      </c>
      <c r="E1016" s="3" t="n">
        <v>1</v>
      </c>
      <c r="F1016" s="12" t="n">
        <v>0.7047</v>
      </c>
      <c r="G1016" s="12" t="n">
        <v>0.4</v>
      </c>
      <c r="H1016" s="12" t="n">
        <v>0.75</v>
      </c>
      <c r="I1016" s="12" t="n">
        <v>0.5858</v>
      </c>
      <c r="J1016" s="12" t="n">
        <v>0.2487</v>
      </c>
      <c r="K1016" s="12" t="n">
        <v>0.4252</v>
      </c>
      <c r="L1016" s="3" t="n">
        <v>5.63</v>
      </c>
      <c r="M1016" s="12" t="n">
        <f aca="false">Z1016-W1016</f>
        <v>-0.0464620000000001</v>
      </c>
      <c r="N1016" s="12" t="n">
        <f aca="false">IFERROR((Z1016-J1016)/L1016,"")</f>
        <v>0.0313566607460035</v>
      </c>
      <c r="O1016" s="3" t="n">
        <v>19</v>
      </c>
      <c r="P1016" s="13" t="b">
        <f aca="false">FALSE()</f>
        <v>0</v>
      </c>
      <c r="Q1016" s="3" t="s">
        <v>166</v>
      </c>
      <c r="R1016" s="12" t="n">
        <v>0.7644</v>
      </c>
      <c r="S1016" s="12" t="n">
        <v>0.14</v>
      </c>
      <c r="T1016" s="3" t="n">
        <v>0.3802</v>
      </c>
      <c r="U1016" s="12" t="n">
        <v>0.3563</v>
      </c>
      <c r="V1016" s="12" t="n">
        <v>0.4878</v>
      </c>
      <c r="W1016" s="12" t="n">
        <v>0.4717</v>
      </c>
      <c r="X1016" s="3" t="n">
        <v>0.0957</v>
      </c>
      <c r="Y1016" s="3" t="n">
        <v>0.5527</v>
      </c>
      <c r="Z1016" s="14" t="n">
        <f aca="false">Assumptions!$B$3*R1016+Assumptions!$B$4*S1016+IF(AA1016=1,Assumptions!$B$11,Assumptions!$B$5)*X1016+IF(AA1016=1,Assumptions!$B$12,Assumptions!$B$6)*T1016+Assumptions!$B$7*U1016+Assumptions!$B$8*V1016+Assumptions!$B$9*Y1016</f>
        <v>0.425238</v>
      </c>
      <c r="AA1016" s="3" t="n">
        <v>0</v>
      </c>
    </row>
    <row r="1017" customFormat="false" ht="15" hidden="false" customHeight="false" outlineLevel="0" collapsed="false">
      <c r="A1017" s="3" t="s">
        <v>1202</v>
      </c>
      <c r="B1017" s="3" t="n">
        <v>300</v>
      </c>
      <c r="C1017" s="11" t="str">
        <f aca="false">IF(M1017&gt;=Assumptions!$B$17,"S+",IF(M1017&gt;=Assumptions!$B$18,"S",IF(M1017&gt;=Assumptions!$B$19,"A",IF(M1017&gt;=Assumptions!$B$20,"B",IF(M1017&gt;=Assumptions!$B$21,"C",IF(M1017&gt;=Assumptions!$B$22,"D","F"))))))</f>
        <v>F</v>
      </c>
      <c r="D1017" s="3" t="s">
        <v>186</v>
      </c>
      <c r="E1017" s="3" t="n">
        <v>1</v>
      </c>
      <c r="F1017" s="12" t="n">
        <v>0.3786</v>
      </c>
      <c r="G1017" s="12" t="n">
        <v>0.6</v>
      </c>
      <c r="H1017" s="12" t="n">
        <v>0.75</v>
      </c>
      <c r="I1017" s="12" t="n">
        <v>0.5902</v>
      </c>
      <c r="J1017" s="12" t="n">
        <v>0.253</v>
      </c>
      <c r="K1017" s="12" t="n">
        <v>0.4265</v>
      </c>
      <c r="L1017" s="3" t="n">
        <v>5.55</v>
      </c>
      <c r="M1017" s="12" t="n">
        <f aca="false">Z1017-W1017</f>
        <v>-0.046623</v>
      </c>
      <c r="N1017" s="12" t="n">
        <f aca="false">IFERROR((Z1017-J1017)/L1017,"")</f>
        <v>0.0312571171171171</v>
      </c>
      <c r="O1017" s="3" t="n">
        <v>19</v>
      </c>
      <c r="P1017" s="13" t="b">
        <f aca="false">FALSE()</f>
        <v>0</v>
      </c>
      <c r="Q1017" s="3" t="s">
        <v>166</v>
      </c>
      <c r="R1017" s="12" t="n">
        <v>0.531</v>
      </c>
      <c r="S1017" s="12" t="n">
        <v>0.3341</v>
      </c>
      <c r="T1017" s="3" t="n">
        <v>0.1551</v>
      </c>
      <c r="U1017" s="12" t="n">
        <v>0.5263</v>
      </c>
      <c r="V1017" s="12" t="n">
        <v>0.3802</v>
      </c>
      <c r="W1017" s="12" t="n">
        <v>0.4731</v>
      </c>
      <c r="X1017" s="3" t="n">
        <v>0.3399</v>
      </c>
      <c r="Y1017" s="3" t="n">
        <v>0.5607</v>
      </c>
      <c r="Z1017" s="14" t="n">
        <f aca="false">Assumptions!$B$3*R1017+Assumptions!$B$4*S1017+IF(AA1017=1,Assumptions!$B$11,Assumptions!$B$5)*X1017+IF(AA1017=1,Assumptions!$B$12,Assumptions!$B$6)*T1017+Assumptions!$B$7*U1017+Assumptions!$B$8*V1017+Assumptions!$B$9*Y1017</f>
        <v>0.426477</v>
      </c>
      <c r="AA1017" s="3" t="n">
        <v>1</v>
      </c>
    </row>
    <row r="1018" customFormat="false" ht="15" hidden="false" customHeight="false" outlineLevel="0" collapsed="false">
      <c r="A1018" s="3" t="s">
        <v>1203</v>
      </c>
      <c r="B1018" s="3" t="n">
        <v>290</v>
      </c>
      <c r="C1018" s="11" t="str">
        <f aca="false">IF(M1018&gt;=Assumptions!$B$17,"S+",IF(M1018&gt;=Assumptions!$B$18,"S",IF(M1018&gt;=Assumptions!$B$19,"A",IF(M1018&gt;=Assumptions!$B$20,"B",IF(M1018&gt;=Assumptions!$B$21,"C",IF(M1018&gt;=Assumptions!$B$22,"D","F"))))))</f>
        <v>F</v>
      </c>
      <c r="D1018" s="3" t="s">
        <v>197</v>
      </c>
      <c r="E1018" s="3" t="n">
        <v>3</v>
      </c>
      <c r="F1018" s="12" t="n">
        <v>0.4068</v>
      </c>
      <c r="G1018" s="12" t="n">
        <v>1</v>
      </c>
      <c r="H1018" s="12" t="n">
        <v>0.75</v>
      </c>
      <c r="I1018" s="12" t="n">
        <v>0.7246</v>
      </c>
      <c r="J1018" s="12" t="n">
        <v>0.2247</v>
      </c>
      <c r="K1018" s="12" t="n">
        <v>0.4566</v>
      </c>
      <c r="L1018" s="3" t="n">
        <v>6.79</v>
      </c>
      <c r="M1018" s="12" t="n">
        <f aca="false">Z1018-W1018</f>
        <v>-0.04678</v>
      </c>
      <c r="N1018" s="12" t="n">
        <f aca="false">IFERROR((Z1018-J1018)/L1018,"")</f>
        <v>0.0341561119293078</v>
      </c>
      <c r="O1018" s="3" t="n">
        <v>17</v>
      </c>
      <c r="P1018" s="13" t="b">
        <f aca="false">FALSE()</f>
        <v>0</v>
      </c>
      <c r="Q1018" s="3" t="s">
        <v>166</v>
      </c>
      <c r="R1018" s="12" t="n">
        <v>0.5812</v>
      </c>
      <c r="S1018" s="12" t="n">
        <v>0.3321</v>
      </c>
      <c r="T1018" s="3" t="n">
        <v>0.1423</v>
      </c>
      <c r="U1018" s="12" t="n">
        <v>0.4525</v>
      </c>
      <c r="V1018" s="12" t="n">
        <v>0.4693</v>
      </c>
      <c r="W1018" s="12" t="n">
        <v>0.5034</v>
      </c>
      <c r="X1018" s="3" t="n">
        <v>0.4644</v>
      </c>
      <c r="Y1018" s="3" t="n">
        <v>0.6744</v>
      </c>
      <c r="Z1018" s="14" t="n">
        <f aca="false">Assumptions!$B$3*R1018+Assumptions!$B$4*S1018+IF(AA1018=1,Assumptions!$B$11,Assumptions!$B$5)*X1018+IF(AA1018=1,Assumptions!$B$12,Assumptions!$B$6)*T1018+Assumptions!$B$7*U1018+Assumptions!$B$8*V1018+Assumptions!$B$9*Y1018</f>
        <v>0.45662</v>
      </c>
      <c r="AA1018" s="3" t="n">
        <v>0</v>
      </c>
    </row>
    <row r="1019" customFormat="false" ht="15" hidden="false" customHeight="false" outlineLevel="0" collapsed="false">
      <c r="A1019" s="3" t="s">
        <v>1204</v>
      </c>
      <c r="B1019" s="3" t="n">
        <v>270</v>
      </c>
      <c r="C1019" s="11" t="str">
        <f aca="false">IF(M1019&gt;=Assumptions!$B$17,"S+",IF(M1019&gt;=Assumptions!$B$18,"S",IF(M1019&gt;=Assumptions!$B$19,"A",IF(M1019&gt;=Assumptions!$B$20,"B",IF(M1019&gt;=Assumptions!$B$21,"C",IF(M1019&gt;=Assumptions!$B$22,"D","F"))))))</f>
        <v>F</v>
      </c>
      <c r="D1019" s="3" t="s">
        <v>173</v>
      </c>
      <c r="E1019" s="3" t="n">
        <v>1</v>
      </c>
      <c r="F1019" s="12" t="n">
        <v>0.4343</v>
      </c>
      <c r="G1019" s="12" t="n">
        <v>0.45</v>
      </c>
      <c r="H1019" s="12" t="n">
        <v>0.75</v>
      </c>
      <c r="I1019" s="12" t="n">
        <v>0.5072</v>
      </c>
      <c r="J1019" s="12" t="n">
        <v>0.2438</v>
      </c>
      <c r="K1019" s="12" t="n">
        <v>0.3878</v>
      </c>
      <c r="L1019" s="3" t="n">
        <v>6.5</v>
      </c>
      <c r="M1019" s="12" t="n">
        <f aca="false">Z1019-W1019</f>
        <v>-0.0474910000000001</v>
      </c>
      <c r="N1019" s="12" t="n">
        <f aca="false">IFERROR((Z1019-J1019)/L1019,"")</f>
        <v>0.0221552307692308</v>
      </c>
      <c r="O1019" s="3" t="n">
        <v>19</v>
      </c>
      <c r="P1019" s="13" t="b">
        <f aca="false">FALSE()</f>
        <v>0</v>
      </c>
      <c r="Q1019" s="3" t="s">
        <v>166</v>
      </c>
      <c r="R1019" s="12" t="n">
        <v>0.5911</v>
      </c>
      <c r="S1019" s="12" t="n">
        <v>0.421</v>
      </c>
      <c r="T1019" s="3" t="n">
        <v>0.1043</v>
      </c>
      <c r="U1019" s="12" t="n">
        <v>0.1862</v>
      </c>
      <c r="V1019" s="12" t="n">
        <v>0.5011</v>
      </c>
      <c r="W1019" s="12" t="n">
        <v>0.4353</v>
      </c>
      <c r="X1019" s="3" t="n">
        <v>0.197</v>
      </c>
      <c r="Y1019" s="3" t="n">
        <v>0.4578</v>
      </c>
      <c r="Z1019" s="14" t="n">
        <f aca="false">Assumptions!$B$3*R1019+Assumptions!$B$4*S1019+IF(AA1019=1,Assumptions!$B$11,Assumptions!$B$5)*X1019+IF(AA1019=1,Assumptions!$B$12,Assumptions!$B$6)*T1019+Assumptions!$B$7*U1019+Assumptions!$B$8*V1019+Assumptions!$B$9*Y1019</f>
        <v>0.387809</v>
      </c>
      <c r="AA1019" s="3" t="n">
        <v>1</v>
      </c>
    </row>
    <row r="1020" customFormat="false" ht="15" hidden="false" customHeight="false" outlineLevel="0" collapsed="false">
      <c r="A1020" s="3" t="s">
        <v>1205</v>
      </c>
      <c r="B1020" s="3" t="n">
        <v>295</v>
      </c>
      <c r="C1020" s="11" t="str">
        <f aca="false">IF(M1020&gt;=Assumptions!$B$17,"S+",IF(M1020&gt;=Assumptions!$B$18,"S",IF(M1020&gt;=Assumptions!$B$19,"A",IF(M1020&gt;=Assumptions!$B$20,"B",IF(M1020&gt;=Assumptions!$B$21,"C",IF(M1020&gt;=Assumptions!$B$22,"D","F"))))))</f>
        <v>F</v>
      </c>
      <c r="D1020" s="3" t="s">
        <v>190</v>
      </c>
      <c r="E1020" s="3" t="n">
        <v>2</v>
      </c>
      <c r="F1020" s="12" t="n">
        <v>0.6712</v>
      </c>
      <c r="G1020" s="12" t="n">
        <v>0.6</v>
      </c>
      <c r="H1020" s="12" t="n">
        <v>0.75</v>
      </c>
      <c r="I1020" s="12" t="n">
        <v>0.657</v>
      </c>
      <c r="J1020" s="12" t="n">
        <v>0.308</v>
      </c>
      <c r="K1020" s="12" t="n">
        <v>0.4448</v>
      </c>
      <c r="L1020" s="3" t="n">
        <v>5.53</v>
      </c>
      <c r="M1020" s="12" t="n">
        <f aca="false">Z1020-W1020</f>
        <v>-0.047615</v>
      </c>
      <c r="N1020" s="12" t="n">
        <f aca="false">IFERROR((Z1020-J1020)/L1020,"")</f>
        <v>0.0247350813743219</v>
      </c>
      <c r="O1020" s="3" t="n">
        <v>18</v>
      </c>
      <c r="P1020" s="13" t="b">
        <f aca="false">FALSE()</f>
        <v>0</v>
      </c>
      <c r="Q1020" s="3" t="s">
        <v>166</v>
      </c>
      <c r="R1020" s="12" t="n">
        <v>0.6288</v>
      </c>
      <c r="S1020" s="12" t="n">
        <v>0.2072</v>
      </c>
      <c r="T1020" s="3" t="n">
        <v>0.3889</v>
      </c>
      <c r="U1020" s="12" t="n">
        <v>0.4359</v>
      </c>
      <c r="V1020" s="12" t="n">
        <v>0.5081</v>
      </c>
      <c r="W1020" s="12" t="n">
        <v>0.4924</v>
      </c>
      <c r="X1020" s="3" t="n">
        <v>0.2598</v>
      </c>
      <c r="Y1020" s="3" t="n">
        <v>0.625</v>
      </c>
      <c r="Z1020" s="14" t="n">
        <f aca="false">Assumptions!$B$3*R1020+Assumptions!$B$4*S1020+IF(AA1020=1,Assumptions!$B$11,Assumptions!$B$5)*X1020+IF(AA1020=1,Assumptions!$B$12,Assumptions!$B$6)*T1020+Assumptions!$B$7*U1020+Assumptions!$B$8*V1020+Assumptions!$B$9*Y1020</f>
        <v>0.444785</v>
      </c>
      <c r="AA1020" s="3" t="n">
        <v>0</v>
      </c>
    </row>
    <row r="1021" customFormat="false" ht="15" hidden="false" customHeight="false" outlineLevel="0" collapsed="false">
      <c r="A1021" s="3" t="s">
        <v>1206</v>
      </c>
      <c r="B1021" s="3" t="n">
        <v>280</v>
      </c>
      <c r="C1021" s="11" t="str">
        <f aca="false">IF(M1021&gt;=Assumptions!$B$17,"S+",IF(M1021&gt;=Assumptions!$B$18,"S",IF(M1021&gt;=Assumptions!$B$19,"A",IF(M1021&gt;=Assumptions!$B$20,"B",IF(M1021&gt;=Assumptions!$B$21,"C",IF(M1021&gt;=Assumptions!$B$22,"D","F"))))))</f>
        <v>F</v>
      </c>
      <c r="D1021" s="3" t="s">
        <v>197</v>
      </c>
      <c r="E1021" s="3" t="n">
        <v>3</v>
      </c>
      <c r="F1021" s="12" t="n">
        <v>0.4847</v>
      </c>
      <c r="G1021" s="12" t="n">
        <v>1</v>
      </c>
      <c r="H1021" s="12" t="n">
        <v>0.75</v>
      </c>
      <c r="I1021" s="12" t="n">
        <v>0.7542</v>
      </c>
      <c r="J1021" s="12" t="n">
        <v>0.2565</v>
      </c>
      <c r="K1021" s="12" t="n">
        <v>0.4084</v>
      </c>
      <c r="L1021" s="3" t="n">
        <v>6.65</v>
      </c>
      <c r="M1021" s="12" t="n">
        <f aca="false">Z1021-W1021</f>
        <v>-0.047697</v>
      </c>
      <c r="N1021" s="12" t="n">
        <f aca="false">IFERROR((Z1021-J1021)/L1021,"")</f>
        <v>0.0228425563909774</v>
      </c>
      <c r="O1021" s="3" t="n">
        <v>17</v>
      </c>
      <c r="P1021" s="13" t="b">
        <f aca="false">FALSE()</f>
        <v>0</v>
      </c>
      <c r="Q1021" s="3" t="s">
        <v>166</v>
      </c>
      <c r="R1021" s="12" t="n">
        <v>0.5368</v>
      </c>
      <c r="S1021" s="12" t="n">
        <v>0.2506</v>
      </c>
      <c r="T1021" s="3" t="n">
        <v>0.2919</v>
      </c>
      <c r="U1021" s="12" t="n">
        <v>0.5113</v>
      </c>
      <c r="V1021" s="12" t="n">
        <v>0.4791</v>
      </c>
      <c r="W1021" s="12" t="n">
        <v>0.4561</v>
      </c>
      <c r="X1021" s="3" t="n">
        <v>0.1882</v>
      </c>
      <c r="Y1021" s="3" t="n">
        <v>0.7057</v>
      </c>
      <c r="Z1021" s="14" t="n">
        <f aca="false">Assumptions!$B$3*R1021+Assumptions!$B$4*S1021+IF(AA1021=1,Assumptions!$B$11,Assumptions!$B$5)*X1021+IF(AA1021=1,Assumptions!$B$12,Assumptions!$B$6)*T1021+Assumptions!$B$7*U1021+Assumptions!$B$8*V1021+Assumptions!$B$9*Y1021</f>
        <v>0.408403</v>
      </c>
      <c r="AA1021" s="3" t="n">
        <v>1</v>
      </c>
    </row>
    <row r="1022" customFormat="false" ht="15" hidden="false" customHeight="false" outlineLevel="0" collapsed="false">
      <c r="A1022" s="3" t="s">
        <v>1207</v>
      </c>
      <c r="B1022" s="3" t="n">
        <v>305</v>
      </c>
      <c r="C1022" s="11" t="str">
        <f aca="false">IF(M1022&gt;=Assumptions!$B$17,"S+",IF(M1022&gt;=Assumptions!$B$18,"S",IF(M1022&gt;=Assumptions!$B$19,"A",IF(M1022&gt;=Assumptions!$B$20,"B",IF(M1022&gt;=Assumptions!$B$21,"C",IF(M1022&gt;=Assumptions!$B$22,"D","F"))))))</f>
        <v>F</v>
      </c>
      <c r="D1022" s="3" t="s">
        <v>218</v>
      </c>
      <c r="E1022" s="3" t="n">
        <v>1</v>
      </c>
      <c r="F1022" s="12" t="n">
        <v>0.7326</v>
      </c>
      <c r="G1022" s="12" t="n">
        <v>1</v>
      </c>
      <c r="H1022" s="12" t="n">
        <v>0.75</v>
      </c>
      <c r="I1022" s="12" t="n">
        <v>0.8644</v>
      </c>
      <c r="J1022" s="12" t="n">
        <v>0.307</v>
      </c>
      <c r="K1022" s="12" t="n">
        <v>0.4697</v>
      </c>
      <c r="L1022" s="3" t="n">
        <v>5.61</v>
      </c>
      <c r="M1022" s="12" t="n">
        <f aca="false">Z1022-W1022</f>
        <v>-0.0476259999999999</v>
      </c>
      <c r="N1022" s="12" t="n">
        <f aca="false">IFERROR((Z1022-J1022)/L1022,"")</f>
        <v>0.0289971479500891</v>
      </c>
      <c r="O1022" s="3" t="n">
        <v>19</v>
      </c>
      <c r="P1022" s="13" t="b">
        <f aca="false">FALSE()</f>
        <v>0</v>
      </c>
      <c r="Q1022" s="3" t="s">
        <v>166</v>
      </c>
      <c r="R1022" s="12" t="n">
        <v>0.7748</v>
      </c>
      <c r="S1022" s="12" t="n">
        <v>0.3519</v>
      </c>
      <c r="T1022" s="3" t="n">
        <v>0.1487</v>
      </c>
      <c r="U1022" s="12" t="n">
        <v>0.4453</v>
      </c>
      <c r="V1022" s="12" t="n">
        <v>0.4647</v>
      </c>
      <c r="W1022" s="12" t="n">
        <v>0.5173</v>
      </c>
      <c r="X1022" s="3" t="n">
        <v>0.1395</v>
      </c>
      <c r="Y1022" s="3" t="n">
        <v>0.7963</v>
      </c>
      <c r="Z1022" s="14" t="n">
        <f aca="false">Assumptions!$B$3*R1022+Assumptions!$B$4*S1022+IF(AA1022=1,Assumptions!$B$11,Assumptions!$B$5)*X1022+IF(AA1022=1,Assumptions!$B$12,Assumptions!$B$6)*T1022+Assumptions!$B$7*U1022+Assumptions!$B$8*V1022+Assumptions!$B$9*Y1022</f>
        <v>0.469674</v>
      </c>
      <c r="AA1022" s="3" t="n">
        <v>0</v>
      </c>
    </row>
    <row r="1023" customFormat="false" ht="15" hidden="false" customHeight="false" outlineLevel="0" collapsed="false">
      <c r="A1023" s="3" t="s">
        <v>1208</v>
      </c>
      <c r="B1023" s="3" t="n">
        <v>295</v>
      </c>
      <c r="C1023" s="11" t="str">
        <f aca="false">IF(M1023&gt;=Assumptions!$B$17,"S+",IF(M1023&gt;=Assumptions!$B$18,"S",IF(M1023&gt;=Assumptions!$B$19,"A",IF(M1023&gt;=Assumptions!$B$20,"B",IF(M1023&gt;=Assumptions!$B$21,"C",IF(M1023&gt;=Assumptions!$B$22,"D","F"))))))</f>
        <v>F</v>
      </c>
      <c r="D1023" s="3" t="s">
        <v>171</v>
      </c>
      <c r="E1023" s="3" t="n">
        <v>1</v>
      </c>
      <c r="F1023" s="12" t="n">
        <v>0.6986</v>
      </c>
      <c r="G1023" s="12" t="n">
        <v>0.45</v>
      </c>
      <c r="H1023" s="12" t="n">
        <v>0.75</v>
      </c>
      <c r="I1023" s="12" t="n">
        <v>0.5547</v>
      </c>
      <c r="J1023" s="12" t="n">
        <v>0.2751</v>
      </c>
      <c r="K1023" s="12" t="n">
        <v>0.4032</v>
      </c>
      <c r="L1023" s="3" t="n">
        <v>5.71</v>
      </c>
      <c r="M1023" s="12" t="n">
        <f aca="false">Z1023-W1023</f>
        <v>-0.048639</v>
      </c>
      <c r="N1023" s="12" t="n">
        <f aca="false">IFERROR((Z1023-J1023)/L1023,"")</f>
        <v>0.0224274956217163</v>
      </c>
      <c r="O1023" s="3" t="n">
        <v>19</v>
      </c>
      <c r="P1023" s="13" t="b">
        <f aca="false">FALSE()</f>
        <v>0</v>
      </c>
      <c r="Q1023" s="3" t="s">
        <v>166</v>
      </c>
      <c r="R1023" s="12" t="n">
        <v>0.4302</v>
      </c>
      <c r="S1023" s="12" t="n">
        <v>0.5709</v>
      </c>
      <c r="T1023" s="3" t="n">
        <v>0.0561</v>
      </c>
      <c r="U1023" s="12" t="n">
        <v>0.4008</v>
      </c>
      <c r="V1023" s="12" t="n">
        <v>0.5602</v>
      </c>
      <c r="W1023" s="12" t="n">
        <v>0.4518</v>
      </c>
      <c r="X1023" s="3" t="n">
        <v>0.2267</v>
      </c>
      <c r="Y1023" s="3" t="n">
        <v>0.4732</v>
      </c>
      <c r="Z1023" s="14" t="n">
        <f aca="false">Assumptions!$B$3*R1023+Assumptions!$B$4*S1023+IF(AA1023=1,Assumptions!$B$11,Assumptions!$B$5)*X1023+IF(AA1023=1,Assumptions!$B$12,Assumptions!$B$6)*T1023+Assumptions!$B$7*U1023+Assumptions!$B$8*V1023+Assumptions!$B$9*Y1023</f>
        <v>0.403161</v>
      </c>
      <c r="AA1023" s="3" t="n">
        <v>1</v>
      </c>
    </row>
    <row r="1024" customFormat="false" ht="15" hidden="false" customHeight="false" outlineLevel="0" collapsed="false">
      <c r="A1024" s="3" t="s">
        <v>1209</v>
      </c>
      <c r="B1024" s="3" t="n">
        <v>310</v>
      </c>
      <c r="C1024" s="11" t="str">
        <f aca="false">IF(M1024&gt;=Assumptions!$B$17,"S+",IF(M1024&gt;=Assumptions!$B$18,"S",IF(M1024&gt;=Assumptions!$B$19,"A",IF(M1024&gt;=Assumptions!$B$20,"B",IF(M1024&gt;=Assumptions!$B$21,"C",IF(M1024&gt;=Assumptions!$B$22,"D","F"))))))</f>
        <v>F</v>
      </c>
      <c r="D1024" s="3" t="s">
        <v>218</v>
      </c>
      <c r="E1024" s="3" t="n">
        <v>3</v>
      </c>
      <c r="F1024" s="12" t="n">
        <v>0.7735</v>
      </c>
      <c r="G1024" s="12" t="n">
        <v>0.6</v>
      </c>
      <c r="H1024" s="12" t="n">
        <v>0.75</v>
      </c>
      <c r="I1024" s="12" t="n">
        <v>0.6855</v>
      </c>
      <c r="J1024" s="12" t="n">
        <v>0.2965</v>
      </c>
      <c r="K1024" s="12" t="n">
        <v>0.4709</v>
      </c>
      <c r="L1024" s="3" t="n">
        <v>5.82</v>
      </c>
      <c r="M1024" s="12" t="n">
        <f aca="false">Z1024-W1024</f>
        <v>-0.048791</v>
      </c>
      <c r="N1024" s="12" t="n">
        <f aca="false">IFERROR((Z1024-J1024)/L1024,"")</f>
        <v>0.0299671821305842</v>
      </c>
      <c r="O1024" s="3" t="n">
        <v>17</v>
      </c>
      <c r="P1024" s="13" t="b">
        <f aca="false">FALSE()</f>
        <v>0</v>
      </c>
      <c r="Q1024" s="3" t="s">
        <v>166</v>
      </c>
      <c r="R1024" s="12" t="n">
        <v>0.7816</v>
      </c>
      <c r="S1024" s="12" t="n">
        <v>0.1458</v>
      </c>
      <c r="T1024" s="3" t="n">
        <v>0.3568</v>
      </c>
      <c r="U1024" s="12" t="n">
        <v>0.3665</v>
      </c>
      <c r="V1024" s="12" t="n">
        <v>0.4857</v>
      </c>
      <c r="W1024" s="12" t="n">
        <v>0.5197</v>
      </c>
      <c r="X1024" s="3" t="n">
        <v>0.2885</v>
      </c>
      <c r="Y1024" s="3" t="n">
        <v>0.6677</v>
      </c>
      <c r="Z1024" s="14" t="n">
        <f aca="false">Assumptions!$B$3*R1024+Assumptions!$B$4*S1024+IF(AA1024=1,Assumptions!$B$11,Assumptions!$B$5)*X1024+IF(AA1024=1,Assumptions!$B$12,Assumptions!$B$6)*T1024+Assumptions!$B$7*U1024+Assumptions!$B$8*V1024+Assumptions!$B$9*Y1024</f>
        <v>0.470909</v>
      </c>
      <c r="AA1024" s="3" t="n">
        <v>0</v>
      </c>
    </row>
    <row r="1025" customFormat="false" ht="15" hidden="false" customHeight="false" outlineLevel="0" collapsed="false">
      <c r="A1025" s="3" t="s">
        <v>1210</v>
      </c>
      <c r="B1025" s="3" t="n">
        <v>300</v>
      </c>
      <c r="C1025" s="11" t="str">
        <f aca="false">IF(M1025&gt;=Assumptions!$B$17,"S+",IF(M1025&gt;=Assumptions!$B$18,"S",IF(M1025&gt;=Assumptions!$B$19,"A",IF(M1025&gt;=Assumptions!$B$20,"B",IF(M1025&gt;=Assumptions!$B$21,"C",IF(M1025&gt;=Assumptions!$B$22,"D","F"))))))</f>
        <v>F</v>
      </c>
      <c r="D1025" s="3" t="s">
        <v>190</v>
      </c>
      <c r="E1025" s="3" t="n">
        <v>3</v>
      </c>
      <c r="F1025" s="12" t="n">
        <v>0.5167</v>
      </c>
      <c r="G1025" s="12" t="n">
        <v>0.8</v>
      </c>
      <c r="H1025" s="12" t="n">
        <v>0.75</v>
      </c>
      <c r="I1025" s="12" t="n">
        <v>0.6823</v>
      </c>
      <c r="J1025" s="12" t="n">
        <v>0.2712</v>
      </c>
      <c r="K1025" s="12" t="n">
        <v>0.4452</v>
      </c>
      <c r="L1025" s="3" t="n">
        <v>5.91</v>
      </c>
      <c r="M1025" s="12" t="n">
        <f aca="false">Z1025-W1025</f>
        <v>-0.048775</v>
      </c>
      <c r="N1025" s="12" t="n">
        <f aca="false">IFERROR((Z1025-J1025)/L1025,"")</f>
        <v>0.0294458544839256</v>
      </c>
      <c r="O1025" s="3" t="n">
        <v>17</v>
      </c>
      <c r="P1025" s="13" t="b">
        <f aca="false">FALSE()</f>
        <v>0</v>
      </c>
      <c r="Q1025" s="3" t="s">
        <v>166</v>
      </c>
      <c r="R1025" s="12" t="n">
        <v>0.6884</v>
      </c>
      <c r="S1025" s="12" t="n">
        <v>0.2742</v>
      </c>
      <c r="T1025" s="3" t="n">
        <v>0.0858</v>
      </c>
      <c r="U1025" s="12" t="n">
        <v>0.3846</v>
      </c>
      <c r="V1025" s="12" t="n">
        <v>0.4869</v>
      </c>
      <c r="W1025" s="12" t="n">
        <v>0.494</v>
      </c>
      <c r="X1025" s="3" t="n">
        <v>0.3441</v>
      </c>
      <c r="Y1025" s="3" t="n">
        <v>0.6774</v>
      </c>
      <c r="Z1025" s="14" t="n">
        <f aca="false">Assumptions!$B$3*R1025+Assumptions!$B$4*S1025+IF(AA1025=1,Assumptions!$B$11,Assumptions!$B$5)*X1025+IF(AA1025=1,Assumptions!$B$12,Assumptions!$B$6)*T1025+Assumptions!$B$7*U1025+Assumptions!$B$8*V1025+Assumptions!$B$9*Y1025</f>
        <v>0.445225</v>
      </c>
      <c r="AA1025" s="3" t="n">
        <v>0</v>
      </c>
    </row>
    <row r="1026" customFormat="false" ht="15" hidden="false" customHeight="false" outlineLevel="0" collapsed="false">
      <c r="A1026" s="3" t="s">
        <v>1211</v>
      </c>
      <c r="B1026" s="3" t="n">
        <v>340</v>
      </c>
      <c r="C1026" s="11" t="str">
        <f aca="false">IF(M1026&gt;=Assumptions!$B$17,"S+",IF(M1026&gt;=Assumptions!$B$18,"S",IF(M1026&gt;=Assumptions!$B$19,"A",IF(M1026&gt;=Assumptions!$B$20,"B",IF(M1026&gt;=Assumptions!$B$21,"C",IF(M1026&gt;=Assumptions!$B$22,"D","F"))))))</f>
        <v>F</v>
      </c>
      <c r="D1026" s="3" t="s">
        <v>190</v>
      </c>
      <c r="E1026" s="3" t="n">
        <v>1</v>
      </c>
      <c r="F1026" s="12" t="n">
        <v>0.561</v>
      </c>
      <c r="G1026" s="12" t="n">
        <v>1</v>
      </c>
      <c r="H1026" s="12" t="n">
        <v>0.75</v>
      </c>
      <c r="I1026" s="12" t="n">
        <v>0.7832</v>
      </c>
      <c r="J1026" s="12" t="n">
        <v>0.2813</v>
      </c>
      <c r="K1026" s="12" t="n">
        <v>0.4519</v>
      </c>
      <c r="L1026" s="3" t="n">
        <v>3.66</v>
      </c>
      <c r="M1026" s="12" t="n">
        <f aca="false">Z1026-W1026</f>
        <v>-0.0489290000000001</v>
      </c>
      <c r="N1026" s="12" t="n">
        <f aca="false">IFERROR((Z1026-J1026)/L1026,"")</f>
        <v>0.0466040983606557</v>
      </c>
      <c r="O1026" s="3" t="n">
        <v>19</v>
      </c>
      <c r="P1026" s="13" t="b">
        <f aca="false">FALSE()</f>
        <v>0</v>
      </c>
      <c r="Q1026" s="3" t="s">
        <v>166</v>
      </c>
      <c r="R1026" s="12" t="n">
        <v>0.7932</v>
      </c>
      <c r="S1026" s="12" t="n">
        <v>0.1872</v>
      </c>
      <c r="T1026" s="3" t="n">
        <v>0.3218</v>
      </c>
      <c r="U1026" s="12" t="n">
        <v>0.3927</v>
      </c>
      <c r="V1026" s="12" t="n">
        <v>0.3861</v>
      </c>
      <c r="W1026" s="12" t="n">
        <v>0.5008</v>
      </c>
      <c r="X1026" s="3" t="n">
        <v>0.1322</v>
      </c>
      <c r="Y1026" s="3" t="n">
        <v>0.7605</v>
      </c>
      <c r="Z1026" s="14" t="n">
        <f aca="false">Assumptions!$B$3*R1026+Assumptions!$B$4*S1026+IF(AA1026=1,Assumptions!$B$11,Assumptions!$B$5)*X1026+IF(AA1026=1,Assumptions!$B$12,Assumptions!$B$6)*T1026+Assumptions!$B$7*U1026+Assumptions!$B$8*V1026+Assumptions!$B$9*Y1026</f>
        <v>0.451871</v>
      </c>
      <c r="AA1026" s="3" t="n">
        <v>0</v>
      </c>
    </row>
    <row r="1027" customFormat="false" ht="15" hidden="false" customHeight="false" outlineLevel="0" collapsed="false">
      <c r="A1027" s="3" t="s">
        <v>1212</v>
      </c>
      <c r="B1027" s="3" t="n">
        <v>350</v>
      </c>
      <c r="C1027" s="11" t="str">
        <f aca="false">IF(M1027&gt;=Assumptions!$B$17,"S+",IF(M1027&gt;=Assumptions!$B$18,"S",IF(M1027&gt;=Assumptions!$B$19,"A",IF(M1027&gt;=Assumptions!$B$20,"B",IF(M1027&gt;=Assumptions!$B$21,"C",IF(M1027&gt;=Assumptions!$B$22,"D","F"))))))</f>
        <v>F</v>
      </c>
      <c r="D1027" s="3" t="s">
        <v>228</v>
      </c>
      <c r="E1027" s="3" t="n">
        <v>3</v>
      </c>
      <c r="F1027" s="12" t="n">
        <v>0.6641</v>
      </c>
      <c r="G1027" s="12" t="n">
        <v>0.4</v>
      </c>
      <c r="H1027" s="12" t="n">
        <v>0.75</v>
      </c>
      <c r="I1027" s="12" t="n">
        <v>0.5545</v>
      </c>
      <c r="J1027" s="12" t="n">
        <v>0.2828</v>
      </c>
      <c r="K1027" s="12" t="n">
        <v>0.4332</v>
      </c>
      <c r="L1027" s="3" t="n">
        <v>5.88</v>
      </c>
      <c r="M1027" s="12" t="n">
        <f aca="false">Z1027-W1027</f>
        <v>-0.049366</v>
      </c>
      <c r="N1027" s="12" t="n">
        <f aca="false">IFERROR((Z1027-J1027)/L1027,"")</f>
        <v>0.0255840136054422</v>
      </c>
      <c r="O1027" s="3" t="n">
        <v>17</v>
      </c>
      <c r="P1027" s="13" t="b">
        <f aca="false">FALSE()</f>
        <v>0</v>
      </c>
      <c r="Q1027" s="3" t="s">
        <v>166</v>
      </c>
      <c r="R1027" s="12" t="n">
        <v>0.874</v>
      </c>
      <c r="S1027" s="12" t="n">
        <v>0.1784</v>
      </c>
      <c r="T1027" s="3" t="n">
        <v>0.1748</v>
      </c>
      <c r="U1027" s="12" t="n">
        <v>0.3032</v>
      </c>
      <c r="V1027" s="12" t="n">
        <v>0.3008</v>
      </c>
      <c r="W1027" s="12" t="n">
        <v>0.4826</v>
      </c>
      <c r="X1027" s="3" t="n">
        <v>0.2455</v>
      </c>
      <c r="Y1027" s="3" t="n">
        <v>0.5557</v>
      </c>
      <c r="Z1027" s="14" t="n">
        <f aca="false">Assumptions!$B$3*R1027+Assumptions!$B$4*S1027+IF(AA1027=1,Assumptions!$B$11,Assumptions!$B$5)*X1027+IF(AA1027=1,Assumptions!$B$12,Assumptions!$B$6)*T1027+Assumptions!$B$7*U1027+Assumptions!$B$8*V1027+Assumptions!$B$9*Y1027</f>
        <v>0.433234</v>
      </c>
      <c r="AA1027" s="3" t="n">
        <v>0</v>
      </c>
    </row>
    <row r="1028" customFormat="false" ht="15" hidden="false" customHeight="false" outlineLevel="0" collapsed="false">
      <c r="A1028" s="3" t="s">
        <v>1213</v>
      </c>
      <c r="B1028" s="3" t="n">
        <v>300</v>
      </c>
      <c r="C1028" s="11" t="str">
        <f aca="false">IF(M1028&gt;=Assumptions!$B$17,"S+",IF(M1028&gt;=Assumptions!$B$18,"S",IF(M1028&gt;=Assumptions!$B$19,"A",IF(M1028&gt;=Assumptions!$B$20,"B",IF(M1028&gt;=Assumptions!$B$21,"C",IF(M1028&gt;=Assumptions!$B$22,"D","F"))))))</f>
        <v>F</v>
      </c>
      <c r="D1028" s="3" t="s">
        <v>228</v>
      </c>
      <c r="E1028" s="3" t="n">
        <v>1</v>
      </c>
      <c r="F1028" s="12" t="n">
        <v>0.6582</v>
      </c>
      <c r="G1028" s="12" t="n">
        <v>0.2</v>
      </c>
      <c r="H1028" s="12" t="n">
        <v>0.75</v>
      </c>
      <c r="I1028" s="12" t="n">
        <v>0.4566</v>
      </c>
      <c r="J1028" s="12" t="n">
        <v>0.2413</v>
      </c>
      <c r="K1028" s="12" t="n">
        <v>0.4065</v>
      </c>
      <c r="L1028" s="3" t="n">
        <v>5.82</v>
      </c>
      <c r="M1028" s="12" t="n">
        <f aca="false">Z1028-W1028</f>
        <v>-0.0495060000000001</v>
      </c>
      <c r="N1028" s="12" t="n">
        <f aca="false">IFERROR((Z1028-J1028)/L1028,"")</f>
        <v>0.0283838487972509</v>
      </c>
      <c r="O1028" s="3" t="n">
        <v>19</v>
      </c>
      <c r="P1028" s="13" t="b">
        <f aca="false">FALSE()</f>
        <v>0</v>
      </c>
      <c r="Q1028" s="3" t="s">
        <v>166</v>
      </c>
      <c r="R1028" s="12" t="n">
        <v>0.7438</v>
      </c>
      <c r="S1028" s="12" t="n">
        <v>0.3367</v>
      </c>
      <c r="T1028" s="3" t="n">
        <v>0.2077</v>
      </c>
      <c r="U1028" s="12" t="n">
        <v>0.2753</v>
      </c>
      <c r="V1028" s="12" t="n">
        <v>0.4905</v>
      </c>
      <c r="W1028" s="12" t="n">
        <v>0.456</v>
      </c>
      <c r="X1028" s="3" t="n">
        <v>0.1392</v>
      </c>
      <c r="Y1028" s="3" t="n">
        <v>0.394</v>
      </c>
      <c r="Z1028" s="14" t="n">
        <f aca="false">Assumptions!$B$3*R1028+Assumptions!$B$4*S1028+IF(AA1028=1,Assumptions!$B$11,Assumptions!$B$5)*X1028+IF(AA1028=1,Assumptions!$B$12,Assumptions!$B$6)*T1028+Assumptions!$B$7*U1028+Assumptions!$B$8*V1028+Assumptions!$B$9*Y1028</f>
        <v>0.406494</v>
      </c>
      <c r="AA1028" s="3" t="n">
        <v>1</v>
      </c>
    </row>
    <row r="1029" customFormat="false" ht="15" hidden="false" customHeight="false" outlineLevel="0" collapsed="false">
      <c r="A1029" s="3" t="s">
        <v>1214</v>
      </c>
      <c r="B1029" s="3" t="n">
        <v>340</v>
      </c>
      <c r="C1029" s="11" t="str">
        <f aca="false">IF(M1029&gt;=Assumptions!$B$17,"S+",IF(M1029&gt;=Assumptions!$B$18,"S",IF(M1029&gt;=Assumptions!$B$19,"A",IF(M1029&gt;=Assumptions!$B$20,"B",IF(M1029&gt;=Assumptions!$B$21,"C",IF(M1029&gt;=Assumptions!$B$22,"D","F"))))))</f>
        <v>F</v>
      </c>
      <c r="D1029" s="3" t="s">
        <v>190</v>
      </c>
      <c r="E1029" s="3" t="n">
        <v>1</v>
      </c>
      <c r="F1029" s="12" t="n">
        <v>0.2669</v>
      </c>
      <c r="G1029" s="12" t="n">
        <v>1</v>
      </c>
      <c r="H1029" s="12" t="n">
        <v>0.75</v>
      </c>
      <c r="I1029" s="12" t="n">
        <v>0.6714</v>
      </c>
      <c r="J1029" s="12" t="n">
        <v>0.3003</v>
      </c>
      <c r="K1029" s="12" t="n">
        <v>0.4544</v>
      </c>
      <c r="L1029" s="3" t="n">
        <v>3.61</v>
      </c>
      <c r="M1029" s="12" t="n">
        <f aca="false">Z1029-W1029</f>
        <v>-0.049713</v>
      </c>
      <c r="N1029" s="12" t="n">
        <f aca="false">IFERROR((Z1029-J1029)/L1029,"")</f>
        <v>0.0426833795013851</v>
      </c>
      <c r="O1029" s="3" t="n">
        <v>19</v>
      </c>
      <c r="P1029" s="13" t="b">
        <f aca="false">FALSE()</f>
        <v>0</v>
      </c>
      <c r="Q1029" s="3" t="s">
        <v>166</v>
      </c>
      <c r="R1029" s="12" t="n">
        <v>0.6901</v>
      </c>
      <c r="S1029" s="12" t="n">
        <v>0.4182</v>
      </c>
      <c r="T1029" s="3" t="n">
        <v>0.2149</v>
      </c>
      <c r="U1029" s="12" t="n">
        <v>0.3805</v>
      </c>
      <c r="V1029" s="12" t="n">
        <v>0.4861</v>
      </c>
      <c r="W1029" s="12" t="n">
        <v>0.5041</v>
      </c>
      <c r="X1029" s="3" t="n">
        <v>0.2232</v>
      </c>
      <c r="Y1029" s="3" t="n">
        <v>0.5921</v>
      </c>
      <c r="Z1029" s="14" t="n">
        <f aca="false">Assumptions!$B$3*R1029+Assumptions!$B$4*S1029+IF(AA1029=1,Assumptions!$B$11,Assumptions!$B$5)*X1029+IF(AA1029=1,Assumptions!$B$12,Assumptions!$B$6)*T1029+Assumptions!$B$7*U1029+Assumptions!$B$8*V1029+Assumptions!$B$9*Y1029</f>
        <v>0.454387</v>
      </c>
      <c r="AA1029" s="3" t="n">
        <v>0</v>
      </c>
    </row>
    <row r="1030" customFormat="false" ht="15" hidden="false" customHeight="false" outlineLevel="0" collapsed="false">
      <c r="A1030" s="3" t="s">
        <v>1215</v>
      </c>
      <c r="B1030" s="3" t="n">
        <v>330</v>
      </c>
      <c r="C1030" s="11" t="str">
        <f aca="false">IF(M1030&gt;=Assumptions!$B$17,"S+",IF(M1030&gt;=Assumptions!$B$18,"S",IF(M1030&gt;=Assumptions!$B$19,"A",IF(M1030&gt;=Assumptions!$B$20,"B",IF(M1030&gt;=Assumptions!$B$21,"C",IF(M1030&gt;=Assumptions!$B$22,"D","F"))))))</f>
        <v>F</v>
      </c>
      <c r="D1030" s="3" t="s">
        <v>197</v>
      </c>
      <c r="E1030" s="3" t="n">
        <v>1</v>
      </c>
      <c r="F1030" s="12" t="n">
        <v>0.4707</v>
      </c>
      <c r="G1030" s="12" t="n">
        <v>0.8</v>
      </c>
      <c r="H1030" s="12" t="n">
        <v>0.75</v>
      </c>
      <c r="I1030" s="12" t="n">
        <v>0.6649</v>
      </c>
      <c r="J1030" s="12" t="n">
        <v>0.2681</v>
      </c>
      <c r="K1030" s="12" t="n">
        <v>0.4504</v>
      </c>
      <c r="L1030" s="3" t="n">
        <v>5.55</v>
      </c>
      <c r="M1030" s="12" t="n">
        <f aca="false">Z1030-W1030</f>
        <v>-0.050036</v>
      </c>
      <c r="N1030" s="12" t="n">
        <f aca="false">IFERROR((Z1030-J1030)/L1030,"")</f>
        <v>0.0328403603603604</v>
      </c>
      <c r="O1030" s="3" t="n">
        <v>19</v>
      </c>
      <c r="P1030" s="13" t="b">
        <f aca="false">FALSE()</f>
        <v>0</v>
      </c>
      <c r="Q1030" s="3" t="s">
        <v>166</v>
      </c>
      <c r="R1030" s="12" t="n">
        <v>0.6028</v>
      </c>
      <c r="S1030" s="12" t="n">
        <v>0.4077</v>
      </c>
      <c r="T1030" s="3" t="n">
        <v>0.3667</v>
      </c>
      <c r="U1030" s="12" t="n">
        <v>0.3886</v>
      </c>
      <c r="V1030" s="12" t="n">
        <v>0.4905</v>
      </c>
      <c r="W1030" s="12" t="n">
        <v>0.5004</v>
      </c>
      <c r="X1030" s="3" t="n">
        <v>0.1872</v>
      </c>
      <c r="Y1030" s="3" t="n">
        <v>0.6571</v>
      </c>
      <c r="Z1030" s="14" t="n">
        <f aca="false">Assumptions!$B$3*R1030+Assumptions!$B$4*S1030+IF(AA1030=1,Assumptions!$B$11,Assumptions!$B$5)*X1030+IF(AA1030=1,Assumptions!$B$12,Assumptions!$B$6)*T1030+Assumptions!$B$7*U1030+Assumptions!$B$8*V1030+Assumptions!$B$9*Y1030</f>
        <v>0.450364</v>
      </c>
      <c r="AA1030" s="3" t="n">
        <v>0</v>
      </c>
    </row>
    <row r="1031" customFormat="false" ht="15" hidden="false" customHeight="false" outlineLevel="0" collapsed="false">
      <c r="A1031" s="3" t="s">
        <v>1216</v>
      </c>
      <c r="B1031" s="3" t="n">
        <v>292</v>
      </c>
      <c r="C1031" s="11" t="str">
        <f aca="false">IF(M1031&gt;=Assumptions!$B$17,"S+",IF(M1031&gt;=Assumptions!$B$18,"S",IF(M1031&gt;=Assumptions!$B$19,"A",IF(M1031&gt;=Assumptions!$B$20,"B",IF(M1031&gt;=Assumptions!$B$21,"C",IF(M1031&gt;=Assumptions!$B$22,"D","F"))))))</f>
        <v>F</v>
      </c>
      <c r="D1031" s="3" t="s">
        <v>171</v>
      </c>
      <c r="E1031" s="3" t="n">
        <v>1</v>
      </c>
      <c r="F1031" s="12" t="n">
        <v>0.1258</v>
      </c>
      <c r="G1031" s="12" t="n">
        <v>0.6</v>
      </c>
      <c r="H1031" s="12" t="n">
        <v>0.75</v>
      </c>
      <c r="I1031" s="12" t="n">
        <v>0.5446</v>
      </c>
      <c r="J1031" s="12" t="n">
        <v>0.2849</v>
      </c>
      <c r="K1031" s="12" t="n">
        <v>0.4106</v>
      </c>
      <c r="L1031" s="3" t="n">
        <v>6.5</v>
      </c>
      <c r="M1031" s="12" t="n">
        <f aca="false">Z1031-W1031</f>
        <v>-0.050087</v>
      </c>
      <c r="N1031" s="12" t="n">
        <f aca="false">IFERROR((Z1031-J1031)/L1031,"")</f>
        <v>0.0193404615384615</v>
      </c>
      <c r="O1031" s="3" t="n">
        <v>19</v>
      </c>
      <c r="P1031" s="13" t="b">
        <f aca="false">FALSE()</f>
        <v>0</v>
      </c>
      <c r="Q1031" s="3" t="s">
        <v>166</v>
      </c>
      <c r="R1031" s="12" t="n">
        <v>0.7625</v>
      </c>
      <c r="S1031" s="12" t="n">
        <v>0.147</v>
      </c>
      <c r="T1031" s="3" t="n">
        <v>0.3882</v>
      </c>
      <c r="U1031" s="12" t="n">
        <v>0.3441</v>
      </c>
      <c r="V1031" s="12" t="n">
        <v>0.4367</v>
      </c>
      <c r="W1031" s="12" t="n">
        <v>0.4607</v>
      </c>
      <c r="X1031" s="3" t="n">
        <v>0.0842</v>
      </c>
      <c r="Y1031" s="3" t="n">
        <v>0.4781</v>
      </c>
      <c r="Z1031" s="14" t="n">
        <f aca="false">Assumptions!$B$3*R1031+Assumptions!$B$4*S1031+IF(AA1031=1,Assumptions!$B$11,Assumptions!$B$5)*X1031+IF(AA1031=1,Assumptions!$B$12,Assumptions!$B$6)*T1031+Assumptions!$B$7*U1031+Assumptions!$B$8*V1031+Assumptions!$B$9*Y1031</f>
        <v>0.410613</v>
      </c>
      <c r="AA1031" s="3" t="n">
        <v>0</v>
      </c>
    </row>
    <row r="1032" customFormat="false" ht="15" hidden="false" customHeight="false" outlineLevel="0" collapsed="false">
      <c r="A1032" s="3" t="s">
        <v>1217</v>
      </c>
      <c r="B1032" s="3" t="n">
        <v>309</v>
      </c>
      <c r="C1032" s="11" t="str">
        <f aca="false">IF(M1032&gt;=Assumptions!$B$17,"S+",IF(M1032&gt;=Assumptions!$B$18,"S",IF(M1032&gt;=Assumptions!$B$19,"A",IF(M1032&gt;=Assumptions!$B$20,"B",IF(M1032&gt;=Assumptions!$B$21,"C",IF(M1032&gt;=Assumptions!$B$22,"D","F"))))))</f>
        <v>F</v>
      </c>
      <c r="D1032" s="3" t="s">
        <v>218</v>
      </c>
      <c r="E1032" s="3" t="n">
        <v>4</v>
      </c>
      <c r="F1032" s="12" t="n">
        <v>0.6194</v>
      </c>
      <c r="G1032" s="12" t="n">
        <v>0.6</v>
      </c>
      <c r="H1032" s="12" t="n">
        <v>0.75</v>
      </c>
      <c r="I1032" s="12" t="n">
        <v>0.6362</v>
      </c>
      <c r="J1032" s="12" t="n">
        <v>0.2875</v>
      </c>
      <c r="K1032" s="12" t="n">
        <v>0.4625</v>
      </c>
      <c r="L1032" s="3" t="n">
        <v>5.88</v>
      </c>
      <c r="M1032" s="12" t="n">
        <f aca="false">Z1032-W1032</f>
        <v>-0.050181</v>
      </c>
      <c r="N1032" s="12" t="n">
        <f aca="false">IFERROR((Z1032-J1032)/L1032,"")</f>
        <v>0.0297651360544218</v>
      </c>
      <c r="O1032" s="3" t="n">
        <v>16</v>
      </c>
      <c r="P1032" s="13" t="b">
        <f aca="false">FALSE()</f>
        <v>0</v>
      </c>
      <c r="Q1032" s="3" t="s">
        <v>166</v>
      </c>
      <c r="R1032" s="12" t="n">
        <v>0.6703</v>
      </c>
      <c r="S1032" s="12" t="n">
        <v>0.2651</v>
      </c>
      <c r="T1032" s="3" t="n">
        <v>0.1026</v>
      </c>
      <c r="U1032" s="12" t="n">
        <v>0.4663</v>
      </c>
      <c r="V1032" s="12" t="n">
        <v>0.5154</v>
      </c>
      <c r="W1032" s="12" t="n">
        <v>0.5127</v>
      </c>
      <c r="X1032" s="3" t="n">
        <v>0.4335</v>
      </c>
      <c r="Y1032" s="3" t="n">
        <v>0.6348</v>
      </c>
      <c r="Z1032" s="14" t="n">
        <f aca="false">Assumptions!$B$3*R1032+Assumptions!$B$4*S1032+IF(AA1032=1,Assumptions!$B$11,Assumptions!$B$5)*X1032+IF(AA1032=1,Assumptions!$B$12,Assumptions!$B$6)*T1032+Assumptions!$B$7*U1032+Assumptions!$B$8*V1032+Assumptions!$B$9*Y1032</f>
        <v>0.462519</v>
      </c>
      <c r="AA1032" s="3" t="n">
        <v>0</v>
      </c>
    </row>
    <row r="1033" customFormat="false" ht="15" hidden="false" customHeight="false" outlineLevel="0" collapsed="false">
      <c r="A1033" s="3" t="s">
        <v>1218</v>
      </c>
      <c r="B1033" s="3" t="n">
        <v>385</v>
      </c>
      <c r="C1033" s="11" t="str">
        <f aca="false">IF(M1033&gt;=Assumptions!$B$17,"S+",IF(M1033&gt;=Assumptions!$B$18,"S",IF(M1033&gt;=Assumptions!$B$19,"A",IF(M1033&gt;=Assumptions!$B$20,"B",IF(M1033&gt;=Assumptions!$B$21,"C",IF(M1033&gt;=Assumptions!$B$22,"D","F"))))))</f>
        <v>F</v>
      </c>
      <c r="D1033" s="3" t="s">
        <v>218</v>
      </c>
      <c r="E1033" s="3" t="n">
        <v>7</v>
      </c>
      <c r="F1033" s="12" t="n">
        <v>0.7487</v>
      </c>
      <c r="G1033" s="12" t="n">
        <v>0.4</v>
      </c>
      <c r="H1033" s="12" t="n">
        <v>0.75</v>
      </c>
      <c r="I1033" s="12" t="n">
        <v>0.5816</v>
      </c>
      <c r="J1033" s="12" t="n">
        <v>0.3059</v>
      </c>
      <c r="K1033" s="12" t="n">
        <v>0.4602</v>
      </c>
      <c r="L1033" s="3" t="n">
        <v>4</v>
      </c>
      <c r="M1033" s="12" t="n">
        <f aca="false">Z1033-W1033</f>
        <v>-0.050519</v>
      </c>
      <c r="N1033" s="12" t="n">
        <f aca="false">IFERROR((Z1033-J1033)/L1033,"")</f>
        <v>0.03857025</v>
      </c>
      <c r="O1033" s="3" t="n">
        <v>13</v>
      </c>
      <c r="P1033" s="13" t="b">
        <f aca="false">FALSE()</f>
        <v>0</v>
      </c>
      <c r="Q1033" s="3" t="s">
        <v>166</v>
      </c>
      <c r="R1033" s="12" t="n">
        <v>0.8553</v>
      </c>
      <c r="S1033" s="12" t="n">
        <v>0.2406</v>
      </c>
      <c r="T1033" s="3" t="n">
        <v>0.2188</v>
      </c>
      <c r="U1033" s="12" t="n">
        <v>0.3077</v>
      </c>
      <c r="V1033" s="12" t="n">
        <v>0.4589</v>
      </c>
      <c r="W1033" s="12" t="n">
        <v>0.5107</v>
      </c>
      <c r="X1033" s="3" t="n">
        <v>0.2238</v>
      </c>
      <c r="Y1033" s="3" t="n">
        <v>0.584</v>
      </c>
      <c r="Z1033" s="14" t="n">
        <f aca="false">Assumptions!$B$3*R1033+Assumptions!$B$4*S1033+IF(AA1033=1,Assumptions!$B$11,Assumptions!$B$5)*X1033+IF(AA1033=1,Assumptions!$B$12,Assumptions!$B$6)*T1033+Assumptions!$B$7*U1033+Assumptions!$B$8*V1033+Assumptions!$B$9*Y1033</f>
        <v>0.460181</v>
      </c>
      <c r="AA1033" s="3" t="n">
        <v>0</v>
      </c>
    </row>
    <row r="1034" customFormat="false" ht="15" hidden="false" customHeight="false" outlineLevel="0" collapsed="false">
      <c r="A1034" s="3" t="s">
        <v>1219</v>
      </c>
      <c r="B1034" s="3" t="n">
        <v>420</v>
      </c>
      <c r="C1034" s="11" t="str">
        <f aca="false">IF(M1034&gt;=Assumptions!$B$17,"S+",IF(M1034&gt;=Assumptions!$B$18,"S",IF(M1034&gt;=Assumptions!$B$19,"A",IF(M1034&gt;=Assumptions!$B$20,"B",IF(M1034&gt;=Assumptions!$B$21,"C",IF(M1034&gt;=Assumptions!$B$22,"D","F"))))))</f>
        <v>F</v>
      </c>
      <c r="D1034" s="3" t="s">
        <v>218</v>
      </c>
      <c r="E1034" s="3" t="n">
        <v>4</v>
      </c>
      <c r="F1034" s="12" t="n">
        <v>0.7624</v>
      </c>
      <c r="G1034" s="12" t="n">
        <v>0.4</v>
      </c>
      <c r="H1034" s="12" t="n">
        <v>0.75</v>
      </c>
      <c r="I1034" s="12" t="n">
        <v>0.586</v>
      </c>
      <c r="J1034" s="12" t="n">
        <v>0.2612</v>
      </c>
      <c r="K1034" s="12" t="n">
        <v>0.4471</v>
      </c>
      <c r="L1034" s="3" t="n">
        <v>3.88</v>
      </c>
      <c r="M1034" s="12" t="n">
        <f aca="false">Z1034-W1034</f>
        <v>-0.0507000000000001</v>
      </c>
      <c r="N1034" s="12" t="n">
        <f aca="false">IFERROR((Z1034-J1034)/L1034,"")</f>
        <v>0.0479123711340206</v>
      </c>
      <c r="O1034" s="3" t="n">
        <v>16</v>
      </c>
      <c r="P1034" s="13" t="b">
        <f aca="false">FALSE()</f>
        <v>0</v>
      </c>
      <c r="Q1034" s="3" t="s">
        <v>166</v>
      </c>
      <c r="R1034" s="12" t="n">
        <v>0.7021</v>
      </c>
      <c r="S1034" s="12" t="n">
        <v>0.4789</v>
      </c>
      <c r="T1034" s="3" t="n">
        <v>0.1433</v>
      </c>
      <c r="U1034" s="12" t="n">
        <v>0.2452</v>
      </c>
      <c r="V1034" s="12" t="n">
        <v>0.5069</v>
      </c>
      <c r="W1034" s="12" t="n">
        <v>0.4978</v>
      </c>
      <c r="X1034" s="3" t="n">
        <v>0.2694</v>
      </c>
      <c r="Y1034" s="3" t="n">
        <v>0.5214</v>
      </c>
      <c r="Z1034" s="14" t="n">
        <f aca="false">Assumptions!$B$3*R1034+Assumptions!$B$4*S1034+IF(AA1034=1,Assumptions!$B$11,Assumptions!$B$5)*X1034+IF(AA1034=1,Assumptions!$B$12,Assumptions!$B$6)*T1034+Assumptions!$B$7*U1034+Assumptions!$B$8*V1034+Assumptions!$B$9*Y1034</f>
        <v>0.4471</v>
      </c>
      <c r="AA1034" s="3" t="n">
        <v>0</v>
      </c>
    </row>
    <row r="1035" customFormat="false" ht="15" hidden="false" customHeight="false" outlineLevel="0" collapsed="false">
      <c r="A1035" s="3" t="s">
        <v>1220</v>
      </c>
      <c r="B1035" s="3" t="n">
        <v>210</v>
      </c>
      <c r="C1035" s="11" t="str">
        <f aca="false">IF(M1035&gt;=Assumptions!$B$17,"S+",IF(M1035&gt;=Assumptions!$B$18,"S",IF(M1035&gt;=Assumptions!$B$19,"A",IF(M1035&gt;=Assumptions!$B$20,"B",IF(M1035&gt;=Assumptions!$B$21,"C",IF(M1035&gt;=Assumptions!$B$22,"D","F"))))))</f>
        <v>F</v>
      </c>
      <c r="D1035" s="3" t="s">
        <v>171</v>
      </c>
      <c r="E1035" s="3" t="n">
        <v>1</v>
      </c>
      <c r="F1035" s="12" t="n">
        <v>0.4042</v>
      </c>
      <c r="G1035" s="12" t="n">
        <v>0.6</v>
      </c>
      <c r="H1035" s="12" t="n">
        <v>0.75</v>
      </c>
      <c r="I1035" s="12" t="n">
        <v>0.5948</v>
      </c>
      <c r="J1035" s="12" t="n">
        <v>0.2124</v>
      </c>
      <c r="K1035" s="12" t="n">
        <v>0.3579</v>
      </c>
      <c r="L1035" s="3" t="n">
        <v>5.76</v>
      </c>
      <c r="M1035" s="12" t="n">
        <f aca="false">Z1035-W1035</f>
        <v>-0.0510979999999999</v>
      </c>
      <c r="N1035" s="12" t="n">
        <f aca="false">IFERROR((Z1035-J1035)/L1035,"")</f>
        <v>0.0252607638888889</v>
      </c>
      <c r="O1035" s="3" t="n">
        <v>19</v>
      </c>
      <c r="P1035" s="13" t="b">
        <f aca="false">FALSE()</f>
        <v>0</v>
      </c>
      <c r="Q1035" s="3" t="s">
        <v>166</v>
      </c>
      <c r="R1035" s="12" t="n">
        <v>0.4994</v>
      </c>
      <c r="S1035" s="12" t="n">
        <v>0.2575</v>
      </c>
      <c r="T1035" s="3" t="n">
        <v>0.0657</v>
      </c>
      <c r="U1035" s="12" t="n">
        <v>0.4858</v>
      </c>
      <c r="V1035" s="12" t="n">
        <v>0.4707</v>
      </c>
      <c r="W1035" s="12" t="n">
        <v>0.409</v>
      </c>
      <c r="X1035" s="3" t="n">
        <v>0.1367</v>
      </c>
      <c r="Y1035" s="3" t="n">
        <v>0.5364</v>
      </c>
      <c r="Z1035" s="14" t="n">
        <f aca="false">Assumptions!$B$3*R1035+Assumptions!$B$4*S1035+IF(AA1035=1,Assumptions!$B$11,Assumptions!$B$5)*X1035+IF(AA1035=1,Assumptions!$B$12,Assumptions!$B$6)*T1035+Assumptions!$B$7*U1035+Assumptions!$B$8*V1035+Assumptions!$B$9*Y1035</f>
        <v>0.357902</v>
      </c>
      <c r="AA1035" s="3" t="n">
        <v>1</v>
      </c>
    </row>
    <row r="1036" customFormat="false" ht="15" hidden="false" customHeight="false" outlineLevel="0" collapsed="false">
      <c r="A1036" s="3" t="s">
        <v>1221</v>
      </c>
      <c r="B1036" s="3" t="n">
        <v>288</v>
      </c>
      <c r="C1036" s="11" t="str">
        <f aca="false">IF(M1036&gt;=Assumptions!$B$17,"S+",IF(M1036&gt;=Assumptions!$B$18,"S",IF(M1036&gt;=Assumptions!$B$19,"A",IF(M1036&gt;=Assumptions!$B$20,"B",IF(M1036&gt;=Assumptions!$B$21,"C",IF(M1036&gt;=Assumptions!$B$22,"D","F"))))))</f>
        <v>F</v>
      </c>
      <c r="D1036" s="3" t="s">
        <v>197</v>
      </c>
      <c r="E1036" s="3" t="n">
        <v>1</v>
      </c>
      <c r="F1036" s="12" t="n">
        <v>0.4807</v>
      </c>
      <c r="G1036" s="12" t="n">
        <v>0.4</v>
      </c>
      <c r="H1036" s="12" t="n">
        <v>0.75</v>
      </c>
      <c r="I1036" s="12" t="n">
        <v>0.5007</v>
      </c>
      <c r="J1036" s="12" t="n">
        <v>0.2693</v>
      </c>
      <c r="K1036" s="12" t="n">
        <v>0.4392</v>
      </c>
      <c r="L1036" s="3" t="n">
        <v>5.66</v>
      </c>
      <c r="M1036" s="12" t="n">
        <f aca="false">Z1036-W1036</f>
        <v>-0.0511990000000001</v>
      </c>
      <c r="N1036" s="12" t="n">
        <f aca="false">IFERROR((Z1036-J1036)/L1036,"")</f>
        <v>0.0300178445229682</v>
      </c>
      <c r="O1036" s="3" t="n">
        <v>19</v>
      </c>
      <c r="P1036" s="13" t="b">
        <f aca="false">FALSE()</f>
        <v>0</v>
      </c>
      <c r="Q1036" s="3" t="s">
        <v>166</v>
      </c>
      <c r="R1036" s="12" t="n">
        <v>0.6406</v>
      </c>
      <c r="S1036" s="12" t="n">
        <v>0.3893</v>
      </c>
      <c r="T1036" s="3" t="n">
        <v>0.2577</v>
      </c>
      <c r="U1036" s="12" t="n">
        <v>0.247</v>
      </c>
      <c r="V1036" s="12" t="n">
        <v>0.5104</v>
      </c>
      <c r="W1036" s="12" t="n">
        <v>0.4904</v>
      </c>
      <c r="X1036" s="3" t="n">
        <v>0.3287</v>
      </c>
      <c r="Y1036" s="3" t="n">
        <v>0.4989</v>
      </c>
      <c r="Z1036" s="14" t="n">
        <f aca="false">Assumptions!$B$3*R1036+Assumptions!$B$4*S1036+IF(AA1036=1,Assumptions!$B$11,Assumptions!$B$5)*X1036+IF(AA1036=1,Assumptions!$B$12,Assumptions!$B$6)*T1036+Assumptions!$B$7*U1036+Assumptions!$B$8*V1036+Assumptions!$B$9*Y1036</f>
        <v>0.439201</v>
      </c>
      <c r="AA1036" s="3" t="n">
        <v>0</v>
      </c>
    </row>
    <row r="1037" customFormat="false" ht="15" hidden="false" customHeight="false" outlineLevel="0" collapsed="false">
      <c r="A1037" s="3" t="s">
        <v>1222</v>
      </c>
      <c r="B1037" s="3" t="n">
        <v>335</v>
      </c>
      <c r="C1037" s="11" t="str">
        <f aca="false">IF(M1037&gt;=Assumptions!$B$17,"S+",IF(M1037&gt;=Assumptions!$B$18,"S",IF(M1037&gt;=Assumptions!$B$19,"A",IF(M1037&gt;=Assumptions!$B$20,"B",IF(M1037&gt;=Assumptions!$B$21,"C",IF(M1037&gt;=Assumptions!$B$22,"D","F"))))))</f>
        <v>F</v>
      </c>
      <c r="D1037" s="3" t="s">
        <v>228</v>
      </c>
      <c r="E1037" s="3" t="n">
        <v>2</v>
      </c>
      <c r="F1037" s="12" t="n">
        <v>0.7794</v>
      </c>
      <c r="G1037" s="12" t="n">
        <v>0.6</v>
      </c>
      <c r="H1037" s="12" t="n">
        <v>0.75</v>
      </c>
      <c r="I1037" s="12" t="n">
        <v>0.6874</v>
      </c>
      <c r="J1037" s="12" t="n">
        <v>0.2751</v>
      </c>
      <c r="K1037" s="12" t="n">
        <v>0.4316</v>
      </c>
      <c r="L1037" s="3" t="n">
        <v>6.83</v>
      </c>
      <c r="M1037" s="12" t="n">
        <f aca="false">Z1037-W1037</f>
        <v>-0.051347</v>
      </c>
      <c r="N1037" s="12" t="n">
        <f aca="false">IFERROR((Z1037-J1037)/L1037,"")</f>
        <v>0.0229213762811127</v>
      </c>
      <c r="O1037" s="3" t="n">
        <v>18</v>
      </c>
      <c r="P1037" s="13" t="b">
        <f aca="false">FALSE()</f>
        <v>0</v>
      </c>
      <c r="Q1037" s="3" t="s">
        <v>166</v>
      </c>
      <c r="R1037" s="12" t="n">
        <v>0.737</v>
      </c>
      <c r="S1037" s="12" t="n">
        <v>0.2577</v>
      </c>
      <c r="T1037" s="3" t="n">
        <v>0.0979</v>
      </c>
      <c r="U1037" s="12" t="n">
        <v>0.4744</v>
      </c>
      <c r="V1037" s="12" t="n">
        <v>0.4458</v>
      </c>
      <c r="W1037" s="12" t="n">
        <v>0.483</v>
      </c>
      <c r="X1037" s="3" t="n">
        <v>0.1592</v>
      </c>
      <c r="Y1037" s="3" t="n">
        <v>0.6768</v>
      </c>
      <c r="Z1037" s="14" t="n">
        <f aca="false">Assumptions!$B$3*R1037+Assumptions!$B$4*S1037+IF(AA1037=1,Assumptions!$B$11,Assumptions!$B$5)*X1037+IF(AA1037=1,Assumptions!$B$12,Assumptions!$B$6)*T1037+Assumptions!$B$7*U1037+Assumptions!$B$8*V1037+Assumptions!$B$9*Y1037</f>
        <v>0.431653</v>
      </c>
      <c r="AA1037" s="3" t="n">
        <v>0</v>
      </c>
    </row>
    <row r="1038" customFormat="false" ht="15" hidden="false" customHeight="false" outlineLevel="0" collapsed="false">
      <c r="A1038" s="3" t="s">
        <v>1223</v>
      </c>
      <c r="B1038" s="3" t="n">
        <v>265</v>
      </c>
      <c r="C1038" s="11" t="str">
        <f aca="false">IF(M1038&gt;=Assumptions!$B$17,"S+",IF(M1038&gt;=Assumptions!$B$18,"S",IF(M1038&gt;=Assumptions!$B$19,"A",IF(M1038&gt;=Assumptions!$B$20,"B",IF(M1038&gt;=Assumptions!$B$21,"C",IF(M1038&gt;=Assumptions!$B$22,"D","F"))))))</f>
        <v>F</v>
      </c>
      <c r="D1038" s="3" t="s">
        <v>190</v>
      </c>
      <c r="E1038" s="3" t="n">
        <v>1</v>
      </c>
      <c r="F1038" s="12" t="n">
        <v>0.7019</v>
      </c>
      <c r="G1038" s="12" t="n">
        <v>0.6</v>
      </c>
      <c r="H1038" s="12" t="n">
        <v>0.75</v>
      </c>
      <c r="I1038" s="12" t="n">
        <v>0.6687</v>
      </c>
      <c r="J1038" s="12" t="n">
        <v>0.3018</v>
      </c>
      <c r="K1038" s="12" t="n">
        <v>0.4496</v>
      </c>
      <c r="L1038" s="3" t="n">
        <v>5.82</v>
      </c>
      <c r="M1038" s="12" t="n">
        <f aca="false">Z1038-W1038</f>
        <v>-0.051573</v>
      </c>
      <c r="N1038" s="12" t="n">
        <f aca="false">IFERROR((Z1038-J1038)/L1038,"")</f>
        <v>0.0253998281786942</v>
      </c>
      <c r="O1038" s="3" t="n">
        <v>19</v>
      </c>
      <c r="P1038" s="13" t="b">
        <f aca="false">FALSE()</f>
        <v>0</v>
      </c>
      <c r="Q1038" s="3" t="s">
        <v>166</v>
      </c>
      <c r="R1038" s="12" t="n">
        <v>0.7671</v>
      </c>
      <c r="S1038" s="12" t="n">
        <v>0.1802</v>
      </c>
      <c r="T1038" s="3" t="n">
        <v>0.4678</v>
      </c>
      <c r="U1038" s="12" t="n">
        <v>0.332</v>
      </c>
      <c r="V1038" s="12" t="n">
        <v>0.5013</v>
      </c>
      <c r="W1038" s="12" t="n">
        <v>0.5012</v>
      </c>
      <c r="X1038" s="3" t="n">
        <v>0.1012</v>
      </c>
      <c r="Y1038" s="3" t="n">
        <v>0.6248</v>
      </c>
      <c r="Z1038" s="14" t="n">
        <f aca="false">Assumptions!$B$3*R1038+Assumptions!$B$4*S1038+IF(AA1038=1,Assumptions!$B$11,Assumptions!$B$5)*X1038+IF(AA1038=1,Assumptions!$B$12,Assumptions!$B$6)*T1038+Assumptions!$B$7*U1038+Assumptions!$B$8*V1038+Assumptions!$B$9*Y1038</f>
        <v>0.449627</v>
      </c>
      <c r="AA1038" s="3" t="n">
        <v>0</v>
      </c>
    </row>
    <row r="1039" customFormat="false" ht="15" hidden="false" customHeight="false" outlineLevel="0" collapsed="false">
      <c r="A1039" s="3" t="s">
        <v>1224</v>
      </c>
      <c r="B1039" s="3" t="n">
        <v>410</v>
      </c>
      <c r="C1039" s="11" t="str">
        <f aca="false">IF(M1039&gt;=Assumptions!$B$17,"S+",IF(M1039&gt;=Assumptions!$B$18,"S",IF(M1039&gt;=Assumptions!$B$19,"A",IF(M1039&gt;=Assumptions!$B$20,"B",IF(M1039&gt;=Assumptions!$B$21,"C",IF(M1039&gt;=Assumptions!$B$22,"D","F"))))))</f>
        <v>F</v>
      </c>
      <c r="D1039" s="3" t="s">
        <v>218</v>
      </c>
      <c r="E1039" s="3" t="n">
        <v>2</v>
      </c>
      <c r="F1039" s="12" t="n">
        <v>0.5975</v>
      </c>
      <c r="G1039" s="12" t="n">
        <v>0.6</v>
      </c>
      <c r="H1039" s="12" t="n">
        <v>0.75</v>
      </c>
      <c r="I1039" s="12" t="n">
        <v>0.6292</v>
      </c>
      <c r="J1039" s="12" t="n">
        <v>0.3139</v>
      </c>
      <c r="K1039" s="12" t="n">
        <v>0.4531</v>
      </c>
      <c r="L1039" s="3" t="n">
        <v>3.75</v>
      </c>
      <c r="M1039" s="12" t="n">
        <f aca="false">Z1039-W1039</f>
        <v>-0.051785</v>
      </c>
      <c r="N1039" s="12" t="n">
        <f aca="false">IFERROR((Z1039-J1039)/L1039,"")</f>
        <v>0.037124</v>
      </c>
      <c r="O1039" s="3" t="n">
        <v>18</v>
      </c>
      <c r="P1039" s="13" t="b">
        <f aca="false">FALSE()</f>
        <v>0</v>
      </c>
      <c r="Q1039" s="3" t="s">
        <v>166</v>
      </c>
      <c r="R1039" s="12" t="n">
        <v>0.6769</v>
      </c>
      <c r="S1039" s="12" t="n">
        <v>0.3717</v>
      </c>
      <c r="T1039" s="3" t="n">
        <v>0.4373</v>
      </c>
      <c r="U1039" s="12" t="n">
        <v>0.3547</v>
      </c>
      <c r="V1039" s="12" t="n">
        <v>0.4458</v>
      </c>
      <c r="W1039" s="12" t="n">
        <v>0.5049</v>
      </c>
      <c r="X1039" s="3" t="n">
        <v>0.1642</v>
      </c>
      <c r="Y1039" s="3" t="n">
        <v>0.5811</v>
      </c>
      <c r="Z1039" s="14" t="n">
        <f aca="false">Assumptions!$B$3*R1039+Assumptions!$B$4*S1039+IF(AA1039=1,Assumptions!$B$11,Assumptions!$B$5)*X1039+IF(AA1039=1,Assumptions!$B$12,Assumptions!$B$6)*T1039+Assumptions!$B$7*U1039+Assumptions!$B$8*V1039+Assumptions!$B$9*Y1039</f>
        <v>0.453115</v>
      </c>
      <c r="AA1039" s="3" t="n">
        <v>0</v>
      </c>
    </row>
    <row r="1040" customFormat="false" ht="15" hidden="false" customHeight="false" outlineLevel="0" collapsed="false">
      <c r="A1040" s="3" t="s">
        <v>1225</v>
      </c>
      <c r="B1040" s="3" t="n">
        <v>420</v>
      </c>
      <c r="C1040" s="11" t="str">
        <f aca="false">IF(M1040&gt;=Assumptions!$B$17,"S+",IF(M1040&gt;=Assumptions!$B$18,"S",IF(M1040&gt;=Assumptions!$B$19,"A",IF(M1040&gt;=Assumptions!$B$20,"B",IF(M1040&gt;=Assumptions!$B$21,"C",IF(M1040&gt;=Assumptions!$B$22,"D","F"))))))</f>
        <v>F</v>
      </c>
      <c r="D1040" s="3" t="s">
        <v>253</v>
      </c>
      <c r="E1040" s="3" t="n">
        <v>2</v>
      </c>
      <c r="F1040" s="12" t="n">
        <v>0.7307</v>
      </c>
      <c r="G1040" s="12" t="n">
        <v>0.6</v>
      </c>
      <c r="H1040" s="12" t="n">
        <v>0.75</v>
      </c>
      <c r="I1040" s="12" t="n">
        <v>0.6718</v>
      </c>
      <c r="J1040" s="12" t="n">
        <v>0.3533</v>
      </c>
      <c r="K1040" s="12" t="n">
        <v>0.478</v>
      </c>
      <c r="L1040" s="3" t="n">
        <v>3.47</v>
      </c>
      <c r="M1040" s="12" t="n">
        <f aca="false">Z1040-W1040</f>
        <v>-0.0524399999999999</v>
      </c>
      <c r="N1040" s="12" t="n">
        <f aca="false">IFERROR((Z1040-J1040)/L1040,"")</f>
        <v>0.0359250720461095</v>
      </c>
      <c r="O1040" s="3" t="n">
        <v>18</v>
      </c>
      <c r="P1040" s="13" t="b">
        <f aca="false">FALSE()</f>
        <v>0</v>
      </c>
      <c r="Q1040" s="3" t="s">
        <v>166</v>
      </c>
      <c r="R1040" s="12" t="n">
        <v>0.6801</v>
      </c>
      <c r="S1040" s="12" t="n">
        <v>0.5457</v>
      </c>
      <c r="T1040" s="3" t="n">
        <v>0.1786</v>
      </c>
      <c r="U1040" s="12" t="n">
        <v>0.4487</v>
      </c>
      <c r="V1040" s="12" t="n">
        <v>0.4923</v>
      </c>
      <c r="W1040" s="12" t="n">
        <v>0.5304</v>
      </c>
      <c r="X1040" s="3" t="n">
        <v>0.2204</v>
      </c>
      <c r="Y1040" s="3" t="n">
        <v>0.6356</v>
      </c>
      <c r="Z1040" s="14" t="n">
        <f aca="false">Assumptions!$B$3*R1040+Assumptions!$B$4*S1040+IF(AA1040=1,Assumptions!$B$11,Assumptions!$B$5)*X1040+IF(AA1040=1,Assumptions!$B$12,Assumptions!$B$6)*T1040+Assumptions!$B$7*U1040+Assumptions!$B$8*V1040+Assumptions!$B$9*Y1040</f>
        <v>0.47796</v>
      </c>
      <c r="AA1040" s="3" t="n">
        <v>0</v>
      </c>
    </row>
    <row r="1041" customFormat="false" ht="15" hidden="false" customHeight="false" outlineLevel="0" collapsed="false">
      <c r="A1041" s="3" t="s">
        <v>1226</v>
      </c>
      <c r="B1041" s="3" t="n">
        <v>355</v>
      </c>
      <c r="C1041" s="11" t="str">
        <f aca="false">IF(M1041&gt;=Assumptions!$B$17,"S+",IF(M1041&gt;=Assumptions!$B$18,"S",IF(M1041&gt;=Assumptions!$B$19,"A",IF(M1041&gt;=Assumptions!$B$20,"B",IF(M1041&gt;=Assumptions!$B$21,"C",IF(M1041&gt;=Assumptions!$B$22,"D","F"))))))</f>
        <v>F</v>
      </c>
      <c r="D1041" s="3" t="s">
        <v>190</v>
      </c>
      <c r="E1041" s="3" t="n">
        <v>1</v>
      </c>
      <c r="F1041" s="12" t="n">
        <v>0.7444</v>
      </c>
      <c r="G1041" s="12" t="n">
        <v>0.4</v>
      </c>
      <c r="H1041" s="12" t="n">
        <v>0.75</v>
      </c>
      <c r="I1041" s="12" t="n">
        <v>0.6009</v>
      </c>
      <c r="J1041" s="12" t="n">
        <v>0.2785</v>
      </c>
      <c r="K1041" s="12" t="n">
        <v>0.4528</v>
      </c>
      <c r="L1041" s="3" t="n">
        <v>3.68</v>
      </c>
      <c r="M1041" s="12" t="n">
        <f aca="false">Z1041-W1041</f>
        <v>-0.0528830000000001</v>
      </c>
      <c r="N1041" s="12" t="n">
        <f aca="false">IFERROR((Z1041-J1041)/L1041,"")</f>
        <v>0.04736875</v>
      </c>
      <c r="O1041" s="3" t="n">
        <v>19</v>
      </c>
      <c r="P1041" s="13" t="b">
        <f aca="false">FALSE()</f>
        <v>0</v>
      </c>
      <c r="Q1041" s="3" t="s">
        <v>166</v>
      </c>
      <c r="R1041" s="12" t="n">
        <v>0.713</v>
      </c>
      <c r="S1041" s="12" t="n">
        <v>0.3129</v>
      </c>
      <c r="T1041" s="3" t="n">
        <v>0.3824</v>
      </c>
      <c r="U1041" s="12" t="n">
        <v>0.3036</v>
      </c>
      <c r="V1041" s="12" t="n">
        <v>0.4878</v>
      </c>
      <c r="W1041" s="12" t="n">
        <v>0.5057</v>
      </c>
      <c r="X1041" s="3" t="n">
        <v>0.2711</v>
      </c>
      <c r="Y1041" s="3" t="n">
        <v>0.4722</v>
      </c>
      <c r="Z1041" s="14" t="n">
        <f aca="false">Assumptions!$B$3*R1041+Assumptions!$B$4*S1041+IF(AA1041=1,Assumptions!$B$11,Assumptions!$B$5)*X1041+IF(AA1041=1,Assumptions!$B$12,Assumptions!$B$6)*T1041+Assumptions!$B$7*U1041+Assumptions!$B$8*V1041+Assumptions!$B$9*Y1041</f>
        <v>0.452817</v>
      </c>
      <c r="AA1041" s="3" t="n">
        <v>0</v>
      </c>
    </row>
    <row r="1042" customFormat="false" ht="15" hidden="false" customHeight="false" outlineLevel="0" collapsed="false">
      <c r="A1042" s="3" t="s">
        <v>1227</v>
      </c>
      <c r="B1042" s="3" t="n">
        <v>420</v>
      </c>
      <c r="C1042" s="11" t="str">
        <f aca="false">IF(M1042&gt;=Assumptions!$B$17,"S+",IF(M1042&gt;=Assumptions!$B$18,"S",IF(M1042&gt;=Assumptions!$B$19,"A",IF(M1042&gt;=Assumptions!$B$20,"B",IF(M1042&gt;=Assumptions!$B$21,"C",IF(M1042&gt;=Assumptions!$B$22,"D","F"))))))</f>
        <v>F</v>
      </c>
      <c r="D1042" s="3" t="s">
        <v>218</v>
      </c>
      <c r="E1042" s="3" t="n">
        <v>2</v>
      </c>
      <c r="F1042" s="12" t="n">
        <v>0.6507</v>
      </c>
      <c r="G1042" s="12" t="n">
        <v>0.6</v>
      </c>
      <c r="H1042" s="12" t="n">
        <v>0.75</v>
      </c>
      <c r="I1042" s="12" t="n">
        <v>0.6462</v>
      </c>
      <c r="J1042" s="12" t="n">
        <v>0.3261</v>
      </c>
      <c r="K1042" s="12" t="n">
        <v>0.4642</v>
      </c>
      <c r="L1042" s="3" t="n">
        <v>3.67</v>
      </c>
      <c r="M1042" s="12" t="n">
        <f aca="false">Z1042-W1042</f>
        <v>-0.053032</v>
      </c>
      <c r="N1042" s="12" t="n">
        <f aca="false">IFERROR((Z1042-J1042)/L1042,"")</f>
        <v>0.0376207084468665</v>
      </c>
      <c r="O1042" s="3" t="n">
        <v>18</v>
      </c>
      <c r="P1042" s="13" t="b">
        <f aca="false">FALSE()</f>
        <v>0</v>
      </c>
      <c r="Q1042" s="3" t="s">
        <v>166</v>
      </c>
      <c r="R1042" s="12" t="n">
        <v>0.7023</v>
      </c>
      <c r="S1042" s="12" t="n">
        <v>0.3714</v>
      </c>
      <c r="T1042" s="3" t="n">
        <v>0.4074</v>
      </c>
      <c r="U1042" s="12" t="n">
        <v>0.3718</v>
      </c>
      <c r="V1042" s="12" t="n">
        <v>0.4458</v>
      </c>
      <c r="W1042" s="12" t="n">
        <v>0.5172</v>
      </c>
      <c r="X1042" s="3" t="n">
        <v>0.1929</v>
      </c>
      <c r="Y1042" s="3" t="n">
        <v>0.5989</v>
      </c>
      <c r="Z1042" s="14" t="n">
        <f aca="false">Assumptions!$B$3*R1042+Assumptions!$B$4*S1042+IF(AA1042=1,Assumptions!$B$11,Assumptions!$B$5)*X1042+IF(AA1042=1,Assumptions!$B$12,Assumptions!$B$6)*T1042+Assumptions!$B$7*U1042+Assumptions!$B$8*V1042+Assumptions!$B$9*Y1042</f>
        <v>0.464168</v>
      </c>
      <c r="AA1042" s="3" t="n">
        <v>0</v>
      </c>
    </row>
    <row r="1043" customFormat="false" ht="15" hidden="false" customHeight="false" outlineLevel="0" collapsed="false">
      <c r="A1043" s="3" t="s">
        <v>1228</v>
      </c>
      <c r="B1043" s="3" t="n">
        <v>308</v>
      </c>
      <c r="C1043" s="11" t="str">
        <f aca="false">IF(M1043&gt;=Assumptions!$B$17,"S+",IF(M1043&gt;=Assumptions!$B$18,"S",IF(M1043&gt;=Assumptions!$B$19,"A",IF(M1043&gt;=Assumptions!$B$20,"B",IF(M1043&gt;=Assumptions!$B$21,"C",IF(M1043&gt;=Assumptions!$B$22,"D","F"))))))</f>
        <v>F</v>
      </c>
      <c r="D1043" s="3" t="s">
        <v>218</v>
      </c>
      <c r="E1043" s="3" t="n">
        <v>1</v>
      </c>
      <c r="F1043" s="12" t="n">
        <v>0.7301</v>
      </c>
      <c r="G1043" s="12" t="n">
        <v>1</v>
      </c>
      <c r="H1043" s="12" t="n">
        <v>0.75</v>
      </c>
      <c r="I1043" s="12" t="n">
        <v>0.8636</v>
      </c>
      <c r="J1043" s="12" t="n">
        <v>0.2953</v>
      </c>
      <c r="K1043" s="12" t="n">
        <v>0.4553</v>
      </c>
      <c r="L1043" s="3" t="n">
        <v>6.66</v>
      </c>
      <c r="M1043" s="12" t="n">
        <f aca="false">Z1043-W1043</f>
        <v>-0.0532970000000001</v>
      </c>
      <c r="N1043" s="12" t="n">
        <f aca="false">IFERROR((Z1043-J1043)/L1043,"")</f>
        <v>0.0240244744744745</v>
      </c>
      <c r="O1043" s="3" t="n">
        <v>19</v>
      </c>
      <c r="P1043" s="13" t="b">
        <f aca="false">FALSE()</f>
        <v>0</v>
      </c>
      <c r="Q1043" s="3" t="s">
        <v>166</v>
      </c>
      <c r="R1043" s="12" t="n">
        <v>0.7514</v>
      </c>
      <c r="S1043" s="12" t="n">
        <v>0.354</v>
      </c>
      <c r="T1043" s="3" t="n">
        <v>0.137</v>
      </c>
      <c r="U1043" s="12" t="n">
        <v>0.3117</v>
      </c>
      <c r="V1043" s="12" t="n">
        <v>0.4905</v>
      </c>
      <c r="W1043" s="12" t="n">
        <v>0.5086</v>
      </c>
      <c r="X1043" s="3" t="n">
        <v>0.1284</v>
      </c>
      <c r="Y1043" s="3" t="n">
        <v>0.8473</v>
      </c>
      <c r="Z1043" s="14" t="n">
        <f aca="false">Assumptions!$B$3*R1043+Assumptions!$B$4*S1043+IF(AA1043=1,Assumptions!$B$11,Assumptions!$B$5)*X1043+IF(AA1043=1,Assumptions!$B$12,Assumptions!$B$6)*T1043+Assumptions!$B$7*U1043+Assumptions!$B$8*V1043+Assumptions!$B$9*Y1043</f>
        <v>0.455303</v>
      </c>
      <c r="AA1043" s="3" t="n">
        <v>0</v>
      </c>
    </row>
    <row r="1044" customFormat="false" ht="15" hidden="false" customHeight="false" outlineLevel="0" collapsed="false">
      <c r="A1044" s="3" t="s">
        <v>1229</v>
      </c>
      <c r="B1044" s="3" t="n">
        <v>253</v>
      </c>
      <c r="C1044" s="11" t="str">
        <f aca="false">IF(M1044&gt;=Assumptions!$B$17,"S+",IF(M1044&gt;=Assumptions!$B$18,"S",IF(M1044&gt;=Assumptions!$B$19,"A",IF(M1044&gt;=Assumptions!$B$20,"B",IF(M1044&gt;=Assumptions!$B$21,"C",IF(M1044&gt;=Assumptions!$B$22,"D","F"))))))</f>
        <v>F</v>
      </c>
      <c r="D1044" s="3" t="s">
        <v>203</v>
      </c>
      <c r="E1044" s="3" t="n">
        <v>1</v>
      </c>
      <c r="F1044" s="12" t="n">
        <v>0.5414</v>
      </c>
      <c r="G1044" s="12" t="n">
        <v>0.4</v>
      </c>
      <c r="H1044" s="12" t="n">
        <v>0.75</v>
      </c>
      <c r="I1044" s="12" t="n">
        <v>0.5124</v>
      </c>
      <c r="J1044" s="12" t="n">
        <v>0.246</v>
      </c>
      <c r="K1044" s="12" t="n">
        <v>0.4324</v>
      </c>
      <c r="L1044" s="3" t="n">
        <v>6.76</v>
      </c>
      <c r="M1044" s="12" t="n">
        <f aca="false">Z1044-W1044</f>
        <v>-0.053437</v>
      </c>
      <c r="N1044" s="12" t="n">
        <f aca="false">IFERROR((Z1044-J1044)/L1044,"")</f>
        <v>0.0275684911242604</v>
      </c>
      <c r="O1044" s="3" t="n">
        <v>19</v>
      </c>
      <c r="P1044" s="13" t="b">
        <f aca="false">FALSE()</f>
        <v>0</v>
      </c>
      <c r="Q1044" s="3" t="s">
        <v>166</v>
      </c>
      <c r="R1044" s="12" t="n">
        <v>0.7925</v>
      </c>
      <c r="S1044" s="12" t="n">
        <v>0.1797</v>
      </c>
      <c r="T1044" s="3" t="n">
        <v>0.3567</v>
      </c>
      <c r="U1044" s="12" t="n">
        <v>0.3846</v>
      </c>
      <c r="V1044" s="12" t="n">
        <v>0.3528</v>
      </c>
      <c r="W1044" s="12" t="n">
        <v>0.4858</v>
      </c>
      <c r="X1044" s="3" t="n">
        <v>0.1786</v>
      </c>
      <c r="Y1044" s="3" t="n">
        <v>0.5071</v>
      </c>
      <c r="Z1044" s="14" t="n">
        <f aca="false">Assumptions!$B$3*R1044+Assumptions!$B$4*S1044+IF(AA1044=1,Assumptions!$B$11,Assumptions!$B$5)*X1044+IF(AA1044=1,Assumptions!$B$12,Assumptions!$B$6)*T1044+Assumptions!$B$7*U1044+Assumptions!$B$8*V1044+Assumptions!$B$9*Y1044</f>
        <v>0.432363</v>
      </c>
      <c r="AA1044" s="3" t="n">
        <v>0</v>
      </c>
    </row>
    <row r="1045" customFormat="false" ht="15" hidden="false" customHeight="false" outlineLevel="0" collapsed="false">
      <c r="A1045" s="3" t="s">
        <v>1230</v>
      </c>
      <c r="B1045" s="3" t="n">
        <v>310</v>
      </c>
      <c r="C1045" s="11" t="str">
        <f aca="false">IF(M1045&gt;=Assumptions!$B$17,"S+",IF(M1045&gt;=Assumptions!$B$18,"S",IF(M1045&gt;=Assumptions!$B$19,"A",IF(M1045&gt;=Assumptions!$B$20,"B",IF(M1045&gt;=Assumptions!$B$21,"C",IF(M1045&gt;=Assumptions!$B$22,"D","F"))))))</f>
        <v>F</v>
      </c>
      <c r="D1045" s="3" t="s">
        <v>197</v>
      </c>
      <c r="E1045" s="3" t="n">
        <v>1</v>
      </c>
      <c r="F1045" s="12" t="n">
        <v>0.6662</v>
      </c>
      <c r="G1045" s="12" t="n">
        <v>1</v>
      </c>
      <c r="H1045" s="12" t="n">
        <v>0.75</v>
      </c>
      <c r="I1045" s="12" t="n">
        <v>0.8232</v>
      </c>
      <c r="J1045" s="12" t="n">
        <v>0.3111</v>
      </c>
      <c r="K1045" s="12" t="n">
        <v>0.4476</v>
      </c>
      <c r="L1045" s="3" t="n">
        <v>6.76</v>
      </c>
      <c r="M1045" s="12" t="n">
        <f aca="false">Z1045-W1045</f>
        <v>-0.053469</v>
      </c>
      <c r="N1045" s="12" t="n">
        <f aca="false">IFERROR((Z1045-J1045)/L1045,"")</f>
        <v>0.0201968934911243</v>
      </c>
      <c r="O1045" s="3" t="n">
        <v>19</v>
      </c>
      <c r="P1045" s="13" t="b">
        <f aca="false">FALSE()</f>
        <v>0</v>
      </c>
      <c r="Q1045" s="3" t="s">
        <v>166</v>
      </c>
      <c r="R1045" s="12" t="n">
        <v>0.6655</v>
      </c>
      <c r="S1045" s="12" t="n">
        <v>0.2234</v>
      </c>
      <c r="T1045" s="3" t="n">
        <v>0.3329</v>
      </c>
      <c r="U1045" s="12" t="n">
        <v>0.4818</v>
      </c>
      <c r="V1045" s="12" t="n">
        <v>0.4497</v>
      </c>
      <c r="W1045" s="12" t="n">
        <v>0.5011</v>
      </c>
      <c r="X1045" s="3" t="n">
        <v>0.1471</v>
      </c>
      <c r="Y1045" s="3" t="n">
        <v>0.7996</v>
      </c>
      <c r="Z1045" s="14" t="n">
        <f aca="false">Assumptions!$B$3*R1045+Assumptions!$B$4*S1045+IF(AA1045=1,Assumptions!$B$11,Assumptions!$B$5)*X1045+IF(AA1045=1,Assumptions!$B$12,Assumptions!$B$6)*T1045+Assumptions!$B$7*U1045+Assumptions!$B$8*V1045+Assumptions!$B$9*Y1045</f>
        <v>0.447631</v>
      </c>
      <c r="AA1045" s="3" t="n">
        <v>0</v>
      </c>
    </row>
    <row r="1046" customFormat="false" ht="15" hidden="false" customHeight="false" outlineLevel="0" collapsed="false">
      <c r="A1046" s="3" t="s">
        <v>1231</v>
      </c>
      <c r="B1046" s="3" t="n">
        <v>410</v>
      </c>
      <c r="C1046" s="11" t="str">
        <f aca="false">IF(M1046&gt;=Assumptions!$B$17,"S+",IF(M1046&gt;=Assumptions!$B$18,"S",IF(M1046&gt;=Assumptions!$B$19,"A",IF(M1046&gt;=Assumptions!$B$20,"B",IF(M1046&gt;=Assumptions!$B$21,"C",IF(M1046&gt;=Assumptions!$B$22,"D","F"))))))</f>
        <v>F</v>
      </c>
      <c r="D1046" s="3" t="s">
        <v>218</v>
      </c>
      <c r="E1046" s="3" t="n">
        <v>9</v>
      </c>
      <c r="F1046" s="12" t="n">
        <v>0.5975</v>
      </c>
      <c r="G1046" s="12" t="n">
        <v>0.6</v>
      </c>
      <c r="H1046" s="12" t="n">
        <v>0.75</v>
      </c>
      <c r="I1046" s="12" t="n">
        <v>0.6292</v>
      </c>
      <c r="J1046" s="12" t="n">
        <v>0.3307</v>
      </c>
      <c r="K1046" s="12" t="n">
        <v>0.457</v>
      </c>
      <c r="L1046" s="3" t="n">
        <v>4</v>
      </c>
      <c r="M1046" s="12" t="n">
        <f aca="false">Z1046-W1046</f>
        <v>-0.0535580000000001</v>
      </c>
      <c r="N1046" s="12" t="n">
        <f aca="false">IFERROR((Z1046-J1046)/L1046,"")</f>
        <v>0.0315855</v>
      </c>
      <c r="O1046" s="3" t="n">
        <v>11</v>
      </c>
      <c r="P1046" s="13" t="b">
        <f aca="false">FALSE()</f>
        <v>0</v>
      </c>
      <c r="Q1046" s="3" t="s">
        <v>166</v>
      </c>
      <c r="R1046" s="12" t="n">
        <v>0.7284</v>
      </c>
      <c r="S1046" s="12" t="n">
        <v>0.2667</v>
      </c>
      <c r="T1046" s="3" t="n">
        <v>0.3422</v>
      </c>
      <c r="U1046" s="12" t="n">
        <v>0.3077</v>
      </c>
      <c r="V1046" s="12" t="n">
        <v>0.5453</v>
      </c>
      <c r="W1046" s="12" t="n">
        <v>0.5106</v>
      </c>
      <c r="X1046" s="3" t="n">
        <v>0.2046</v>
      </c>
      <c r="Y1046" s="3" t="n">
        <v>0.631</v>
      </c>
      <c r="Z1046" s="14" t="n">
        <f aca="false">Assumptions!$B$3*R1046+Assumptions!$B$4*S1046+IF(AA1046=1,Assumptions!$B$11,Assumptions!$B$5)*X1046+IF(AA1046=1,Assumptions!$B$12,Assumptions!$B$6)*T1046+Assumptions!$B$7*U1046+Assumptions!$B$8*V1046+Assumptions!$B$9*Y1046</f>
        <v>0.457042</v>
      </c>
      <c r="AA1046" s="3" t="n">
        <v>0</v>
      </c>
    </row>
    <row r="1047" customFormat="false" ht="15" hidden="false" customHeight="false" outlineLevel="0" collapsed="false">
      <c r="A1047" s="3" t="s">
        <v>1232</v>
      </c>
      <c r="B1047" s="3" t="n">
        <v>300</v>
      </c>
      <c r="C1047" s="11" t="str">
        <f aca="false">IF(M1047&gt;=Assumptions!$B$17,"S+",IF(M1047&gt;=Assumptions!$B$18,"S",IF(M1047&gt;=Assumptions!$B$19,"A",IF(M1047&gt;=Assumptions!$B$20,"B",IF(M1047&gt;=Assumptions!$B$21,"C",IF(M1047&gt;=Assumptions!$B$22,"D","F"))))))</f>
        <v>F</v>
      </c>
      <c r="D1047" s="3" t="s">
        <v>190</v>
      </c>
      <c r="E1047" s="3" t="n">
        <v>1</v>
      </c>
      <c r="F1047" s="12" t="n">
        <v>0.5167</v>
      </c>
      <c r="G1047" s="12" t="n">
        <v>1</v>
      </c>
      <c r="H1047" s="12" t="n">
        <v>0.75</v>
      </c>
      <c r="I1047" s="12" t="n">
        <v>0.7663</v>
      </c>
      <c r="J1047" s="12" t="n">
        <v>0.2659</v>
      </c>
      <c r="K1047" s="12" t="n">
        <v>0.4462</v>
      </c>
      <c r="L1047" s="3" t="n">
        <v>5.63</v>
      </c>
      <c r="M1047" s="12" t="n">
        <f aca="false">Z1047-W1047</f>
        <v>-0.053738</v>
      </c>
      <c r="N1047" s="12" t="n">
        <f aca="false">IFERROR((Z1047-J1047)/L1047,"")</f>
        <v>0.0320358792184725</v>
      </c>
      <c r="O1047" s="3" t="n">
        <v>19</v>
      </c>
      <c r="P1047" s="13" t="b">
        <f aca="false">FALSE()</f>
        <v>0</v>
      </c>
      <c r="Q1047" s="3" t="s">
        <v>166</v>
      </c>
      <c r="R1047" s="12" t="n">
        <v>0.7682</v>
      </c>
      <c r="S1047" s="12" t="n">
        <v>0.2644</v>
      </c>
      <c r="T1047" s="3" t="n">
        <v>0.1873</v>
      </c>
      <c r="U1047" s="12" t="n">
        <v>0.5061</v>
      </c>
      <c r="V1047" s="12" t="n">
        <v>0.33</v>
      </c>
      <c r="W1047" s="12" t="n">
        <v>0.5</v>
      </c>
      <c r="X1047" s="3" t="n">
        <v>0.1374</v>
      </c>
      <c r="Y1047" s="3" t="n">
        <v>0.755</v>
      </c>
      <c r="Z1047" s="14" t="n">
        <f aca="false">Assumptions!$B$3*R1047+Assumptions!$B$4*S1047+IF(AA1047=1,Assumptions!$B$11,Assumptions!$B$5)*X1047+IF(AA1047=1,Assumptions!$B$12,Assumptions!$B$6)*T1047+Assumptions!$B$7*U1047+Assumptions!$B$8*V1047+Assumptions!$B$9*Y1047</f>
        <v>0.446262</v>
      </c>
      <c r="AA1047" s="3" t="n">
        <v>0</v>
      </c>
    </row>
    <row r="1048" customFormat="false" ht="15" hidden="false" customHeight="false" outlineLevel="0" collapsed="false">
      <c r="A1048" s="3" t="s">
        <v>1233</v>
      </c>
      <c r="B1048" s="3" t="n">
        <v>340</v>
      </c>
      <c r="C1048" s="11" t="str">
        <f aca="false">IF(M1048&gt;=Assumptions!$B$17,"S+",IF(M1048&gt;=Assumptions!$B$18,"S",IF(M1048&gt;=Assumptions!$B$19,"A",IF(M1048&gt;=Assumptions!$B$20,"B",IF(M1048&gt;=Assumptions!$B$21,"C",IF(M1048&gt;=Assumptions!$B$22,"D","F"))))))</f>
        <v>F</v>
      </c>
      <c r="D1048" s="3" t="s">
        <v>206</v>
      </c>
      <c r="E1048" s="3" t="n">
        <v>7</v>
      </c>
      <c r="F1048" s="12" t="n">
        <v>0.4736</v>
      </c>
      <c r="G1048" s="12" t="n">
        <v>0.64</v>
      </c>
      <c r="H1048" s="12" t="n">
        <v>0.502</v>
      </c>
      <c r="I1048" s="12" t="n">
        <v>0.5589</v>
      </c>
      <c r="J1048" s="12" t="n">
        <v>0.2672</v>
      </c>
      <c r="K1048" s="12" t="n">
        <v>0.4112</v>
      </c>
      <c r="L1048" s="3" t="n">
        <v>6</v>
      </c>
      <c r="M1048" s="12" t="n">
        <f aca="false">Z1048-W1048</f>
        <v>-0.0538159999999999</v>
      </c>
      <c r="N1048" s="12" t="n">
        <f aca="false">IFERROR((Z1048-J1048)/L1048,"")</f>
        <v>0.0239973333333334</v>
      </c>
      <c r="O1048" s="3" t="n">
        <v>13</v>
      </c>
      <c r="P1048" s="13" t="b">
        <f aca="false">FALSE()</f>
        <v>0</v>
      </c>
      <c r="Q1048" s="3" t="s">
        <v>166</v>
      </c>
      <c r="R1048" s="12" t="n">
        <v>0.6844</v>
      </c>
      <c r="S1048" s="12" t="n">
        <v>0.2543</v>
      </c>
      <c r="T1048" s="3" t="n">
        <v>0.0981</v>
      </c>
      <c r="U1048" s="12" t="n">
        <v>0.2722</v>
      </c>
      <c r="V1048" s="12" t="n">
        <v>0.4727</v>
      </c>
      <c r="W1048" s="12" t="n">
        <v>0.465</v>
      </c>
      <c r="X1048" s="3" t="n">
        <v>0.3001</v>
      </c>
      <c r="Y1048" s="3" t="n">
        <v>0.5609</v>
      </c>
      <c r="Z1048" s="14" t="n">
        <f aca="false">Assumptions!$B$3*R1048+Assumptions!$B$4*S1048+IF(AA1048=1,Assumptions!$B$11,Assumptions!$B$5)*X1048+IF(AA1048=1,Assumptions!$B$12,Assumptions!$B$6)*T1048+Assumptions!$B$7*U1048+Assumptions!$B$8*V1048+Assumptions!$B$9*Y1048</f>
        <v>0.411184</v>
      </c>
      <c r="AA1048" s="3" t="n">
        <v>0</v>
      </c>
    </row>
    <row r="1049" customFormat="false" ht="15" hidden="false" customHeight="false" outlineLevel="0" collapsed="false">
      <c r="A1049" s="3" t="s">
        <v>1234</v>
      </c>
      <c r="B1049" s="3" t="n">
        <v>355</v>
      </c>
      <c r="C1049" s="11" t="str">
        <f aca="false">IF(M1049&gt;=Assumptions!$B$17,"S+",IF(M1049&gt;=Assumptions!$B$18,"S",IF(M1049&gt;=Assumptions!$B$19,"A",IF(M1049&gt;=Assumptions!$B$20,"B",IF(M1049&gt;=Assumptions!$B$21,"C",IF(M1049&gt;=Assumptions!$B$22,"D","F"))))))</f>
        <v>F</v>
      </c>
      <c r="D1049" s="3" t="s">
        <v>197</v>
      </c>
      <c r="E1049" s="3" t="n">
        <v>4</v>
      </c>
      <c r="F1049" s="12" t="n">
        <v>0.51</v>
      </c>
      <c r="G1049" s="12" t="n">
        <v>0.8</v>
      </c>
      <c r="H1049" s="12" t="n">
        <v>0.75</v>
      </c>
      <c r="I1049" s="12" t="n">
        <v>0.6798</v>
      </c>
      <c r="J1049" s="12" t="n">
        <v>0.249</v>
      </c>
      <c r="K1049" s="12" t="n">
        <v>0.4437</v>
      </c>
      <c r="L1049" s="3" t="n">
        <v>5.81</v>
      </c>
      <c r="M1049" s="12" t="n">
        <f aca="false">Z1049-W1049</f>
        <v>-0.053823</v>
      </c>
      <c r="N1049" s="12" t="n">
        <f aca="false">IFERROR((Z1049-J1049)/L1049,"")</f>
        <v>0.0335072289156627</v>
      </c>
      <c r="O1049" s="3" t="n">
        <v>16</v>
      </c>
      <c r="P1049" s="13" t="b">
        <f aca="false">FALSE()</f>
        <v>0</v>
      </c>
      <c r="Q1049" s="3" t="s">
        <v>166</v>
      </c>
      <c r="R1049" s="12" t="n">
        <v>0.6998</v>
      </c>
      <c r="S1049" s="12" t="n">
        <v>0.2871</v>
      </c>
      <c r="T1049" s="3" t="n">
        <v>0.0575</v>
      </c>
      <c r="U1049" s="12" t="n">
        <v>0.4134</v>
      </c>
      <c r="V1049" s="12" t="n">
        <v>0.3716</v>
      </c>
      <c r="W1049" s="12" t="n">
        <v>0.4975</v>
      </c>
      <c r="X1049" s="3" t="n">
        <v>0.4033</v>
      </c>
      <c r="Y1049" s="3" t="n">
        <v>0.6502</v>
      </c>
      <c r="Z1049" s="14" t="n">
        <f aca="false">Assumptions!$B$3*R1049+Assumptions!$B$4*S1049+IF(AA1049=1,Assumptions!$B$11,Assumptions!$B$5)*X1049+IF(AA1049=1,Assumptions!$B$12,Assumptions!$B$6)*T1049+Assumptions!$B$7*U1049+Assumptions!$B$8*V1049+Assumptions!$B$9*Y1049</f>
        <v>0.443677</v>
      </c>
      <c r="AA1049" s="3" t="n">
        <v>0</v>
      </c>
    </row>
    <row r="1050" customFormat="false" ht="15" hidden="false" customHeight="false" outlineLevel="0" collapsed="false">
      <c r="A1050" s="3" t="s">
        <v>1235</v>
      </c>
      <c r="B1050" s="3" t="n">
        <v>400</v>
      </c>
      <c r="C1050" s="11" t="str">
        <f aca="false">IF(M1050&gt;=Assumptions!$B$17,"S+",IF(M1050&gt;=Assumptions!$B$18,"S",IF(M1050&gt;=Assumptions!$B$19,"A",IF(M1050&gt;=Assumptions!$B$20,"B",IF(M1050&gt;=Assumptions!$B$21,"C",IF(M1050&gt;=Assumptions!$B$22,"D","F"))))))</f>
        <v>F</v>
      </c>
      <c r="D1050" s="3" t="s">
        <v>253</v>
      </c>
      <c r="E1050" s="3" t="n">
        <v>1</v>
      </c>
      <c r="F1050" s="12" t="n">
        <v>0.8813</v>
      </c>
      <c r="G1050" s="12" t="n">
        <v>0.4</v>
      </c>
      <c r="H1050" s="12" t="n">
        <v>0.75</v>
      </c>
      <c r="I1050" s="12" t="n">
        <v>0.624</v>
      </c>
      <c r="J1050" s="12" t="n">
        <v>0.365</v>
      </c>
      <c r="K1050" s="12" t="n">
        <v>0.4686</v>
      </c>
      <c r="L1050" s="3" t="n">
        <v>3.74</v>
      </c>
      <c r="M1050" s="12" t="n">
        <f aca="false">Z1050-W1050</f>
        <v>-0.0539859999999999</v>
      </c>
      <c r="N1050" s="12" t="n">
        <f aca="false">IFERROR((Z1050-J1050)/L1050,"")</f>
        <v>0.0277042780748663</v>
      </c>
      <c r="O1050" s="3" t="n">
        <v>19</v>
      </c>
      <c r="P1050" s="13" t="b">
        <f aca="false">FALSE()</f>
        <v>0</v>
      </c>
      <c r="Q1050" s="3" t="s">
        <v>166</v>
      </c>
      <c r="R1050" s="12" t="n">
        <v>0.777</v>
      </c>
      <c r="S1050" s="12" t="n">
        <v>0.2696</v>
      </c>
      <c r="T1050" s="3" t="n">
        <v>0.3508</v>
      </c>
      <c r="U1050" s="12" t="n">
        <v>0.4453</v>
      </c>
      <c r="V1050" s="12" t="n">
        <v>0.4038</v>
      </c>
      <c r="W1050" s="12" t="n">
        <v>0.5226</v>
      </c>
      <c r="X1050" s="3" t="n">
        <v>0.221</v>
      </c>
      <c r="Y1050" s="3" t="n">
        <v>0.5975</v>
      </c>
      <c r="Z1050" s="14" t="n">
        <f aca="false">Assumptions!$B$3*R1050+Assumptions!$B$4*S1050+IF(AA1050=1,Assumptions!$B$11,Assumptions!$B$5)*X1050+IF(AA1050=1,Assumptions!$B$12,Assumptions!$B$6)*T1050+Assumptions!$B$7*U1050+Assumptions!$B$8*V1050+Assumptions!$B$9*Y1050</f>
        <v>0.468614</v>
      </c>
      <c r="AA1050" s="3" t="n">
        <v>0</v>
      </c>
    </row>
    <row r="1051" customFormat="false" ht="15" hidden="false" customHeight="false" outlineLevel="0" collapsed="false">
      <c r="A1051" s="3" t="s">
        <v>1236</v>
      </c>
      <c r="B1051" s="3" t="n">
        <v>300</v>
      </c>
      <c r="C1051" s="11" t="str">
        <f aca="false">IF(M1051&gt;=Assumptions!$B$17,"S+",IF(M1051&gt;=Assumptions!$B$18,"S",IF(M1051&gt;=Assumptions!$B$19,"A",IF(M1051&gt;=Assumptions!$B$20,"B",IF(M1051&gt;=Assumptions!$B$21,"C",IF(M1051&gt;=Assumptions!$B$22,"D","F"))))))</f>
        <v>F</v>
      </c>
      <c r="D1051" s="3" t="s">
        <v>218</v>
      </c>
      <c r="E1051" s="3" t="n">
        <v>1</v>
      </c>
      <c r="F1051" s="12" t="n">
        <v>0.6901</v>
      </c>
      <c r="G1051" s="12" t="n">
        <v>0.8</v>
      </c>
      <c r="H1051" s="12" t="n">
        <v>0.75</v>
      </c>
      <c r="I1051" s="12" t="n">
        <v>0.7548</v>
      </c>
      <c r="J1051" s="12" t="n">
        <v>0.2231</v>
      </c>
      <c r="K1051" s="12" t="n">
        <v>0.4541</v>
      </c>
      <c r="L1051" s="3" t="n">
        <v>6.76</v>
      </c>
      <c r="M1051" s="12" t="n">
        <f aca="false">Z1051-W1051</f>
        <v>-0.0544680000000001</v>
      </c>
      <c r="N1051" s="12" t="n">
        <f aca="false">IFERROR((Z1051-J1051)/L1051,"")</f>
        <v>0.0341763313609467</v>
      </c>
      <c r="O1051" s="3" t="n">
        <v>19</v>
      </c>
      <c r="P1051" s="13" t="b">
        <f aca="false">FALSE()</f>
        <v>0</v>
      </c>
      <c r="Q1051" s="3" t="s">
        <v>166</v>
      </c>
      <c r="R1051" s="12" t="n">
        <v>0.6645</v>
      </c>
      <c r="S1051" s="12" t="n">
        <v>0.3452</v>
      </c>
      <c r="T1051" s="3" t="n">
        <v>0.161</v>
      </c>
      <c r="U1051" s="12" t="n">
        <v>0.3117</v>
      </c>
      <c r="V1051" s="12" t="n">
        <v>0.5054</v>
      </c>
      <c r="W1051" s="12" t="n">
        <v>0.5086</v>
      </c>
      <c r="X1051" s="3" t="n">
        <v>0.3353</v>
      </c>
      <c r="Y1051" s="3" t="n">
        <v>0.6985</v>
      </c>
      <c r="Z1051" s="14" t="n">
        <f aca="false">Assumptions!$B$3*R1051+Assumptions!$B$4*S1051+IF(AA1051=1,Assumptions!$B$11,Assumptions!$B$5)*X1051+IF(AA1051=1,Assumptions!$B$12,Assumptions!$B$6)*T1051+Assumptions!$B$7*U1051+Assumptions!$B$8*V1051+Assumptions!$B$9*Y1051</f>
        <v>0.454132</v>
      </c>
      <c r="AA1051" s="3" t="n">
        <v>0</v>
      </c>
    </row>
    <row r="1052" customFormat="false" ht="15" hidden="false" customHeight="false" outlineLevel="0" collapsed="false">
      <c r="A1052" s="3" t="s">
        <v>1237</v>
      </c>
      <c r="B1052" s="3" t="n">
        <v>323</v>
      </c>
      <c r="C1052" s="11" t="str">
        <f aca="false">IF(M1052&gt;=Assumptions!$B$17,"S+",IF(M1052&gt;=Assumptions!$B$18,"S",IF(M1052&gt;=Assumptions!$B$19,"A",IF(M1052&gt;=Assumptions!$B$20,"B",IF(M1052&gt;=Assumptions!$B$21,"C",IF(M1052&gt;=Assumptions!$B$22,"D","F"))))))</f>
        <v>F</v>
      </c>
      <c r="D1052" s="3" t="s">
        <v>183</v>
      </c>
      <c r="E1052" s="3" t="n">
        <v>1</v>
      </c>
      <c r="F1052" s="12" t="n">
        <v>0.3957</v>
      </c>
      <c r="G1052" s="12" t="n">
        <v>0.76</v>
      </c>
      <c r="H1052" s="12" t="n">
        <v>0.4692</v>
      </c>
      <c r="I1052" s="12" t="n">
        <v>0.5853</v>
      </c>
      <c r="J1052" s="12" t="n">
        <v>0.2479</v>
      </c>
      <c r="K1052" s="12" t="n">
        <v>0.451</v>
      </c>
      <c r="L1052" s="3" t="n">
        <v>5.79</v>
      </c>
      <c r="M1052" s="12" t="n">
        <f aca="false">Z1052-W1052</f>
        <v>-0.0546340000000001</v>
      </c>
      <c r="N1052" s="12" t="n">
        <f aca="false">IFERROR((Z1052-J1052)/L1052,"")</f>
        <v>0.0350718480138169</v>
      </c>
      <c r="O1052" s="3" t="n">
        <v>19</v>
      </c>
      <c r="P1052" s="13" t="b">
        <f aca="false">FALSE()</f>
        <v>0</v>
      </c>
      <c r="Q1052" s="3" t="s">
        <v>166</v>
      </c>
      <c r="R1052" s="12" t="n">
        <v>0.5463</v>
      </c>
      <c r="S1052" s="12" t="n">
        <v>0.3866</v>
      </c>
      <c r="T1052" s="3" t="n">
        <v>0.2453</v>
      </c>
      <c r="U1052" s="12" t="n">
        <v>0.4332</v>
      </c>
      <c r="V1052" s="12" t="n">
        <v>0.4708</v>
      </c>
      <c r="W1052" s="12" t="n">
        <v>0.5056</v>
      </c>
      <c r="X1052" s="3" t="n">
        <v>0.4082</v>
      </c>
      <c r="Y1052" s="3" t="n">
        <v>0.4805</v>
      </c>
      <c r="Z1052" s="14" t="n">
        <f aca="false">Assumptions!$B$3*R1052+Assumptions!$B$4*S1052+IF(AA1052=1,Assumptions!$B$11,Assumptions!$B$5)*X1052+IF(AA1052=1,Assumptions!$B$12,Assumptions!$B$6)*T1052+Assumptions!$B$7*U1052+Assumptions!$B$8*V1052+Assumptions!$B$9*Y1052</f>
        <v>0.450966</v>
      </c>
      <c r="AA1052" s="3" t="n">
        <v>1</v>
      </c>
    </row>
    <row r="1053" customFormat="false" ht="15" hidden="false" customHeight="false" outlineLevel="0" collapsed="false">
      <c r="A1053" s="3" t="s">
        <v>1238</v>
      </c>
      <c r="B1053" s="3" t="n">
        <v>390</v>
      </c>
      <c r="C1053" s="11" t="str">
        <f aca="false">IF(M1053&gt;=Assumptions!$B$17,"S+",IF(M1053&gt;=Assumptions!$B$18,"S",IF(M1053&gt;=Assumptions!$B$19,"A",IF(M1053&gt;=Assumptions!$B$20,"B",IF(M1053&gt;=Assumptions!$B$21,"C",IF(M1053&gt;=Assumptions!$B$22,"D","F"))))))</f>
        <v>F</v>
      </c>
      <c r="D1053" s="3" t="s">
        <v>190</v>
      </c>
      <c r="E1053" s="3" t="n">
        <v>1</v>
      </c>
      <c r="F1053" s="12" t="n">
        <v>0.7031</v>
      </c>
      <c r="G1053" s="12" t="n">
        <v>1</v>
      </c>
      <c r="H1053" s="12" t="n">
        <v>0.75</v>
      </c>
      <c r="I1053" s="12" t="n">
        <v>0.8372</v>
      </c>
      <c r="J1053" s="12" t="n">
        <v>0.316</v>
      </c>
      <c r="K1053" s="12" t="n">
        <v>0.4544</v>
      </c>
      <c r="L1053" s="3" t="n">
        <v>5.79</v>
      </c>
      <c r="M1053" s="12" t="n">
        <f aca="false">Z1053-W1053</f>
        <v>-0.05507</v>
      </c>
      <c r="N1053" s="12" t="n">
        <f aca="false">IFERROR((Z1053-J1053)/L1053,"")</f>
        <v>0.0239084628670121</v>
      </c>
      <c r="O1053" s="3" t="n">
        <v>19</v>
      </c>
      <c r="P1053" s="13" t="b">
        <f aca="false">FALSE()</f>
        <v>0</v>
      </c>
      <c r="Q1053" s="3" t="s">
        <v>166</v>
      </c>
      <c r="R1053" s="12" t="n">
        <v>0.6738</v>
      </c>
      <c r="S1053" s="12" t="n">
        <v>0.2922</v>
      </c>
      <c r="T1053" s="3" t="n">
        <v>0.4978</v>
      </c>
      <c r="U1053" s="12" t="n">
        <v>0.4453</v>
      </c>
      <c r="V1053" s="12" t="n">
        <v>0.4038</v>
      </c>
      <c r="W1053" s="12" t="n">
        <v>0.5095</v>
      </c>
      <c r="X1053" s="3" t="n">
        <v>0.1303</v>
      </c>
      <c r="Y1053" s="3" t="n">
        <v>0.6588</v>
      </c>
      <c r="Z1053" s="14" t="n">
        <f aca="false">Assumptions!$B$3*R1053+Assumptions!$B$4*S1053+IF(AA1053=1,Assumptions!$B$11,Assumptions!$B$5)*X1053+IF(AA1053=1,Assumptions!$B$12,Assumptions!$B$6)*T1053+Assumptions!$B$7*U1053+Assumptions!$B$8*V1053+Assumptions!$B$9*Y1053</f>
        <v>0.45443</v>
      </c>
      <c r="AA1053" s="3" t="n">
        <v>0</v>
      </c>
    </row>
    <row r="1054" customFormat="false" ht="15" hidden="false" customHeight="false" outlineLevel="0" collapsed="false">
      <c r="A1054" s="3" t="s">
        <v>1239</v>
      </c>
      <c r="B1054" s="3" t="n">
        <v>310</v>
      </c>
      <c r="C1054" s="11" t="str">
        <f aca="false">IF(M1054&gt;=Assumptions!$B$17,"S+",IF(M1054&gt;=Assumptions!$B$18,"S",IF(M1054&gt;=Assumptions!$B$19,"A",IF(M1054&gt;=Assumptions!$B$20,"B",IF(M1054&gt;=Assumptions!$B$21,"C",IF(M1054&gt;=Assumptions!$B$22,"D","F"))))))</f>
        <v>F</v>
      </c>
      <c r="D1054" s="3" t="s">
        <v>190</v>
      </c>
      <c r="E1054" s="3" t="n">
        <v>1</v>
      </c>
      <c r="F1054" s="12" t="n">
        <v>0.2733</v>
      </c>
      <c r="G1054" s="12" t="n">
        <v>1</v>
      </c>
      <c r="H1054" s="12" t="n">
        <v>0.75</v>
      </c>
      <c r="I1054" s="12" t="n">
        <v>0.6738</v>
      </c>
      <c r="J1054" s="12" t="n">
        <v>0.2148</v>
      </c>
      <c r="K1054" s="12" t="n">
        <v>0.4115</v>
      </c>
      <c r="L1054" s="3" t="n">
        <v>6.61</v>
      </c>
      <c r="M1054" s="12" t="n">
        <f aca="false">Z1054-W1054</f>
        <v>-0.056117</v>
      </c>
      <c r="N1054" s="12" t="n">
        <f aca="false">IFERROR((Z1054-J1054)/L1054,"")</f>
        <v>0.0297553706505295</v>
      </c>
      <c r="O1054" s="3" t="n">
        <v>19</v>
      </c>
      <c r="P1054" s="13" t="b">
        <f aca="false">FALSE()</f>
        <v>0</v>
      </c>
      <c r="Q1054" s="3" t="s">
        <v>166</v>
      </c>
      <c r="R1054" s="12" t="n">
        <v>0.5356</v>
      </c>
      <c r="S1054" s="12" t="n">
        <v>0.2938</v>
      </c>
      <c r="T1054" s="3" t="n">
        <v>0.182</v>
      </c>
      <c r="U1054" s="12" t="n">
        <v>0.5142</v>
      </c>
      <c r="V1054" s="12" t="n">
        <v>0.3461</v>
      </c>
      <c r="W1054" s="12" t="n">
        <v>0.4676</v>
      </c>
      <c r="X1054" s="3" t="n">
        <v>0.3431</v>
      </c>
      <c r="Y1054" s="3" t="n">
        <v>0.6193</v>
      </c>
      <c r="Z1054" s="14" t="n">
        <f aca="false">Assumptions!$B$3*R1054+Assumptions!$B$4*S1054+IF(AA1054=1,Assumptions!$B$11,Assumptions!$B$5)*X1054+IF(AA1054=1,Assumptions!$B$12,Assumptions!$B$6)*T1054+Assumptions!$B$7*U1054+Assumptions!$B$8*V1054+Assumptions!$B$9*Y1054</f>
        <v>0.411483</v>
      </c>
      <c r="AA1054" s="3" t="n">
        <v>0</v>
      </c>
    </row>
    <row r="1055" customFormat="false" ht="15" hidden="false" customHeight="false" outlineLevel="0" collapsed="false">
      <c r="A1055" s="3" t="s">
        <v>1240</v>
      </c>
      <c r="B1055" s="3" t="n">
        <v>253</v>
      </c>
      <c r="C1055" s="11" t="str">
        <f aca="false">IF(M1055&gt;=Assumptions!$B$17,"S+",IF(M1055&gt;=Assumptions!$B$18,"S",IF(M1055&gt;=Assumptions!$B$19,"A",IF(M1055&gt;=Assumptions!$B$20,"B",IF(M1055&gt;=Assumptions!$B$21,"C",IF(M1055&gt;=Assumptions!$B$22,"D","F"))))))</f>
        <v>F</v>
      </c>
      <c r="D1055" s="3" t="s">
        <v>218</v>
      </c>
      <c r="E1055" s="3" t="n">
        <v>1</v>
      </c>
      <c r="F1055" s="12" t="n">
        <v>0.4953</v>
      </c>
      <c r="G1055" s="12" t="n">
        <v>1</v>
      </c>
      <c r="H1055" s="12" t="n">
        <v>0.75</v>
      </c>
      <c r="I1055" s="12" t="n">
        <v>0.7885</v>
      </c>
      <c r="J1055" s="12" t="n">
        <v>0.2548</v>
      </c>
      <c r="K1055" s="12" t="n">
        <v>0.4554</v>
      </c>
      <c r="L1055" s="3" t="n">
        <v>6.82</v>
      </c>
      <c r="M1055" s="12" t="n">
        <f aca="false">Z1055-W1055</f>
        <v>-0.056048</v>
      </c>
      <c r="N1055" s="12" t="n">
        <f aca="false">IFERROR((Z1055-J1055)/L1055,"")</f>
        <v>0.0294211143695015</v>
      </c>
      <c r="O1055" s="3" t="n">
        <v>19</v>
      </c>
      <c r="P1055" s="13" t="b">
        <f aca="false">FALSE()</f>
        <v>0</v>
      </c>
      <c r="Q1055" s="3" t="s">
        <v>166</v>
      </c>
      <c r="R1055" s="12" t="n">
        <v>0.7877</v>
      </c>
      <c r="S1055" s="12" t="n">
        <v>0.2703</v>
      </c>
      <c r="T1055" s="3" t="n">
        <v>0.2743</v>
      </c>
      <c r="U1055" s="12" t="n">
        <v>0.3644</v>
      </c>
      <c r="V1055" s="12" t="n">
        <v>0.4579</v>
      </c>
      <c r="W1055" s="12" t="n">
        <v>0.5115</v>
      </c>
      <c r="X1055" s="3" t="n">
        <v>0.1105</v>
      </c>
      <c r="Y1055" s="3" t="n">
        <v>0.727</v>
      </c>
      <c r="Z1055" s="14" t="n">
        <f aca="false">Assumptions!$B$3*R1055+Assumptions!$B$4*S1055+IF(AA1055=1,Assumptions!$B$11,Assumptions!$B$5)*X1055+IF(AA1055=1,Assumptions!$B$12,Assumptions!$B$6)*T1055+Assumptions!$B$7*U1055+Assumptions!$B$8*V1055+Assumptions!$B$9*Y1055</f>
        <v>0.455452</v>
      </c>
      <c r="AA1055" s="3" t="n">
        <v>0</v>
      </c>
    </row>
    <row r="1056" customFormat="false" ht="15" hidden="false" customHeight="false" outlineLevel="0" collapsed="false">
      <c r="A1056" s="3" t="s">
        <v>1241</v>
      </c>
      <c r="B1056" s="3" t="n">
        <v>452</v>
      </c>
      <c r="C1056" s="11" t="str">
        <f aca="false">IF(M1056&gt;=Assumptions!$B$17,"S+",IF(M1056&gt;=Assumptions!$B$18,"S",IF(M1056&gt;=Assumptions!$B$19,"A",IF(M1056&gt;=Assumptions!$B$20,"B",IF(M1056&gt;=Assumptions!$B$21,"C",IF(M1056&gt;=Assumptions!$B$22,"D","F"))))))</f>
        <v>F</v>
      </c>
      <c r="D1056" s="3" t="s">
        <v>253</v>
      </c>
      <c r="E1056" s="3" t="n">
        <v>3</v>
      </c>
      <c r="F1056" s="12" t="n">
        <v>0.6151</v>
      </c>
      <c r="G1056" s="12" t="n">
        <v>0.4</v>
      </c>
      <c r="H1056" s="12" t="n">
        <v>0.75</v>
      </c>
      <c r="I1056" s="12" t="n">
        <v>0.5388</v>
      </c>
      <c r="J1056" s="12" t="n">
        <v>0.3073</v>
      </c>
      <c r="K1056" s="12" t="n">
        <v>0.4649</v>
      </c>
      <c r="L1056" s="3" t="n">
        <v>3.47</v>
      </c>
      <c r="M1056" s="12" t="n">
        <f aca="false">Z1056-W1056</f>
        <v>-0.0562889999999999</v>
      </c>
      <c r="N1056" s="12" t="n">
        <f aca="false">IFERROR((Z1056-J1056)/L1056,"")</f>
        <v>0.045421037463977</v>
      </c>
      <c r="O1056" s="3" t="n">
        <v>17</v>
      </c>
      <c r="P1056" s="13" t="b">
        <f aca="false">FALSE()</f>
        <v>0</v>
      </c>
      <c r="Q1056" s="3" t="s">
        <v>166</v>
      </c>
      <c r="R1056" s="12" t="n">
        <v>0.6185</v>
      </c>
      <c r="S1056" s="12" t="n">
        <v>0.5622</v>
      </c>
      <c r="T1056" s="3" t="n">
        <v>0.242</v>
      </c>
      <c r="U1056" s="12" t="n">
        <v>0.2805</v>
      </c>
      <c r="V1056" s="12" t="n">
        <v>0.5057</v>
      </c>
      <c r="W1056" s="12" t="n">
        <v>0.5212</v>
      </c>
      <c r="X1056" s="3" t="n">
        <v>0.3664</v>
      </c>
      <c r="Y1056" s="3" t="n">
        <v>0.4843</v>
      </c>
      <c r="Z1056" s="14" t="n">
        <f aca="false">Assumptions!$B$3*R1056+Assumptions!$B$4*S1056+IF(AA1056=1,Assumptions!$B$11,Assumptions!$B$5)*X1056+IF(AA1056=1,Assumptions!$B$12,Assumptions!$B$6)*T1056+Assumptions!$B$7*U1056+Assumptions!$B$8*V1056+Assumptions!$B$9*Y1056</f>
        <v>0.464911</v>
      </c>
      <c r="AA1056" s="3" t="n">
        <v>0</v>
      </c>
    </row>
    <row r="1057" customFormat="false" ht="15" hidden="false" customHeight="false" outlineLevel="0" collapsed="false">
      <c r="A1057" s="3" t="s">
        <v>1242</v>
      </c>
      <c r="B1057" s="3" t="n">
        <v>314</v>
      </c>
      <c r="C1057" s="11" t="str">
        <f aca="false">IF(M1057&gt;=Assumptions!$B$17,"S+",IF(M1057&gt;=Assumptions!$B$18,"S",IF(M1057&gt;=Assumptions!$B$19,"A",IF(M1057&gt;=Assumptions!$B$20,"B",IF(M1057&gt;=Assumptions!$B$21,"C",IF(M1057&gt;=Assumptions!$B$22,"D","F"))))))</f>
        <v>F</v>
      </c>
      <c r="D1057" s="3" t="s">
        <v>218</v>
      </c>
      <c r="E1057" s="3" t="n">
        <v>1</v>
      </c>
      <c r="F1057" s="12" t="n">
        <v>0.541</v>
      </c>
      <c r="G1057" s="12" t="n">
        <v>1</v>
      </c>
      <c r="H1057" s="12" t="n">
        <v>0.75</v>
      </c>
      <c r="I1057" s="12" t="n">
        <v>0.8031</v>
      </c>
      <c r="J1057" s="12" t="n">
        <v>0.3041</v>
      </c>
      <c r="K1057" s="12" t="n">
        <v>0.4649</v>
      </c>
      <c r="L1057" s="3" t="n">
        <v>5.58</v>
      </c>
      <c r="M1057" s="12" t="n">
        <f aca="false">Z1057-W1057</f>
        <v>-0.056444</v>
      </c>
      <c r="N1057" s="12" t="n">
        <f aca="false">IFERROR((Z1057-J1057)/L1057,"")</f>
        <v>0.0288093189964158</v>
      </c>
      <c r="O1057" s="3" t="n">
        <v>19</v>
      </c>
      <c r="P1057" s="13" t="b">
        <f aca="false">FALSE()</f>
        <v>0</v>
      </c>
      <c r="Q1057" s="3" t="s">
        <v>166</v>
      </c>
      <c r="R1057" s="12" t="n">
        <v>0.7445</v>
      </c>
      <c r="S1057" s="12" t="n">
        <v>0.3527</v>
      </c>
      <c r="T1057" s="3" t="n">
        <v>0.2101</v>
      </c>
      <c r="U1057" s="12" t="n">
        <v>0.4535</v>
      </c>
      <c r="V1057" s="12" t="n">
        <v>0.4905</v>
      </c>
      <c r="W1057" s="12" t="n">
        <v>0.5213</v>
      </c>
      <c r="X1057" s="3" t="n">
        <v>0.1339</v>
      </c>
      <c r="Y1057" s="3" t="n">
        <v>0.7244</v>
      </c>
      <c r="Z1057" s="14" t="n">
        <f aca="false">Assumptions!$B$3*R1057+Assumptions!$B$4*S1057+IF(AA1057=1,Assumptions!$B$11,Assumptions!$B$5)*X1057+IF(AA1057=1,Assumptions!$B$12,Assumptions!$B$6)*T1057+Assumptions!$B$7*U1057+Assumptions!$B$8*V1057+Assumptions!$B$9*Y1057</f>
        <v>0.464856</v>
      </c>
      <c r="AA1057" s="3" t="n">
        <v>0</v>
      </c>
    </row>
    <row r="1058" customFormat="false" ht="15" hidden="false" customHeight="false" outlineLevel="0" collapsed="false">
      <c r="A1058" s="3" t="s">
        <v>1243</v>
      </c>
      <c r="B1058" s="3" t="n">
        <v>420</v>
      </c>
      <c r="C1058" s="11" t="str">
        <f aca="false">IF(M1058&gt;=Assumptions!$B$17,"S+",IF(M1058&gt;=Assumptions!$B$18,"S",IF(M1058&gt;=Assumptions!$B$19,"A",IF(M1058&gt;=Assumptions!$B$20,"B",IF(M1058&gt;=Assumptions!$B$21,"C",IF(M1058&gt;=Assumptions!$B$22,"D","F"))))))</f>
        <v>F</v>
      </c>
      <c r="D1058" s="3" t="s">
        <v>253</v>
      </c>
      <c r="E1058" s="3" t="n">
        <v>1</v>
      </c>
      <c r="F1058" s="12" t="n">
        <v>0.5513</v>
      </c>
      <c r="G1058" s="12" t="n">
        <v>0.4</v>
      </c>
      <c r="H1058" s="12" t="n">
        <v>0.75</v>
      </c>
      <c r="I1058" s="12" t="n">
        <v>0.5184</v>
      </c>
      <c r="J1058" s="12" t="n">
        <v>0.2968</v>
      </c>
      <c r="K1058" s="12" t="n">
        <v>0.4295</v>
      </c>
      <c r="L1058" s="3" t="n">
        <v>3.34</v>
      </c>
      <c r="M1058" s="12" t="n">
        <f aca="false">Z1058-W1058</f>
        <v>-0.056979</v>
      </c>
      <c r="N1058" s="12" t="n">
        <f aca="false">IFERROR((Z1058-J1058)/L1058,"")</f>
        <v>0.0397368263473054</v>
      </c>
      <c r="O1058" s="3" t="n">
        <v>19</v>
      </c>
      <c r="P1058" s="13" t="b">
        <f aca="false">FALSE()</f>
        <v>0</v>
      </c>
      <c r="Q1058" s="3" t="s">
        <v>166</v>
      </c>
      <c r="R1058" s="12" t="n">
        <v>0.5751</v>
      </c>
      <c r="S1058" s="12" t="n">
        <v>0.5325</v>
      </c>
      <c r="T1058" s="3" t="n">
        <v>0.3822</v>
      </c>
      <c r="U1058" s="12" t="n">
        <v>0.1133</v>
      </c>
      <c r="V1058" s="12" t="n">
        <v>0.503</v>
      </c>
      <c r="W1058" s="12" t="n">
        <v>0.4865</v>
      </c>
      <c r="X1058" s="3" t="n">
        <v>0.2776</v>
      </c>
      <c r="Y1058" s="3" t="n">
        <v>0.4318</v>
      </c>
      <c r="Z1058" s="14" t="n">
        <f aca="false">Assumptions!$B$3*R1058+Assumptions!$B$4*S1058+IF(AA1058=1,Assumptions!$B$11,Assumptions!$B$5)*X1058+IF(AA1058=1,Assumptions!$B$12,Assumptions!$B$6)*T1058+Assumptions!$B$7*U1058+Assumptions!$B$8*V1058+Assumptions!$B$9*Y1058</f>
        <v>0.429521</v>
      </c>
      <c r="AA1058" s="3" t="n">
        <v>0</v>
      </c>
    </row>
    <row r="1059" customFormat="false" ht="15" hidden="false" customHeight="false" outlineLevel="0" collapsed="false">
      <c r="A1059" s="3" t="s">
        <v>1244</v>
      </c>
      <c r="B1059" s="3" t="n">
        <v>250</v>
      </c>
      <c r="C1059" s="11" t="str">
        <f aca="false">IF(M1059&gt;=Assumptions!$B$17,"S+",IF(M1059&gt;=Assumptions!$B$18,"S",IF(M1059&gt;=Assumptions!$B$19,"A",IF(M1059&gt;=Assumptions!$B$20,"B",IF(M1059&gt;=Assumptions!$B$21,"C",IF(M1059&gt;=Assumptions!$B$22,"D","F"))))))</f>
        <v>F</v>
      </c>
      <c r="D1059" s="3" t="s">
        <v>190</v>
      </c>
      <c r="E1059" s="3" t="n">
        <v>1</v>
      </c>
      <c r="F1059" s="12" t="n">
        <v>0.3081</v>
      </c>
      <c r="G1059" s="12" t="n">
        <v>0.8</v>
      </c>
      <c r="H1059" s="12" t="n">
        <v>0.75</v>
      </c>
      <c r="I1059" s="12" t="n">
        <v>0.6031</v>
      </c>
      <c r="J1059" s="12" t="n">
        <v>0.2539</v>
      </c>
      <c r="K1059" s="12" t="n">
        <v>0.4115</v>
      </c>
      <c r="L1059" s="3" t="n">
        <v>5.68</v>
      </c>
      <c r="M1059" s="12" t="n">
        <f aca="false">Z1059-W1059</f>
        <v>-0.057173</v>
      </c>
      <c r="N1059" s="12" t="n">
        <f aca="false">IFERROR((Z1059-J1059)/L1059,"")</f>
        <v>0.0277512323943662</v>
      </c>
      <c r="O1059" s="3" t="n">
        <v>19</v>
      </c>
      <c r="P1059" s="13" t="b">
        <f aca="false">FALSE()</f>
        <v>0</v>
      </c>
      <c r="Q1059" s="3" t="s">
        <v>166</v>
      </c>
      <c r="R1059" s="12" t="n">
        <v>0.5358</v>
      </c>
      <c r="S1059" s="12" t="n">
        <v>0.2122</v>
      </c>
      <c r="T1059" s="3" t="n">
        <v>0.1838</v>
      </c>
      <c r="U1059" s="12" t="n">
        <v>0.5992</v>
      </c>
      <c r="V1059" s="12" t="n">
        <v>0.4335</v>
      </c>
      <c r="W1059" s="12" t="n">
        <v>0.4687</v>
      </c>
      <c r="X1059" s="3" t="n">
        <v>0.2853</v>
      </c>
      <c r="Y1059" s="3" t="n">
        <v>0.5696</v>
      </c>
      <c r="Z1059" s="14" t="n">
        <f aca="false">Assumptions!$B$3*R1059+Assumptions!$B$4*S1059+IF(AA1059=1,Assumptions!$B$11,Assumptions!$B$5)*X1059+IF(AA1059=1,Assumptions!$B$12,Assumptions!$B$6)*T1059+Assumptions!$B$7*U1059+Assumptions!$B$8*V1059+Assumptions!$B$9*Y1059</f>
        <v>0.411527</v>
      </c>
      <c r="AA1059" s="3" t="n">
        <v>1</v>
      </c>
    </row>
    <row r="1060" customFormat="false" ht="15" hidden="false" customHeight="false" outlineLevel="0" collapsed="false">
      <c r="A1060" s="3" t="s">
        <v>1245</v>
      </c>
      <c r="B1060" s="3" t="n">
        <v>237</v>
      </c>
      <c r="C1060" s="11" t="str">
        <f aca="false">IF(M1060&gt;=Assumptions!$B$17,"S+",IF(M1060&gt;=Assumptions!$B$18,"S",IF(M1060&gt;=Assumptions!$B$19,"A",IF(M1060&gt;=Assumptions!$B$20,"B",IF(M1060&gt;=Assumptions!$B$21,"C",IF(M1060&gt;=Assumptions!$B$22,"D","F"))))))</f>
        <v>F</v>
      </c>
      <c r="D1060" s="3" t="s">
        <v>218</v>
      </c>
      <c r="E1060" s="3" t="n">
        <v>1</v>
      </c>
      <c r="F1060" s="12" t="n">
        <v>0.1973</v>
      </c>
      <c r="G1060" s="12" t="n">
        <v>1</v>
      </c>
      <c r="H1060" s="12" t="n">
        <v>0.75</v>
      </c>
      <c r="I1060" s="12" t="n">
        <v>0.6931</v>
      </c>
      <c r="J1060" s="12" t="n">
        <v>0.2486</v>
      </c>
      <c r="K1060" s="12" t="n">
        <v>0.4616</v>
      </c>
      <c r="L1060" s="3" t="n">
        <v>6.66</v>
      </c>
      <c r="M1060" s="12" t="n">
        <f aca="false">Z1060-W1060</f>
        <v>-0.0571140000000001</v>
      </c>
      <c r="N1060" s="12" t="n">
        <f aca="false">IFERROR((Z1060-J1060)/L1060,"")</f>
        <v>0.0319798798798799</v>
      </c>
      <c r="O1060" s="3" t="n">
        <v>19</v>
      </c>
      <c r="P1060" s="13" t="b">
        <f aca="false">FALSE()</f>
        <v>0</v>
      </c>
      <c r="Q1060" s="3" t="s">
        <v>166</v>
      </c>
      <c r="R1060" s="12" t="n">
        <v>0.8252</v>
      </c>
      <c r="S1060" s="12" t="n">
        <v>0.1655</v>
      </c>
      <c r="T1060" s="3" t="n">
        <v>0.3066</v>
      </c>
      <c r="U1060" s="12" t="n">
        <v>0.4656</v>
      </c>
      <c r="V1060" s="12" t="n">
        <v>0.4579</v>
      </c>
      <c r="W1060" s="12" t="n">
        <v>0.5187</v>
      </c>
      <c r="X1060" s="3" t="n">
        <v>0.1383</v>
      </c>
      <c r="Y1060" s="3" t="n">
        <v>0.6636</v>
      </c>
      <c r="Z1060" s="14" t="n">
        <f aca="false">Assumptions!$B$3*R1060+Assumptions!$B$4*S1060+IF(AA1060=1,Assumptions!$B$11,Assumptions!$B$5)*X1060+IF(AA1060=1,Assumptions!$B$12,Assumptions!$B$6)*T1060+Assumptions!$B$7*U1060+Assumptions!$B$8*V1060+Assumptions!$B$9*Y1060</f>
        <v>0.461586</v>
      </c>
      <c r="AA1060" s="3" t="n">
        <v>0</v>
      </c>
    </row>
    <row r="1061" customFormat="false" ht="15" hidden="false" customHeight="false" outlineLevel="0" collapsed="false">
      <c r="A1061" s="3" t="s">
        <v>1246</v>
      </c>
      <c r="B1061" s="3" t="n">
        <v>325</v>
      </c>
      <c r="C1061" s="11" t="str">
        <f aca="false">IF(M1061&gt;=Assumptions!$B$17,"S+",IF(M1061&gt;=Assumptions!$B$18,"S",IF(M1061&gt;=Assumptions!$B$19,"A",IF(M1061&gt;=Assumptions!$B$20,"B",IF(M1061&gt;=Assumptions!$B$21,"C",IF(M1061&gt;=Assumptions!$B$22,"D","F"))))))</f>
        <v>F</v>
      </c>
      <c r="D1061" s="3" t="s">
        <v>218</v>
      </c>
      <c r="E1061" s="3" t="n">
        <v>1</v>
      </c>
      <c r="F1061" s="12" t="n">
        <v>0.8807</v>
      </c>
      <c r="G1061" s="12" t="n">
        <v>0.8</v>
      </c>
      <c r="H1061" s="12" t="n">
        <v>0.75</v>
      </c>
      <c r="I1061" s="12" t="n">
        <v>0.8158</v>
      </c>
      <c r="J1061" s="12" t="n">
        <v>0.2493</v>
      </c>
      <c r="K1061" s="12" t="n">
        <v>0.4492</v>
      </c>
      <c r="L1061" s="3" t="n">
        <v>6.61</v>
      </c>
      <c r="M1061" s="12" t="n">
        <f aca="false">Z1061-W1061</f>
        <v>-0.057194</v>
      </c>
      <c r="N1061" s="12" t="n">
        <f aca="false">IFERROR((Z1061-J1061)/L1061,"")</f>
        <v>0.030242965204236</v>
      </c>
      <c r="O1061" s="3" t="n">
        <v>19</v>
      </c>
      <c r="P1061" s="13" t="b">
        <f aca="false">FALSE()</f>
        <v>0</v>
      </c>
      <c r="Q1061" s="3" t="s">
        <v>166</v>
      </c>
      <c r="R1061" s="12" t="n">
        <v>0.7492</v>
      </c>
      <c r="S1061" s="12" t="n">
        <v>0.3527</v>
      </c>
      <c r="T1061" s="3" t="n">
        <v>0.2057</v>
      </c>
      <c r="U1061" s="12" t="n">
        <v>0.2996</v>
      </c>
      <c r="V1061" s="12" t="n">
        <v>0.4905</v>
      </c>
      <c r="W1061" s="12" t="n">
        <v>0.5064</v>
      </c>
      <c r="X1061" s="3" t="n">
        <v>0.175</v>
      </c>
      <c r="Y1061" s="3" t="n">
        <v>0.6491</v>
      </c>
      <c r="Z1061" s="14" t="n">
        <f aca="false">Assumptions!$B$3*R1061+Assumptions!$B$4*S1061+IF(AA1061=1,Assumptions!$B$11,Assumptions!$B$5)*X1061+IF(AA1061=1,Assumptions!$B$12,Assumptions!$B$6)*T1061+Assumptions!$B$7*U1061+Assumptions!$B$8*V1061+Assumptions!$B$9*Y1061</f>
        <v>0.449206</v>
      </c>
      <c r="AA1061" s="3" t="n">
        <v>0</v>
      </c>
    </row>
    <row r="1062" customFormat="false" ht="15" hidden="false" customHeight="false" outlineLevel="0" collapsed="false">
      <c r="A1062" s="3" t="s">
        <v>1247</v>
      </c>
      <c r="B1062" s="3" t="n">
        <v>310</v>
      </c>
      <c r="C1062" s="11" t="str">
        <f aca="false">IF(M1062&gt;=Assumptions!$B$17,"S+",IF(M1062&gt;=Assumptions!$B$18,"S",IF(M1062&gt;=Assumptions!$B$19,"A",IF(M1062&gt;=Assumptions!$B$20,"B",IF(M1062&gt;=Assumptions!$B$21,"C",IF(M1062&gt;=Assumptions!$B$22,"D","F"))))))</f>
        <v>F</v>
      </c>
      <c r="D1062" s="3" t="s">
        <v>190</v>
      </c>
      <c r="E1062" s="3" t="n">
        <v>1</v>
      </c>
      <c r="F1062" s="12" t="n">
        <v>0.4845</v>
      </c>
      <c r="G1062" s="12" t="n">
        <v>0.8</v>
      </c>
      <c r="H1062" s="12" t="n">
        <v>0.75</v>
      </c>
      <c r="I1062" s="12" t="n">
        <v>0.6701</v>
      </c>
      <c r="J1062" s="12" t="n">
        <v>0.268</v>
      </c>
      <c r="K1062" s="12" t="n">
        <v>0.444</v>
      </c>
      <c r="L1062" s="3" t="n">
        <v>6.61</v>
      </c>
      <c r="M1062" s="12" t="n">
        <f aca="false">Z1062-W1062</f>
        <v>-0.057226</v>
      </c>
      <c r="N1062" s="12" t="n">
        <f aca="false">IFERROR((Z1062-J1062)/L1062,"")</f>
        <v>0.0266223903177005</v>
      </c>
      <c r="O1062" s="3" t="n">
        <v>19</v>
      </c>
      <c r="P1062" s="13" t="b">
        <f aca="false">FALSE()</f>
        <v>0</v>
      </c>
      <c r="Q1062" s="3" t="s">
        <v>166</v>
      </c>
      <c r="R1062" s="12" t="n">
        <v>0.635</v>
      </c>
      <c r="S1062" s="12" t="n">
        <v>0.3803</v>
      </c>
      <c r="T1062" s="3" t="n">
        <v>0.1823</v>
      </c>
      <c r="U1062" s="12" t="n">
        <v>0.3158</v>
      </c>
      <c r="V1062" s="12" t="n">
        <v>0.4905</v>
      </c>
      <c r="W1062" s="12" t="n">
        <v>0.5012</v>
      </c>
      <c r="X1062" s="3" t="n">
        <v>0.3383</v>
      </c>
      <c r="Y1062" s="3" t="n">
        <v>0.6029</v>
      </c>
      <c r="Z1062" s="14" t="n">
        <f aca="false">Assumptions!$B$3*R1062+Assumptions!$B$4*S1062+IF(AA1062=1,Assumptions!$B$11,Assumptions!$B$5)*X1062+IF(AA1062=1,Assumptions!$B$12,Assumptions!$B$6)*T1062+Assumptions!$B$7*U1062+Assumptions!$B$8*V1062+Assumptions!$B$9*Y1062</f>
        <v>0.443974</v>
      </c>
      <c r="AA1062" s="3" t="n">
        <v>0</v>
      </c>
    </row>
    <row r="1063" customFormat="false" ht="15" hidden="false" customHeight="false" outlineLevel="0" collapsed="false">
      <c r="A1063" s="3" t="s">
        <v>1248</v>
      </c>
      <c r="B1063" s="3" t="n">
        <v>350</v>
      </c>
      <c r="C1063" s="11" t="str">
        <f aca="false">IF(M1063&gt;=Assumptions!$B$17,"S+",IF(M1063&gt;=Assumptions!$B$18,"S",IF(M1063&gt;=Assumptions!$B$19,"A",IF(M1063&gt;=Assumptions!$B$20,"B",IF(M1063&gt;=Assumptions!$B$21,"C",IF(M1063&gt;=Assumptions!$B$22,"D","F"))))))</f>
        <v>F</v>
      </c>
      <c r="D1063" s="3" t="s">
        <v>218</v>
      </c>
      <c r="E1063" s="3" t="n">
        <v>4</v>
      </c>
      <c r="F1063" s="12" t="n">
        <v>0.9489</v>
      </c>
      <c r="G1063" s="12" t="n">
        <v>0.8</v>
      </c>
      <c r="H1063" s="12" t="n">
        <v>0.75</v>
      </c>
      <c r="I1063" s="12" t="n">
        <v>0.8376</v>
      </c>
      <c r="J1063" s="12" t="n">
        <v>0.2946</v>
      </c>
      <c r="K1063" s="12" t="n">
        <v>0.4559</v>
      </c>
      <c r="L1063" s="3" t="n">
        <v>5.88</v>
      </c>
      <c r="M1063" s="12" t="n">
        <f aca="false">Z1063-W1063</f>
        <v>-0.057259</v>
      </c>
      <c r="N1063" s="12" t="n">
        <f aca="false">IFERROR((Z1063-J1063)/L1063,"")</f>
        <v>0.0274219387755102</v>
      </c>
      <c r="O1063" s="3" t="n">
        <v>16</v>
      </c>
      <c r="P1063" s="13" t="b">
        <f aca="false">FALSE()</f>
        <v>0</v>
      </c>
      <c r="Q1063" s="3" t="s">
        <v>166</v>
      </c>
      <c r="R1063" s="12" t="n">
        <v>0.9089</v>
      </c>
      <c r="S1063" s="12" t="n">
        <v>0.0922</v>
      </c>
      <c r="T1063" s="3" t="n">
        <v>0.2475</v>
      </c>
      <c r="U1063" s="12" t="n">
        <v>0.3029</v>
      </c>
      <c r="V1063" s="12" t="n">
        <v>0.3871</v>
      </c>
      <c r="W1063" s="12" t="n">
        <v>0.5131</v>
      </c>
      <c r="X1063" s="3" t="n">
        <v>0.1266</v>
      </c>
      <c r="Y1063" s="3" t="n">
        <v>0.8287</v>
      </c>
      <c r="Z1063" s="14" t="n">
        <f aca="false">Assumptions!$B$3*R1063+Assumptions!$B$4*S1063+IF(AA1063=1,Assumptions!$B$11,Assumptions!$B$5)*X1063+IF(AA1063=1,Assumptions!$B$12,Assumptions!$B$6)*T1063+Assumptions!$B$7*U1063+Assumptions!$B$8*V1063+Assumptions!$B$9*Y1063</f>
        <v>0.455841</v>
      </c>
      <c r="AA1063" s="3" t="n">
        <v>0</v>
      </c>
    </row>
    <row r="1064" customFormat="false" ht="15" hidden="false" customHeight="false" outlineLevel="0" collapsed="false">
      <c r="A1064" s="3" t="s">
        <v>1249</v>
      </c>
      <c r="B1064" s="3" t="n">
        <v>270</v>
      </c>
      <c r="C1064" s="11" t="str">
        <f aca="false">IF(M1064&gt;=Assumptions!$B$17,"S+",IF(M1064&gt;=Assumptions!$B$18,"S",IF(M1064&gt;=Assumptions!$B$19,"A",IF(M1064&gt;=Assumptions!$B$20,"B",IF(M1064&gt;=Assumptions!$B$21,"C",IF(M1064&gt;=Assumptions!$B$22,"D","F"))))))</f>
        <v>F</v>
      </c>
      <c r="D1064" s="3" t="s">
        <v>218</v>
      </c>
      <c r="E1064" s="3" t="n">
        <v>2</v>
      </c>
      <c r="F1064" s="12" t="n">
        <v>0.4378</v>
      </c>
      <c r="G1064" s="12" t="n">
        <v>1</v>
      </c>
      <c r="H1064" s="12" t="n">
        <v>0.75</v>
      </c>
      <c r="I1064" s="12" t="n">
        <v>0.7701</v>
      </c>
      <c r="J1064" s="12" t="n">
        <v>0.2773</v>
      </c>
      <c r="K1064" s="12" t="n">
        <v>0.4501</v>
      </c>
      <c r="L1064" s="3" t="n">
        <v>5.75</v>
      </c>
      <c r="M1064" s="12" t="n">
        <f aca="false">Z1064-W1064</f>
        <v>-0.057414</v>
      </c>
      <c r="N1064" s="12" t="n">
        <f aca="false">IFERROR((Z1064-J1064)/L1064,"")</f>
        <v>0.0300497391304348</v>
      </c>
      <c r="O1064" s="3" t="n">
        <v>18</v>
      </c>
      <c r="P1064" s="13" t="b">
        <f aca="false">FALSE()</f>
        <v>0</v>
      </c>
      <c r="Q1064" s="3" t="s">
        <v>166</v>
      </c>
      <c r="R1064" s="12" t="n">
        <v>0.7128</v>
      </c>
      <c r="S1064" s="12" t="n">
        <v>0.155</v>
      </c>
      <c r="T1064" s="3" t="n">
        <v>0.4447</v>
      </c>
      <c r="U1064" s="12" t="n">
        <v>0.4274</v>
      </c>
      <c r="V1064" s="12" t="n">
        <v>0.4848</v>
      </c>
      <c r="W1064" s="12" t="n">
        <v>0.5075</v>
      </c>
      <c r="X1064" s="3" t="n">
        <v>0.1176</v>
      </c>
      <c r="Y1064" s="3" t="n">
        <v>0.7326</v>
      </c>
      <c r="Z1064" s="14" t="n">
        <f aca="false">Assumptions!$B$3*R1064+Assumptions!$B$4*S1064+IF(AA1064=1,Assumptions!$B$11,Assumptions!$B$5)*X1064+IF(AA1064=1,Assumptions!$B$12,Assumptions!$B$6)*T1064+Assumptions!$B$7*U1064+Assumptions!$B$8*V1064+Assumptions!$B$9*Y1064</f>
        <v>0.450086</v>
      </c>
      <c r="AA1064" s="3" t="n">
        <v>0</v>
      </c>
    </row>
    <row r="1065" customFormat="false" ht="15" hidden="false" customHeight="false" outlineLevel="0" collapsed="false">
      <c r="A1065" s="3" t="s">
        <v>1250</v>
      </c>
      <c r="B1065" s="3" t="n">
        <v>305</v>
      </c>
      <c r="C1065" s="11" t="str">
        <f aca="false">IF(M1065&gt;=Assumptions!$B$17,"S+",IF(M1065&gt;=Assumptions!$B$18,"S",IF(M1065&gt;=Assumptions!$B$19,"A",IF(M1065&gt;=Assumptions!$B$20,"B",IF(M1065&gt;=Assumptions!$B$21,"C",IF(M1065&gt;=Assumptions!$B$22,"D","F"))))))</f>
        <v>F</v>
      </c>
      <c r="D1065" s="3" t="s">
        <v>197</v>
      </c>
      <c r="E1065" s="3" t="n">
        <v>3</v>
      </c>
      <c r="F1065" s="12" t="n">
        <v>0.4828</v>
      </c>
      <c r="G1065" s="12" t="n">
        <v>1</v>
      </c>
      <c r="H1065" s="12" t="n">
        <v>0.75</v>
      </c>
      <c r="I1065" s="12" t="n">
        <v>0.7535</v>
      </c>
      <c r="J1065" s="12" t="n">
        <v>0.2326</v>
      </c>
      <c r="K1065" s="12" t="n">
        <v>0.4434</v>
      </c>
      <c r="L1065" s="3" t="n">
        <v>6.56</v>
      </c>
      <c r="M1065" s="12" t="n">
        <f aca="false">Z1065-W1065</f>
        <v>-0.057985</v>
      </c>
      <c r="N1065" s="12" t="n">
        <f aca="false">IFERROR((Z1065-J1065)/L1065,"")</f>
        <v>0.0321364329268293</v>
      </c>
      <c r="O1065" s="3" t="n">
        <v>17</v>
      </c>
      <c r="P1065" s="13" t="b">
        <f aca="false">FALSE()</f>
        <v>0</v>
      </c>
      <c r="Q1065" s="3" t="s">
        <v>166</v>
      </c>
      <c r="R1065" s="12" t="n">
        <v>0.6421</v>
      </c>
      <c r="S1065" s="12" t="n">
        <v>0.2433</v>
      </c>
      <c r="T1065" s="3" t="n">
        <v>0.1404</v>
      </c>
      <c r="U1065" s="12" t="n">
        <v>0.4027</v>
      </c>
      <c r="V1065" s="12" t="n">
        <v>0.3802</v>
      </c>
      <c r="W1065" s="12" t="n">
        <v>0.5014</v>
      </c>
      <c r="X1065" s="3" t="n">
        <v>0.4204</v>
      </c>
      <c r="Y1065" s="3" t="n">
        <v>0.7377</v>
      </c>
      <c r="Z1065" s="14" t="n">
        <f aca="false">Assumptions!$B$3*R1065+Assumptions!$B$4*S1065+IF(AA1065=1,Assumptions!$B$11,Assumptions!$B$5)*X1065+IF(AA1065=1,Assumptions!$B$12,Assumptions!$B$6)*T1065+Assumptions!$B$7*U1065+Assumptions!$B$8*V1065+Assumptions!$B$9*Y1065</f>
        <v>0.443415</v>
      </c>
      <c r="AA1065" s="3" t="n">
        <v>0</v>
      </c>
    </row>
    <row r="1066" customFormat="false" ht="15" hidden="false" customHeight="false" outlineLevel="0" collapsed="false">
      <c r="A1066" s="3" t="s">
        <v>1251</v>
      </c>
      <c r="B1066" s="3" t="n">
        <v>320</v>
      </c>
      <c r="C1066" s="11" t="str">
        <f aca="false">IF(M1066&gt;=Assumptions!$B$17,"S+",IF(M1066&gt;=Assumptions!$B$18,"S",IF(M1066&gt;=Assumptions!$B$19,"A",IF(M1066&gt;=Assumptions!$B$20,"B",IF(M1066&gt;=Assumptions!$B$21,"C",IF(M1066&gt;=Assumptions!$B$22,"D","F"))))))</f>
        <v>F</v>
      </c>
      <c r="D1066" s="3" t="s">
        <v>228</v>
      </c>
      <c r="E1066" s="3" t="n">
        <v>1</v>
      </c>
      <c r="F1066" s="12" t="n">
        <v>0.5992</v>
      </c>
      <c r="G1066" s="12" t="n">
        <v>0.6</v>
      </c>
      <c r="H1066" s="12" t="n">
        <v>0.75</v>
      </c>
      <c r="I1066" s="12" t="n">
        <v>0.6297</v>
      </c>
      <c r="J1066" s="12" t="n">
        <v>0.2834</v>
      </c>
      <c r="K1066" s="12" t="n">
        <v>0.4171</v>
      </c>
      <c r="L1066" s="3" t="n">
        <v>6.58</v>
      </c>
      <c r="M1066" s="12" t="n">
        <f aca="false">Z1066-W1066</f>
        <v>-0.058042</v>
      </c>
      <c r="N1066" s="12" t="n">
        <f aca="false">IFERROR((Z1066-J1066)/L1066,"")</f>
        <v>0.0203127659574468</v>
      </c>
      <c r="O1066" s="3" t="n">
        <v>19</v>
      </c>
      <c r="P1066" s="13" t="b">
        <f aca="false">FALSE()</f>
        <v>0</v>
      </c>
      <c r="Q1066" s="3" t="s">
        <v>166</v>
      </c>
      <c r="R1066" s="12" t="n">
        <v>0.6751</v>
      </c>
      <c r="S1066" s="12" t="n">
        <v>0.2366</v>
      </c>
      <c r="T1066" s="3" t="n">
        <v>0.3496</v>
      </c>
      <c r="U1066" s="12" t="n">
        <v>0.3441</v>
      </c>
      <c r="V1066" s="12" t="n">
        <v>0.4614</v>
      </c>
      <c r="W1066" s="12" t="n">
        <v>0.4751</v>
      </c>
      <c r="X1066" s="3" t="n">
        <v>0.1091</v>
      </c>
      <c r="Y1066" s="3" t="n">
        <v>0.6147</v>
      </c>
      <c r="Z1066" s="14" t="n">
        <f aca="false">Assumptions!$B$3*R1066+Assumptions!$B$4*S1066+IF(AA1066=1,Assumptions!$B$11,Assumptions!$B$5)*X1066+IF(AA1066=1,Assumptions!$B$12,Assumptions!$B$6)*T1066+Assumptions!$B$7*U1066+Assumptions!$B$8*V1066+Assumptions!$B$9*Y1066</f>
        <v>0.417058</v>
      </c>
      <c r="AA1066" s="3" t="n">
        <v>0</v>
      </c>
    </row>
    <row r="1067" customFormat="false" ht="15" hidden="false" customHeight="false" outlineLevel="0" collapsed="false">
      <c r="A1067" s="3" t="s">
        <v>1252</v>
      </c>
      <c r="B1067" s="3" t="n">
        <v>320</v>
      </c>
      <c r="C1067" s="11" t="str">
        <f aca="false">IF(M1067&gt;=Assumptions!$B$17,"S+",IF(M1067&gt;=Assumptions!$B$18,"S",IF(M1067&gt;=Assumptions!$B$19,"A",IF(M1067&gt;=Assumptions!$B$20,"B",IF(M1067&gt;=Assumptions!$B$21,"C",IF(M1067&gt;=Assumptions!$B$22,"D","F"))))))</f>
        <v>F</v>
      </c>
      <c r="D1067" s="3" t="s">
        <v>253</v>
      </c>
      <c r="E1067" s="3" t="n">
        <v>1</v>
      </c>
      <c r="F1067" s="12" t="n">
        <v>0.6993</v>
      </c>
      <c r="G1067" s="12" t="n">
        <v>0.6</v>
      </c>
      <c r="H1067" s="12" t="n">
        <v>0.75</v>
      </c>
      <c r="I1067" s="12" t="n">
        <v>0.6618</v>
      </c>
      <c r="J1067" s="12" t="n">
        <v>0.33</v>
      </c>
      <c r="K1067" s="12" t="n">
        <v>0.4594</v>
      </c>
      <c r="L1067" s="3" t="n">
        <v>5.61</v>
      </c>
      <c r="M1067" s="12" t="n">
        <f aca="false">Z1067-W1067</f>
        <v>-0.058165</v>
      </c>
      <c r="N1067" s="12" t="n">
        <f aca="false">IFERROR((Z1067-J1067)/L1067,"")</f>
        <v>0.023054367201426</v>
      </c>
      <c r="O1067" s="3" t="n">
        <v>19</v>
      </c>
      <c r="P1067" s="13" t="b">
        <f aca="false">FALSE()</f>
        <v>0</v>
      </c>
      <c r="Q1067" s="3" t="s">
        <v>166</v>
      </c>
      <c r="R1067" s="12" t="n">
        <v>0.6243</v>
      </c>
      <c r="S1067" s="12" t="n">
        <v>0.3974</v>
      </c>
      <c r="T1067" s="3" t="n">
        <v>0.1253</v>
      </c>
      <c r="U1067" s="12" t="n">
        <v>0.417</v>
      </c>
      <c r="V1067" s="12" t="n">
        <v>0.4857</v>
      </c>
      <c r="W1067" s="12" t="n">
        <v>0.5175</v>
      </c>
      <c r="X1067" s="3" t="n">
        <v>0.4164</v>
      </c>
      <c r="Y1067" s="3" t="n">
        <v>0.6062</v>
      </c>
      <c r="Z1067" s="14" t="n">
        <f aca="false">Assumptions!$B$3*R1067+Assumptions!$B$4*S1067+IF(AA1067=1,Assumptions!$B$11,Assumptions!$B$5)*X1067+IF(AA1067=1,Assumptions!$B$12,Assumptions!$B$6)*T1067+Assumptions!$B$7*U1067+Assumptions!$B$8*V1067+Assumptions!$B$9*Y1067</f>
        <v>0.459335</v>
      </c>
      <c r="AA1067" s="3" t="n">
        <v>0</v>
      </c>
    </row>
    <row r="1068" customFormat="false" ht="15" hidden="false" customHeight="false" outlineLevel="0" collapsed="false">
      <c r="A1068" s="3" t="s">
        <v>1253</v>
      </c>
      <c r="B1068" s="3" t="n">
        <v>309</v>
      </c>
      <c r="C1068" s="11" t="str">
        <f aca="false">IF(M1068&gt;=Assumptions!$B$17,"S+",IF(M1068&gt;=Assumptions!$B$18,"S",IF(M1068&gt;=Assumptions!$B$19,"A",IF(M1068&gt;=Assumptions!$B$20,"B",IF(M1068&gt;=Assumptions!$B$21,"C",IF(M1068&gt;=Assumptions!$B$22,"D","F"))))))</f>
        <v>F</v>
      </c>
      <c r="D1068" s="3" t="s">
        <v>228</v>
      </c>
      <c r="E1068" s="3" t="n">
        <v>1</v>
      </c>
      <c r="F1068" s="12" t="n">
        <v>0.5209</v>
      </c>
      <c r="G1068" s="12" t="n">
        <v>0.6</v>
      </c>
      <c r="H1068" s="12" t="n">
        <v>0.75</v>
      </c>
      <c r="I1068" s="12" t="n">
        <v>0.6047</v>
      </c>
      <c r="J1068" s="12" t="n">
        <v>0.2153</v>
      </c>
      <c r="K1068" s="12" t="n">
        <v>0.4242</v>
      </c>
      <c r="L1068" s="3" t="n">
        <v>5.68</v>
      </c>
      <c r="M1068" s="12" t="n">
        <f aca="false">Z1068-W1068</f>
        <v>-0.0583159999999999</v>
      </c>
      <c r="N1068" s="12" t="n">
        <f aca="false">IFERROR((Z1068-J1068)/L1068,"")</f>
        <v>0.0367753521126761</v>
      </c>
      <c r="O1068" s="3" t="n">
        <v>19</v>
      </c>
      <c r="P1068" s="13" t="b">
        <f aca="false">FALSE()</f>
        <v>0</v>
      </c>
      <c r="Q1068" s="3" t="s">
        <v>166</v>
      </c>
      <c r="R1068" s="12" t="n">
        <v>0.7637</v>
      </c>
      <c r="S1068" s="12" t="n">
        <v>0.1998</v>
      </c>
      <c r="T1068" s="3" t="n">
        <v>0.3613</v>
      </c>
      <c r="U1068" s="12" t="n">
        <v>0.3158</v>
      </c>
      <c r="V1068" s="12" t="n">
        <v>0.4614</v>
      </c>
      <c r="W1068" s="12" t="n">
        <v>0.4825</v>
      </c>
      <c r="X1068" s="3" t="n">
        <v>0.0677</v>
      </c>
      <c r="Y1068" s="3" t="n">
        <v>0.5913</v>
      </c>
      <c r="Z1068" s="14" t="n">
        <f aca="false">Assumptions!$B$3*R1068+Assumptions!$B$4*S1068+IF(AA1068=1,Assumptions!$B$11,Assumptions!$B$5)*X1068+IF(AA1068=1,Assumptions!$B$12,Assumptions!$B$6)*T1068+Assumptions!$B$7*U1068+Assumptions!$B$8*V1068+Assumptions!$B$9*Y1068</f>
        <v>0.424184</v>
      </c>
      <c r="AA1068" s="3" t="n">
        <v>0</v>
      </c>
    </row>
    <row r="1069" customFormat="false" ht="15" hidden="false" customHeight="false" outlineLevel="0" collapsed="false">
      <c r="A1069" s="3" t="s">
        <v>1254</v>
      </c>
      <c r="B1069" s="3" t="n">
        <v>423</v>
      </c>
      <c r="C1069" s="11" t="str">
        <f aca="false">IF(M1069&gt;=Assumptions!$B$17,"S+",IF(M1069&gt;=Assumptions!$B$18,"S",IF(M1069&gt;=Assumptions!$B$19,"A",IF(M1069&gt;=Assumptions!$B$20,"B",IF(M1069&gt;=Assumptions!$B$21,"C",IF(M1069&gt;=Assumptions!$B$22,"D","F"))))))</f>
        <v>F</v>
      </c>
      <c r="D1069" s="3" t="s">
        <v>218</v>
      </c>
      <c r="E1069" s="3" t="n">
        <v>7</v>
      </c>
      <c r="F1069" s="12" t="n">
        <v>0.7587</v>
      </c>
      <c r="G1069" s="12" t="n">
        <v>0.4</v>
      </c>
      <c r="H1069" s="12" t="n">
        <v>0.75</v>
      </c>
      <c r="I1069" s="12" t="n">
        <v>0.5848</v>
      </c>
      <c r="J1069" s="12" t="n">
        <v>0.2778</v>
      </c>
      <c r="K1069" s="12" t="n">
        <v>0.4523</v>
      </c>
      <c r="L1069" s="3" t="n">
        <v>4</v>
      </c>
      <c r="M1069" s="12" t="n">
        <f aca="false">Z1069-W1069</f>
        <v>-0.058373</v>
      </c>
      <c r="N1069" s="12" t="n">
        <f aca="false">IFERROR((Z1069-J1069)/L1069,"")</f>
        <v>0.04363175</v>
      </c>
      <c r="O1069" s="3" t="n">
        <v>13</v>
      </c>
      <c r="P1069" s="13" t="b">
        <f aca="false">FALSE()</f>
        <v>0</v>
      </c>
      <c r="Q1069" s="3" t="s">
        <v>166</v>
      </c>
      <c r="R1069" s="12" t="n">
        <v>0.778</v>
      </c>
      <c r="S1069" s="12" t="n">
        <v>0.3406</v>
      </c>
      <c r="T1069" s="3" t="n">
        <v>0.1933</v>
      </c>
      <c r="U1069" s="12" t="n">
        <v>0.3018</v>
      </c>
      <c r="V1069" s="12" t="n">
        <v>0.4061</v>
      </c>
      <c r="W1069" s="12" t="n">
        <v>0.5107</v>
      </c>
      <c r="X1069" s="3" t="n">
        <v>0.282</v>
      </c>
      <c r="Y1069" s="3" t="n">
        <v>0.5579</v>
      </c>
      <c r="Z1069" s="14" t="n">
        <f aca="false">Assumptions!$B$3*R1069+Assumptions!$B$4*S1069+IF(AA1069=1,Assumptions!$B$11,Assumptions!$B$5)*X1069+IF(AA1069=1,Assumptions!$B$12,Assumptions!$B$6)*T1069+Assumptions!$B$7*U1069+Assumptions!$B$8*V1069+Assumptions!$B$9*Y1069</f>
        <v>0.452327</v>
      </c>
      <c r="AA1069" s="3" t="n">
        <v>0</v>
      </c>
    </row>
    <row r="1070" customFormat="false" ht="15" hidden="false" customHeight="false" outlineLevel="0" collapsed="false">
      <c r="A1070" s="3" t="s">
        <v>1255</v>
      </c>
      <c r="B1070" s="3" t="n">
        <v>310</v>
      </c>
      <c r="C1070" s="11" t="str">
        <f aca="false">IF(M1070&gt;=Assumptions!$B$17,"S+",IF(M1070&gt;=Assumptions!$B$18,"S",IF(M1070&gt;=Assumptions!$B$19,"A",IF(M1070&gt;=Assumptions!$B$20,"B",IF(M1070&gt;=Assumptions!$B$21,"C",IF(M1070&gt;=Assumptions!$B$22,"D","F"))))))</f>
        <v>F</v>
      </c>
      <c r="D1070" s="3" t="s">
        <v>197</v>
      </c>
      <c r="E1070" s="3" t="n">
        <v>1</v>
      </c>
      <c r="F1070" s="12" t="n">
        <v>0.6942</v>
      </c>
      <c r="G1070" s="12" t="n">
        <v>0.6</v>
      </c>
      <c r="H1070" s="12" t="n">
        <v>0.75</v>
      </c>
      <c r="I1070" s="12" t="n">
        <v>0.6658</v>
      </c>
      <c r="J1070" s="12" t="n">
        <v>0.2995</v>
      </c>
      <c r="K1070" s="12" t="n">
        <v>0.4464</v>
      </c>
      <c r="L1070" s="3" t="n">
        <v>5.55</v>
      </c>
      <c r="M1070" s="12" t="n">
        <f aca="false">Z1070-W1070</f>
        <v>-0.058443</v>
      </c>
      <c r="N1070" s="12" t="n">
        <f aca="false">IFERROR((Z1070-J1070)/L1070,"")</f>
        <v>0.0264607207207207</v>
      </c>
      <c r="O1070" s="3" t="n">
        <v>19</v>
      </c>
      <c r="P1070" s="13" t="b">
        <f aca="false">FALSE()</f>
        <v>0</v>
      </c>
      <c r="Q1070" s="3" t="s">
        <v>166</v>
      </c>
      <c r="R1070" s="12" t="n">
        <v>0.5627</v>
      </c>
      <c r="S1070" s="12" t="n">
        <v>0.3208</v>
      </c>
      <c r="T1070" s="3" t="n">
        <v>0.3421</v>
      </c>
      <c r="U1070" s="12" t="n">
        <v>0.4494</v>
      </c>
      <c r="V1070" s="12" t="n">
        <v>0.4905</v>
      </c>
      <c r="W1070" s="12" t="n">
        <v>0.5048</v>
      </c>
      <c r="X1070" s="3" t="n">
        <v>0.3078</v>
      </c>
      <c r="Y1070" s="3" t="n">
        <v>0.6274</v>
      </c>
      <c r="Z1070" s="14" t="n">
        <f aca="false">Assumptions!$B$3*R1070+Assumptions!$B$4*S1070+IF(AA1070=1,Assumptions!$B$11,Assumptions!$B$5)*X1070+IF(AA1070=1,Assumptions!$B$12,Assumptions!$B$6)*T1070+Assumptions!$B$7*U1070+Assumptions!$B$8*V1070+Assumptions!$B$9*Y1070</f>
        <v>0.446357</v>
      </c>
      <c r="AA1070" s="3" t="n">
        <v>0</v>
      </c>
    </row>
    <row r="1071" customFormat="false" ht="15" hidden="false" customHeight="false" outlineLevel="0" collapsed="false">
      <c r="A1071" s="3" t="s">
        <v>1256</v>
      </c>
      <c r="B1071" s="3" t="n">
        <v>312</v>
      </c>
      <c r="C1071" s="11" t="str">
        <f aca="false">IF(M1071&gt;=Assumptions!$B$17,"S+",IF(M1071&gt;=Assumptions!$B$18,"S",IF(M1071&gt;=Assumptions!$B$19,"A",IF(M1071&gt;=Assumptions!$B$20,"B",IF(M1071&gt;=Assumptions!$B$21,"C",IF(M1071&gt;=Assumptions!$B$22,"D","F"))))))</f>
        <v>F</v>
      </c>
      <c r="D1071" s="3" t="s">
        <v>175</v>
      </c>
      <c r="E1071" s="3" t="n">
        <v>7</v>
      </c>
      <c r="F1071" s="12" t="n">
        <v>0.4122</v>
      </c>
      <c r="G1071" s="12" t="n">
        <v>0.45</v>
      </c>
      <c r="H1071" s="12" t="n">
        <v>0.75</v>
      </c>
      <c r="I1071" s="12" t="n">
        <v>0.5043</v>
      </c>
      <c r="J1071" s="12" t="n">
        <v>0.256</v>
      </c>
      <c r="K1071" s="12" t="n">
        <v>0.3995</v>
      </c>
      <c r="L1071" s="3" t="n">
        <v>6</v>
      </c>
      <c r="M1071" s="12" t="n">
        <f aca="false">Z1071-W1071</f>
        <v>-0.058539</v>
      </c>
      <c r="N1071" s="12" t="n">
        <f aca="false">IFERROR((Z1071-J1071)/L1071,"")</f>
        <v>0.0239101666666667</v>
      </c>
      <c r="O1071" s="3" t="n">
        <v>13</v>
      </c>
      <c r="P1071" s="13" t="b">
        <f aca="false">FALSE()</f>
        <v>0</v>
      </c>
      <c r="Q1071" s="3" t="s">
        <v>166</v>
      </c>
      <c r="R1071" s="12" t="n">
        <v>0.6024</v>
      </c>
      <c r="S1071" s="12" t="n">
        <v>0.2719</v>
      </c>
      <c r="T1071" s="3" t="n">
        <v>0.1956</v>
      </c>
      <c r="U1071" s="12" t="n">
        <v>0.2722</v>
      </c>
      <c r="V1071" s="12" t="n">
        <v>0.5366</v>
      </c>
      <c r="W1071" s="12" t="n">
        <v>0.458</v>
      </c>
      <c r="X1071" s="3" t="n">
        <v>0.2734</v>
      </c>
      <c r="Y1071" s="3" t="n">
        <v>0.4859</v>
      </c>
      <c r="Z1071" s="14" t="n">
        <f aca="false">Assumptions!$B$3*R1071+Assumptions!$B$4*S1071+IF(AA1071=1,Assumptions!$B$11,Assumptions!$B$5)*X1071+IF(AA1071=1,Assumptions!$B$12,Assumptions!$B$6)*T1071+Assumptions!$B$7*U1071+Assumptions!$B$8*V1071+Assumptions!$B$9*Y1071</f>
        <v>0.399461</v>
      </c>
      <c r="AA1071" s="3" t="n">
        <v>0</v>
      </c>
    </row>
    <row r="1072" customFormat="false" ht="15" hidden="false" customHeight="false" outlineLevel="0" collapsed="false">
      <c r="A1072" s="3" t="s">
        <v>1257</v>
      </c>
      <c r="B1072" s="3" t="n">
        <v>300</v>
      </c>
      <c r="C1072" s="11" t="str">
        <f aca="false">IF(M1072&gt;=Assumptions!$B$17,"S+",IF(M1072&gt;=Assumptions!$B$18,"S",IF(M1072&gt;=Assumptions!$B$19,"A",IF(M1072&gt;=Assumptions!$B$20,"B",IF(M1072&gt;=Assumptions!$B$21,"C",IF(M1072&gt;=Assumptions!$B$22,"D","F"))))))</f>
        <v>F</v>
      </c>
      <c r="D1072" s="3" t="s">
        <v>228</v>
      </c>
      <c r="E1072" s="3" t="n">
        <v>1</v>
      </c>
      <c r="F1072" s="12" t="n">
        <v>0.6172</v>
      </c>
      <c r="G1072" s="12" t="n">
        <v>0.6</v>
      </c>
      <c r="H1072" s="12" t="n">
        <v>0.75</v>
      </c>
      <c r="I1072" s="12" t="n">
        <v>0.6355</v>
      </c>
      <c r="J1072" s="12" t="n">
        <v>0.2794</v>
      </c>
      <c r="K1072" s="12" t="n">
        <v>0.4309</v>
      </c>
      <c r="L1072" s="3" t="n">
        <v>5.66</v>
      </c>
      <c r="M1072" s="12" t="n">
        <f aca="false">Z1072-W1072</f>
        <v>-0.058636</v>
      </c>
      <c r="N1072" s="12" t="n">
        <f aca="false">IFERROR((Z1072-J1072)/L1072,"")</f>
        <v>0.0267604240282686</v>
      </c>
      <c r="O1072" s="3" t="n">
        <v>19</v>
      </c>
      <c r="P1072" s="13" t="b">
        <f aca="false">FALSE()</f>
        <v>0</v>
      </c>
      <c r="Q1072" s="3" t="s">
        <v>166</v>
      </c>
      <c r="R1072" s="12" t="n">
        <v>0.7776</v>
      </c>
      <c r="S1072" s="12" t="n">
        <v>0.2804</v>
      </c>
      <c r="T1072" s="3" t="n">
        <v>0.2382</v>
      </c>
      <c r="U1072" s="12" t="n">
        <v>0.3684</v>
      </c>
      <c r="V1072" s="12" t="n">
        <v>0.4468</v>
      </c>
      <c r="W1072" s="12" t="n">
        <v>0.4895</v>
      </c>
      <c r="X1072" s="3" t="n">
        <v>0.0551</v>
      </c>
      <c r="Y1072" s="3" t="n">
        <v>0.6324</v>
      </c>
      <c r="Z1072" s="14" t="n">
        <f aca="false">Assumptions!$B$3*R1072+Assumptions!$B$4*S1072+IF(AA1072=1,Assumptions!$B$11,Assumptions!$B$5)*X1072+IF(AA1072=1,Assumptions!$B$12,Assumptions!$B$6)*T1072+Assumptions!$B$7*U1072+Assumptions!$B$8*V1072+Assumptions!$B$9*Y1072</f>
        <v>0.430864</v>
      </c>
      <c r="AA1072" s="3" t="n">
        <v>0</v>
      </c>
    </row>
    <row r="1073" customFormat="false" ht="15" hidden="false" customHeight="false" outlineLevel="0" collapsed="false">
      <c r="A1073" s="3" t="s">
        <v>1258</v>
      </c>
      <c r="B1073" s="3" t="n">
        <v>380</v>
      </c>
      <c r="C1073" s="11" t="str">
        <f aca="false">IF(M1073&gt;=Assumptions!$B$17,"S+",IF(M1073&gt;=Assumptions!$B$18,"S",IF(M1073&gt;=Assumptions!$B$19,"A",IF(M1073&gt;=Assumptions!$B$20,"B",IF(M1073&gt;=Assumptions!$B$21,"C",IF(M1073&gt;=Assumptions!$B$22,"D","F"))))))</f>
        <v>F</v>
      </c>
      <c r="D1073" s="3" t="s">
        <v>197</v>
      </c>
      <c r="E1073" s="3" t="n">
        <v>2</v>
      </c>
      <c r="F1073" s="12" t="n">
        <v>0.2035</v>
      </c>
      <c r="G1073" s="12" t="n">
        <v>1</v>
      </c>
      <c r="H1073" s="12" t="n">
        <v>0.75</v>
      </c>
      <c r="I1073" s="12" t="n">
        <v>0.6473</v>
      </c>
      <c r="J1073" s="12" t="n">
        <v>0.2264</v>
      </c>
      <c r="K1073" s="12" t="n">
        <v>0.4288</v>
      </c>
      <c r="L1073" s="3" t="n">
        <v>4.78</v>
      </c>
      <c r="M1073" s="12" t="n">
        <f aca="false">Z1073-W1073</f>
        <v>-0.058769</v>
      </c>
      <c r="N1073" s="12" t="n">
        <f aca="false">IFERROR((Z1073-J1073)/L1073,"")</f>
        <v>0.0423286610878661</v>
      </c>
      <c r="O1073" s="3" t="n">
        <v>18</v>
      </c>
      <c r="P1073" s="13" t="b">
        <f aca="false">FALSE()</f>
        <v>0</v>
      </c>
      <c r="Q1073" s="3" t="s">
        <v>166</v>
      </c>
      <c r="R1073" s="12" t="n">
        <v>0.5729</v>
      </c>
      <c r="S1073" s="12" t="n">
        <v>0.3991</v>
      </c>
      <c r="T1073" s="3" t="n">
        <v>0.1409</v>
      </c>
      <c r="U1073" s="12" t="n">
        <v>0.4145</v>
      </c>
      <c r="V1073" s="12" t="n">
        <v>0.3422</v>
      </c>
      <c r="W1073" s="12" t="n">
        <v>0.4875</v>
      </c>
      <c r="X1073" s="3" t="n">
        <v>0.4047</v>
      </c>
      <c r="Y1073" s="3" t="n">
        <v>0.5916</v>
      </c>
      <c r="Z1073" s="14" t="n">
        <f aca="false">Assumptions!$B$3*R1073+Assumptions!$B$4*S1073+IF(AA1073=1,Assumptions!$B$11,Assumptions!$B$5)*X1073+IF(AA1073=1,Assumptions!$B$12,Assumptions!$B$6)*T1073+Assumptions!$B$7*U1073+Assumptions!$B$8*V1073+Assumptions!$B$9*Y1073</f>
        <v>0.428731</v>
      </c>
      <c r="AA1073" s="3" t="n">
        <v>0</v>
      </c>
    </row>
    <row r="1074" customFormat="false" ht="15" hidden="false" customHeight="false" outlineLevel="0" collapsed="false">
      <c r="A1074" s="3" t="s">
        <v>1259</v>
      </c>
      <c r="B1074" s="3" t="n">
        <v>315</v>
      </c>
      <c r="C1074" s="11" t="str">
        <f aca="false">IF(M1074&gt;=Assumptions!$B$17,"S+",IF(M1074&gt;=Assumptions!$B$18,"S",IF(M1074&gt;=Assumptions!$B$19,"A",IF(M1074&gt;=Assumptions!$B$20,"B",IF(M1074&gt;=Assumptions!$B$21,"C",IF(M1074&gt;=Assumptions!$B$22,"D","F"))))))</f>
        <v>F</v>
      </c>
      <c r="D1074" s="3" t="s">
        <v>173</v>
      </c>
      <c r="E1074" s="3" t="n">
        <v>1</v>
      </c>
      <c r="F1074" s="12" t="n">
        <v>0.558</v>
      </c>
      <c r="G1074" s="12" t="n">
        <v>0.45</v>
      </c>
      <c r="H1074" s="12" t="n">
        <v>0.75</v>
      </c>
      <c r="I1074" s="12" t="n">
        <v>0.5294</v>
      </c>
      <c r="J1074" s="12" t="n">
        <v>0.2692</v>
      </c>
      <c r="K1074" s="12" t="n">
        <v>0.399</v>
      </c>
      <c r="L1074" s="3" t="n">
        <v>5.5</v>
      </c>
      <c r="M1074" s="12" t="n">
        <f aca="false">Z1074-W1074</f>
        <v>-0.0595410000000001</v>
      </c>
      <c r="N1074" s="12" t="n">
        <f aca="false">IFERROR((Z1074-J1074)/L1074,"")</f>
        <v>0.0235925454545454</v>
      </c>
      <c r="O1074" s="3" t="n">
        <v>19</v>
      </c>
      <c r="P1074" s="13" t="b">
        <f aca="false">FALSE()</f>
        <v>0</v>
      </c>
      <c r="Q1074" s="3" t="s">
        <v>166</v>
      </c>
      <c r="R1074" s="12" t="n">
        <v>0.5328</v>
      </c>
      <c r="S1074" s="12" t="n">
        <v>0.446</v>
      </c>
      <c r="T1074" s="3" t="n">
        <v>0.3017</v>
      </c>
      <c r="U1074" s="12" t="n">
        <v>0.3522</v>
      </c>
      <c r="V1074" s="12" t="n">
        <v>0.4905</v>
      </c>
      <c r="W1074" s="12" t="n">
        <v>0.4585</v>
      </c>
      <c r="X1074" s="3" t="n">
        <v>0.1717</v>
      </c>
      <c r="Y1074" s="3" t="n">
        <v>0.5108</v>
      </c>
      <c r="Z1074" s="14" t="n">
        <f aca="false">Assumptions!$B$3*R1074+Assumptions!$B$4*S1074+IF(AA1074=1,Assumptions!$B$11,Assumptions!$B$5)*X1074+IF(AA1074=1,Assumptions!$B$12,Assumptions!$B$6)*T1074+Assumptions!$B$7*U1074+Assumptions!$B$8*V1074+Assumptions!$B$9*Y1074</f>
        <v>0.398959</v>
      </c>
      <c r="AA1074" s="3" t="n">
        <v>1</v>
      </c>
    </row>
    <row r="1075" customFormat="false" ht="15" hidden="false" customHeight="false" outlineLevel="0" collapsed="false">
      <c r="A1075" s="3" t="s">
        <v>1260</v>
      </c>
      <c r="B1075" s="3" t="n">
        <v>305</v>
      </c>
      <c r="C1075" s="11" t="str">
        <f aca="false">IF(M1075&gt;=Assumptions!$B$17,"S+",IF(M1075&gt;=Assumptions!$B$18,"S",IF(M1075&gt;=Assumptions!$B$19,"A",IF(M1075&gt;=Assumptions!$B$20,"B",IF(M1075&gt;=Assumptions!$B$21,"C",IF(M1075&gt;=Assumptions!$B$22,"D","F"))))))</f>
        <v>F</v>
      </c>
      <c r="D1075" s="3" t="s">
        <v>190</v>
      </c>
      <c r="E1075" s="3" t="n">
        <v>1</v>
      </c>
      <c r="F1075" s="12" t="n">
        <v>0.7471</v>
      </c>
      <c r="G1075" s="12" t="n">
        <v>1</v>
      </c>
      <c r="H1075" s="12" t="n">
        <v>0.75</v>
      </c>
      <c r="I1075" s="12" t="n">
        <v>0.8539</v>
      </c>
      <c r="J1075" s="12" t="n">
        <v>0.294</v>
      </c>
      <c r="K1075" s="12" t="n">
        <v>0.4336</v>
      </c>
      <c r="L1075" s="3" t="n">
        <v>6.53</v>
      </c>
      <c r="M1075" s="12" t="n">
        <f aca="false">Z1075-W1075</f>
        <v>-0.059818</v>
      </c>
      <c r="N1075" s="12" t="n">
        <f aca="false">IFERROR((Z1075-J1075)/L1075,"")</f>
        <v>0.0213754977029097</v>
      </c>
      <c r="O1075" s="3" t="n">
        <v>19</v>
      </c>
      <c r="P1075" s="13" t="b">
        <f aca="false">FALSE()</f>
        <v>0</v>
      </c>
      <c r="Q1075" s="3" t="s">
        <v>166</v>
      </c>
      <c r="R1075" s="12" t="n">
        <v>0.7596</v>
      </c>
      <c r="S1075" s="12" t="n">
        <v>0.1043</v>
      </c>
      <c r="T1075" s="3" t="n">
        <v>0.3838</v>
      </c>
      <c r="U1075" s="12" t="n">
        <v>0.3724</v>
      </c>
      <c r="V1075" s="12" t="n">
        <v>0.4463</v>
      </c>
      <c r="W1075" s="12" t="n">
        <v>0.4934</v>
      </c>
      <c r="X1075" s="3" t="n">
        <v>0.0707</v>
      </c>
      <c r="Y1075" s="3" t="n">
        <v>0.7674</v>
      </c>
      <c r="Z1075" s="14" t="n">
        <f aca="false">Assumptions!$B$3*R1075+Assumptions!$B$4*S1075+IF(AA1075=1,Assumptions!$B$11,Assumptions!$B$5)*X1075+IF(AA1075=1,Assumptions!$B$12,Assumptions!$B$6)*T1075+Assumptions!$B$7*U1075+Assumptions!$B$8*V1075+Assumptions!$B$9*Y1075</f>
        <v>0.433582</v>
      </c>
      <c r="AA1075" s="3" t="n">
        <v>0</v>
      </c>
    </row>
    <row r="1076" customFormat="false" ht="15" hidden="false" customHeight="false" outlineLevel="0" collapsed="false">
      <c r="A1076" s="3" t="s">
        <v>1261</v>
      </c>
      <c r="B1076" s="3" t="n">
        <v>360</v>
      </c>
      <c r="C1076" s="11" t="str">
        <f aca="false">IF(M1076&gt;=Assumptions!$B$17,"S+",IF(M1076&gt;=Assumptions!$B$18,"S",IF(M1076&gt;=Assumptions!$B$19,"A",IF(M1076&gt;=Assumptions!$B$20,"B",IF(M1076&gt;=Assumptions!$B$21,"C",IF(M1076&gt;=Assumptions!$B$22,"D","F"))))))</f>
        <v>F</v>
      </c>
      <c r="D1076" s="3" t="s">
        <v>218</v>
      </c>
      <c r="E1076" s="3" t="n">
        <v>2</v>
      </c>
      <c r="F1076" s="12" t="n">
        <v>0.5379</v>
      </c>
      <c r="G1076" s="12" t="n">
        <v>0.6</v>
      </c>
      <c r="H1076" s="12" t="n">
        <v>0.75</v>
      </c>
      <c r="I1076" s="12" t="n">
        <v>0.6101</v>
      </c>
      <c r="J1076" s="12" t="n">
        <v>0.3226</v>
      </c>
      <c r="K1076" s="12" t="n">
        <v>0.4585</v>
      </c>
      <c r="L1076" s="3" t="n">
        <v>5.81</v>
      </c>
      <c r="M1076" s="12" t="n">
        <f aca="false">Z1076-W1076</f>
        <v>-0.060197</v>
      </c>
      <c r="N1076" s="12" t="n">
        <f aca="false">IFERROR((Z1076-J1076)/L1076,"")</f>
        <v>0.0233912220309811</v>
      </c>
      <c r="O1076" s="3" t="n">
        <v>18</v>
      </c>
      <c r="P1076" s="13" t="b">
        <f aca="false">FALSE()</f>
        <v>0</v>
      </c>
      <c r="Q1076" s="3" t="s">
        <v>166</v>
      </c>
      <c r="R1076" s="12" t="n">
        <v>0.7485</v>
      </c>
      <c r="S1076" s="12" t="n">
        <v>0.3464</v>
      </c>
      <c r="T1076" s="3" t="n">
        <v>0.4151</v>
      </c>
      <c r="U1076" s="12" t="n">
        <v>0.3034</v>
      </c>
      <c r="V1076" s="12" t="n">
        <v>0.4579</v>
      </c>
      <c r="W1076" s="12" t="n">
        <v>0.5187</v>
      </c>
      <c r="X1076" s="3" t="n">
        <v>0.1272</v>
      </c>
      <c r="Y1076" s="3" t="n">
        <v>0.6106</v>
      </c>
      <c r="Z1076" s="14" t="n">
        <f aca="false">Assumptions!$B$3*R1076+Assumptions!$B$4*S1076+IF(AA1076=1,Assumptions!$B$11,Assumptions!$B$5)*X1076+IF(AA1076=1,Assumptions!$B$12,Assumptions!$B$6)*T1076+Assumptions!$B$7*U1076+Assumptions!$B$8*V1076+Assumptions!$B$9*Y1076</f>
        <v>0.458503</v>
      </c>
      <c r="AA1076" s="3" t="n">
        <v>0</v>
      </c>
    </row>
    <row r="1077" customFormat="false" ht="15" hidden="false" customHeight="false" outlineLevel="0" collapsed="false">
      <c r="A1077" s="3" t="s">
        <v>1262</v>
      </c>
      <c r="B1077" s="3" t="n">
        <v>305</v>
      </c>
      <c r="C1077" s="11" t="str">
        <f aca="false">IF(M1077&gt;=Assumptions!$B$17,"S+",IF(M1077&gt;=Assumptions!$B$18,"S",IF(M1077&gt;=Assumptions!$B$19,"A",IF(M1077&gt;=Assumptions!$B$20,"B",IF(M1077&gt;=Assumptions!$B$21,"C",IF(M1077&gt;=Assumptions!$B$22,"D","F"))))))</f>
        <v>F</v>
      </c>
      <c r="D1077" s="3" t="s">
        <v>173</v>
      </c>
      <c r="E1077" s="3" t="n">
        <v>7</v>
      </c>
      <c r="F1077" s="12" t="n">
        <v>0.5154</v>
      </c>
      <c r="G1077" s="12" t="n">
        <v>0.45</v>
      </c>
      <c r="H1077" s="12" t="n">
        <v>0.75</v>
      </c>
      <c r="I1077" s="12" t="n">
        <v>0.5218</v>
      </c>
      <c r="J1077" s="12" t="n">
        <v>0.1725</v>
      </c>
      <c r="K1077" s="12" t="n">
        <v>0.3564</v>
      </c>
      <c r="L1077" s="3" t="n">
        <v>6</v>
      </c>
      <c r="M1077" s="12" t="n">
        <f aca="false">Z1077-W1077</f>
        <v>-0.060504</v>
      </c>
      <c r="N1077" s="12" t="n">
        <f aca="false">IFERROR((Z1077-J1077)/L1077,"")</f>
        <v>0.0306493333333333</v>
      </c>
      <c r="O1077" s="3" t="n">
        <v>13</v>
      </c>
      <c r="P1077" s="13" t="b">
        <f aca="false">FALSE()</f>
        <v>0</v>
      </c>
      <c r="Q1077" s="3" t="s">
        <v>166</v>
      </c>
      <c r="R1077" s="12" t="n">
        <v>0.5818</v>
      </c>
      <c r="S1077" s="12" t="n">
        <v>0.1931</v>
      </c>
      <c r="T1077" s="3" t="n">
        <v>0.2077</v>
      </c>
      <c r="U1077" s="12" t="n">
        <v>0.3136</v>
      </c>
      <c r="V1077" s="12" t="n">
        <v>0.4619</v>
      </c>
      <c r="W1077" s="12" t="n">
        <v>0.4169</v>
      </c>
      <c r="X1077" s="3" t="n">
        <v>0.1394</v>
      </c>
      <c r="Y1077" s="3" t="n">
        <v>0.5223</v>
      </c>
      <c r="Z1077" s="14" t="n">
        <f aca="false">Assumptions!$B$3*R1077+Assumptions!$B$4*S1077+IF(AA1077=1,Assumptions!$B$11,Assumptions!$B$5)*X1077+IF(AA1077=1,Assumptions!$B$12,Assumptions!$B$6)*T1077+Assumptions!$B$7*U1077+Assumptions!$B$8*V1077+Assumptions!$B$9*Y1077</f>
        <v>0.356396</v>
      </c>
      <c r="AA1077" s="3" t="n">
        <v>1</v>
      </c>
    </row>
    <row r="1078" customFormat="false" ht="15" hidden="false" customHeight="false" outlineLevel="0" collapsed="false">
      <c r="A1078" s="3" t="s">
        <v>1263</v>
      </c>
      <c r="B1078" s="3" t="n">
        <v>315</v>
      </c>
      <c r="C1078" s="11" t="str">
        <f aca="false">IF(M1078&gt;=Assumptions!$B$17,"S+",IF(M1078&gt;=Assumptions!$B$18,"S",IF(M1078&gt;=Assumptions!$B$19,"A",IF(M1078&gt;=Assumptions!$B$20,"B",IF(M1078&gt;=Assumptions!$B$21,"C",IF(M1078&gt;=Assumptions!$B$22,"D","F"))))))</f>
        <v>F</v>
      </c>
      <c r="D1078" s="3" t="s">
        <v>218</v>
      </c>
      <c r="E1078" s="3" t="n">
        <v>3</v>
      </c>
      <c r="F1078" s="12" t="n">
        <v>0.8028</v>
      </c>
      <c r="G1078" s="12" t="n">
        <v>0.4</v>
      </c>
      <c r="H1078" s="12" t="n">
        <v>0.75</v>
      </c>
      <c r="I1078" s="12" t="n">
        <v>0.5989</v>
      </c>
      <c r="J1078" s="12" t="n">
        <v>0.2963</v>
      </c>
      <c r="K1078" s="12" t="n">
        <v>0.4503</v>
      </c>
      <c r="L1078" s="3" t="n">
        <v>5.74</v>
      </c>
      <c r="M1078" s="12" t="n">
        <f aca="false">Z1078-W1078</f>
        <v>-0.0609460000000001</v>
      </c>
      <c r="N1078" s="12" t="n">
        <f aca="false">IFERROR((Z1078-J1078)/L1078,"")</f>
        <v>0.0268212543554007</v>
      </c>
      <c r="O1078" s="3" t="n">
        <v>17</v>
      </c>
      <c r="P1078" s="13" t="b">
        <f aca="false">FALSE()</f>
        <v>0</v>
      </c>
      <c r="Q1078" s="3" t="s">
        <v>166</v>
      </c>
      <c r="R1078" s="12" t="n">
        <v>0.8815</v>
      </c>
      <c r="S1078" s="12" t="n">
        <v>0.238</v>
      </c>
      <c r="T1078" s="3" t="n">
        <v>0.1652</v>
      </c>
      <c r="U1078" s="12" t="n">
        <v>0.3167</v>
      </c>
      <c r="V1078" s="12" t="n">
        <v>0.3802</v>
      </c>
      <c r="W1078" s="12" t="n">
        <v>0.5112</v>
      </c>
      <c r="X1078" s="3" t="n">
        <v>0.1973</v>
      </c>
      <c r="Y1078" s="3" t="n">
        <v>0.6048</v>
      </c>
      <c r="Z1078" s="14" t="n">
        <f aca="false">Assumptions!$B$3*R1078+Assumptions!$B$4*S1078+IF(AA1078=1,Assumptions!$B$11,Assumptions!$B$5)*X1078+IF(AA1078=1,Assumptions!$B$12,Assumptions!$B$6)*T1078+Assumptions!$B$7*U1078+Assumptions!$B$8*V1078+Assumptions!$B$9*Y1078</f>
        <v>0.450254</v>
      </c>
      <c r="AA1078" s="3" t="n">
        <v>0</v>
      </c>
    </row>
    <row r="1079" customFormat="false" ht="15" hidden="false" customHeight="false" outlineLevel="0" collapsed="false">
      <c r="A1079" s="3" t="s">
        <v>1264</v>
      </c>
      <c r="B1079" s="3" t="n">
        <v>369</v>
      </c>
      <c r="C1079" s="11" t="str">
        <f aca="false">IF(M1079&gt;=Assumptions!$B$17,"S+",IF(M1079&gt;=Assumptions!$B$18,"S",IF(M1079&gt;=Assumptions!$B$19,"A",IF(M1079&gt;=Assumptions!$B$20,"B",IF(M1079&gt;=Assumptions!$B$21,"C",IF(M1079&gt;=Assumptions!$B$22,"D","F"))))))</f>
        <v>F</v>
      </c>
      <c r="D1079" s="3" t="s">
        <v>197</v>
      </c>
      <c r="E1079" s="3" t="n">
        <v>3</v>
      </c>
      <c r="F1079" s="12" t="n">
        <v>0.651</v>
      </c>
      <c r="G1079" s="12" t="n">
        <v>0.8</v>
      </c>
      <c r="H1079" s="12" t="n">
        <v>0.75</v>
      </c>
      <c r="I1079" s="12" t="n">
        <v>0.7334</v>
      </c>
      <c r="J1079" s="12" t="n">
        <v>0.3128</v>
      </c>
      <c r="K1079" s="12" t="n">
        <v>0.4403</v>
      </c>
      <c r="L1079" s="3" t="n">
        <v>6.85</v>
      </c>
      <c r="M1079" s="12" t="n">
        <f aca="false">Z1079-W1079</f>
        <v>-0.0610929999999999</v>
      </c>
      <c r="N1079" s="12" t="n">
        <f aca="false">IFERROR((Z1079-J1079)/L1079,"")</f>
        <v>0.0186141605839416</v>
      </c>
      <c r="O1079" s="3" t="n">
        <v>17</v>
      </c>
      <c r="P1079" s="13" t="b">
        <f aca="false">FALSE()</f>
        <v>0</v>
      </c>
      <c r="Q1079" s="3" t="s">
        <v>166</v>
      </c>
      <c r="R1079" s="12" t="n">
        <v>0.7084</v>
      </c>
      <c r="S1079" s="12" t="n">
        <v>0.2888</v>
      </c>
      <c r="T1079" s="3" t="n">
        <v>0.334</v>
      </c>
      <c r="U1079" s="12" t="n">
        <v>0.2489</v>
      </c>
      <c r="V1079" s="12" t="n">
        <v>0.4303</v>
      </c>
      <c r="W1079" s="12" t="n">
        <v>0.5014</v>
      </c>
      <c r="X1079" s="3" t="n">
        <v>0.181</v>
      </c>
      <c r="Y1079" s="3" t="n">
        <v>0.7154</v>
      </c>
      <c r="Z1079" s="14" t="n">
        <f aca="false">Assumptions!$B$3*R1079+Assumptions!$B$4*S1079+IF(AA1079=1,Assumptions!$B$11,Assumptions!$B$5)*X1079+IF(AA1079=1,Assumptions!$B$12,Assumptions!$B$6)*T1079+Assumptions!$B$7*U1079+Assumptions!$B$8*V1079+Assumptions!$B$9*Y1079</f>
        <v>0.440307</v>
      </c>
      <c r="AA1079" s="3" t="n">
        <v>0</v>
      </c>
    </row>
    <row r="1080" customFormat="false" ht="15" hidden="false" customHeight="false" outlineLevel="0" collapsed="false">
      <c r="A1080" s="3" t="s">
        <v>1265</v>
      </c>
      <c r="B1080" s="3" t="n">
        <v>305</v>
      </c>
      <c r="C1080" s="11" t="str">
        <f aca="false">IF(M1080&gt;=Assumptions!$B$17,"S+",IF(M1080&gt;=Assumptions!$B$18,"S",IF(M1080&gt;=Assumptions!$B$19,"A",IF(M1080&gt;=Assumptions!$B$20,"B",IF(M1080&gt;=Assumptions!$B$21,"C",IF(M1080&gt;=Assumptions!$B$22,"D","F"))))))</f>
        <v>F</v>
      </c>
      <c r="D1080" s="3" t="s">
        <v>253</v>
      </c>
      <c r="E1080" s="3" t="n">
        <v>1</v>
      </c>
      <c r="F1080" s="12" t="n">
        <v>0.7748</v>
      </c>
      <c r="G1080" s="12" t="n">
        <v>0.6</v>
      </c>
      <c r="H1080" s="12" t="n">
        <v>0.75</v>
      </c>
      <c r="I1080" s="12" t="n">
        <v>0.6859</v>
      </c>
      <c r="J1080" s="12" t="n">
        <v>0.2852</v>
      </c>
      <c r="K1080" s="12" t="n">
        <v>0.4668</v>
      </c>
      <c r="L1080" s="3" t="n">
        <v>5.5</v>
      </c>
      <c r="M1080" s="12" t="n">
        <f aca="false">Z1080-W1080</f>
        <v>-0.062002</v>
      </c>
      <c r="N1080" s="12" t="n">
        <f aca="false">IFERROR((Z1080-J1080)/L1080,"")</f>
        <v>0.0330178181818182</v>
      </c>
      <c r="O1080" s="3" t="n">
        <v>19</v>
      </c>
      <c r="P1080" s="13" t="b">
        <f aca="false">FALSE()</f>
        <v>0</v>
      </c>
      <c r="Q1080" s="3" t="s">
        <v>166</v>
      </c>
      <c r="R1080" s="12" t="n">
        <v>0.7006</v>
      </c>
      <c r="S1080" s="12" t="n">
        <v>0.1873</v>
      </c>
      <c r="T1080" s="3" t="n">
        <v>0.3338</v>
      </c>
      <c r="U1080" s="12" t="n">
        <v>0.5547</v>
      </c>
      <c r="V1080" s="12" t="n">
        <v>0.3797</v>
      </c>
      <c r="W1080" s="12" t="n">
        <v>0.5288</v>
      </c>
      <c r="X1080" s="3" t="n">
        <v>0.3169</v>
      </c>
      <c r="Y1080" s="3" t="n">
        <v>0.6855</v>
      </c>
      <c r="Z1080" s="14" t="n">
        <f aca="false">Assumptions!$B$3*R1080+Assumptions!$B$4*S1080+IF(AA1080=1,Assumptions!$B$11,Assumptions!$B$5)*X1080+IF(AA1080=1,Assumptions!$B$12,Assumptions!$B$6)*T1080+Assumptions!$B$7*U1080+Assumptions!$B$8*V1080+Assumptions!$B$9*Y1080</f>
        <v>0.466798</v>
      </c>
      <c r="AA1080" s="3" t="n">
        <v>0</v>
      </c>
    </row>
    <row r="1081" customFormat="false" ht="15" hidden="false" customHeight="false" outlineLevel="0" collapsed="false">
      <c r="A1081" s="3" t="s">
        <v>1266</v>
      </c>
      <c r="B1081" s="3" t="n">
        <v>305</v>
      </c>
      <c r="C1081" s="11" t="str">
        <f aca="false">IF(M1081&gt;=Assumptions!$B$17,"S+",IF(M1081&gt;=Assumptions!$B$18,"S",IF(M1081&gt;=Assumptions!$B$19,"A",IF(M1081&gt;=Assumptions!$B$20,"B",IF(M1081&gt;=Assumptions!$B$21,"C",IF(M1081&gt;=Assumptions!$B$22,"D","F"))))))</f>
        <v>F</v>
      </c>
      <c r="D1081" s="3" t="s">
        <v>228</v>
      </c>
      <c r="E1081" s="3" t="n">
        <v>3</v>
      </c>
      <c r="F1081" s="12" t="n">
        <v>0.6187</v>
      </c>
      <c r="G1081" s="12" t="n">
        <v>0.4</v>
      </c>
      <c r="H1081" s="12" t="n">
        <v>0.75</v>
      </c>
      <c r="I1081" s="12" t="n">
        <v>0.54</v>
      </c>
      <c r="J1081" s="12" t="n">
        <v>0.2755</v>
      </c>
      <c r="K1081" s="12" t="n">
        <v>0.415</v>
      </c>
      <c r="L1081" s="3" t="n">
        <v>5.85</v>
      </c>
      <c r="M1081" s="12" t="n">
        <f aca="false">Z1081-W1081</f>
        <v>-0.062683</v>
      </c>
      <c r="N1081" s="12" t="n">
        <f aca="false">IFERROR((Z1081-J1081)/L1081,"")</f>
        <v>0.0238490598290598</v>
      </c>
      <c r="O1081" s="3" t="n">
        <v>17</v>
      </c>
      <c r="P1081" s="13" t="b">
        <f aca="false">FALSE()</f>
        <v>0</v>
      </c>
      <c r="Q1081" s="3" t="s">
        <v>166</v>
      </c>
      <c r="R1081" s="12" t="n">
        <v>0.7211</v>
      </c>
      <c r="S1081" s="12" t="n">
        <v>0.2875</v>
      </c>
      <c r="T1081" s="3" t="n">
        <v>0.0789</v>
      </c>
      <c r="U1081" s="12" t="n">
        <v>0.3167</v>
      </c>
      <c r="V1081" s="12" t="n">
        <v>0.4462</v>
      </c>
      <c r="W1081" s="12" t="n">
        <v>0.4777</v>
      </c>
      <c r="X1081" s="3" t="n">
        <v>0.2496</v>
      </c>
      <c r="Y1081" s="3" t="n">
        <v>0.5425</v>
      </c>
      <c r="Z1081" s="14" t="n">
        <f aca="false">Assumptions!$B$3*R1081+Assumptions!$B$4*S1081+IF(AA1081=1,Assumptions!$B$11,Assumptions!$B$5)*X1081+IF(AA1081=1,Assumptions!$B$12,Assumptions!$B$6)*T1081+Assumptions!$B$7*U1081+Assumptions!$B$8*V1081+Assumptions!$B$9*Y1081</f>
        <v>0.415017</v>
      </c>
      <c r="AA1081" s="3" t="n">
        <v>0</v>
      </c>
    </row>
    <row r="1082" customFormat="false" ht="15" hidden="false" customHeight="false" outlineLevel="0" collapsed="false">
      <c r="A1082" s="3" t="s">
        <v>1267</v>
      </c>
      <c r="B1082" s="3" t="n">
        <v>309</v>
      </c>
      <c r="C1082" s="11" t="str">
        <f aca="false">IF(M1082&gt;=Assumptions!$B$17,"S+",IF(M1082&gt;=Assumptions!$B$18,"S",IF(M1082&gt;=Assumptions!$B$19,"A",IF(M1082&gt;=Assumptions!$B$20,"B",IF(M1082&gt;=Assumptions!$B$21,"C",IF(M1082&gt;=Assumptions!$B$22,"D","F"))))))</f>
        <v>F</v>
      </c>
      <c r="D1082" s="3" t="s">
        <v>253</v>
      </c>
      <c r="E1082" s="3" t="n">
        <v>1</v>
      </c>
      <c r="F1082" s="12" t="n">
        <v>0.505</v>
      </c>
      <c r="G1082" s="12" t="n">
        <v>0.8</v>
      </c>
      <c r="H1082" s="12" t="n">
        <v>0.75</v>
      </c>
      <c r="I1082" s="12" t="n">
        <v>0.6956</v>
      </c>
      <c r="J1082" s="12" t="n">
        <v>0.2214</v>
      </c>
      <c r="K1082" s="12" t="n">
        <v>0.4499</v>
      </c>
      <c r="L1082" s="3" t="n">
        <v>6.66</v>
      </c>
      <c r="M1082" s="12" t="n">
        <f aca="false">Z1082-W1082</f>
        <v>-0.062776</v>
      </c>
      <c r="N1082" s="12" t="n">
        <f aca="false">IFERROR((Z1082-J1082)/L1082,"")</f>
        <v>0.0343129129129129</v>
      </c>
      <c r="O1082" s="3" t="n">
        <v>19</v>
      </c>
      <c r="P1082" s="13" t="b">
        <f aca="false">FALSE()</f>
        <v>0</v>
      </c>
      <c r="Q1082" s="3" t="s">
        <v>166</v>
      </c>
      <c r="R1082" s="12" t="n">
        <v>0.6413</v>
      </c>
      <c r="S1082" s="12" t="n">
        <v>0.2778</v>
      </c>
      <c r="T1082" s="3" t="n">
        <v>0.3367</v>
      </c>
      <c r="U1082" s="12" t="n">
        <v>0.2632</v>
      </c>
      <c r="V1082" s="12" t="n">
        <v>0.4614</v>
      </c>
      <c r="W1082" s="12" t="n">
        <v>0.5127</v>
      </c>
      <c r="X1082" s="3" t="n">
        <v>0.3588</v>
      </c>
      <c r="Y1082" s="3" t="n">
        <v>0.6663</v>
      </c>
      <c r="Z1082" s="14" t="n">
        <f aca="false">Assumptions!$B$3*R1082+Assumptions!$B$4*S1082+IF(AA1082=1,Assumptions!$B$11,Assumptions!$B$5)*X1082+IF(AA1082=1,Assumptions!$B$12,Assumptions!$B$6)*T1082+Assumptions!$B$7*U1082+Assumptions!$B$8*V1082+Assumptions!$B$9*Y1082</f>
        <v>0.449924</v>
      </c>
      <c r="AA1082" s="3" t="n">
        <v>0</v>
      </c>
    </row>
    <row r="1083" customFormat="false" ht="15" hidden="false" customHeight="false" outlineLevel="0" collapsed="false">
      <c r="A1083" s="3" t="s">
        <v>1268</v>
      </c>
      <c r="B1083" s="3" t="n">
        <v>280</v>
      </c>
      <c r="C1083" s="11" t="str">
        <f aca="false">IF(M1083&gt;=Assumptions!$B$17,"S+",IF(M1083&gt;=Assumptions!$B$18,"S",IF(M1083&gt;=Assumptions!$B$19,"A",IF(M1083&gt;=Assumptions!$B$20,"B",IF(M1083&gt;=Assumptions!$B$21,"C",IF(M1083&gt;=Assumptions!$B$22,"D","F"))))))</f>
        <v>F</v>
      </c>
      <c r="D1083" s="3" t="s">
        <v>186</v>
      </c>
      <c r="E1083" s="3" t="n">
        <v>1</v>
      </c>
      <c r="F1083" s="12" t="n">
        <v>0.5386</v>
      </c>
      <c r="G1083" s="12" t="n">
        <v>0.85</v>
      </c>
      <c r="H1083" s="12" t="n">
        <v>0.75</v>
      </c>
      <c r="I1083" s="12" t="n">
        <v>0.7739</v>
      </c>
      <c r="J1083" s="12" t="n">
        <v>0.2817</v>
      </c>
      <c r="K1083" s="12" t="n">
        <v>0.3998</v>
      </c>
      <c r="L1083" s="3" t="n">
        <v>5.55</v>
      </c>
      <c r="M1083" s="12" t="n">
        <f aca="false">Z1083-W1083</f>
        <v>-0.062951</v>
      </c>
      <c r="N1083" s="12" t="n">
        <f aca="false">IFERROR((Z1083-J1083)/L1083,"")</f>
        <v>0.0212700900900901</v>
      </c>
      <c r="O1083" s="3" t="n">
        <v>19</v>
      </c>
      <c r="P1083" s="13" t="b">
        <f aca="false">FALSE()</f>
        <v>0</v>
      </c>
      <c r="Q1083" s="3" t="s">
        <v>166</v>
      </c>
      <c r="R1083" s="12" t="n">
        <v>0.6339</v>
      </c>
      <c r="S1083" s="12" t="n">
        <v>0.2981</v>
      </c>
      <c r="T1083" s="3" t="n">
        <v>0.1034</v>
      </c>
      <c r="U1083" s="12" t="n">
        <v>0.3036</v>
      </c>
      <c r="V1083" s="12" t="n">
        <v>0.3872</v>
      </c>
      <c r="W1083" s="12" t="n">
        <v>0.4627</v>
      </c>
      <c r="X1083" s="3" t="n">
        <v>0.1938</v>
      </c>
      <c r="Y1083" s="3" t="n">
        <v>0.6662</v>
      </c>
      <c r="Z1083" s="14" t="n">
        <f aca="false">Assumptions!$B$3*R1083+Assumptions!$B$4*S1083+IF(AA1083=1,Assumptions!$B$11,Assumptions!$B$5)*X1083+IF(AA1083=1,Assumptions!$B$12,Assumptions!$B$6)*T1083+Assumptions!$B$7*U1083+Assumptions!$B$8*V1083+Assumptions!$B$9*Y1083</f>
        <v>0.399749</v>
      </c>
      <c r="AA1083" s="3" t="n">
        <v>1</v>
      </c>
    </row>
    <row r="1084" customFormat="false" ht="15" hidden="false" customHeight="false" outlineLevel="0" collapsed="false">
      <c r="A1084" s="3" t="s">
        <v>1269</v>
      </c>
      <c r="B1084" s="3" t="n">
        <v>340</v>
      </c>
      <c r="C1084" s="11" t="str">
        <f aca="false">IF(M1084&gt;=Assumptions!$B$17,"S+",IF(M1084&gt;=Assumptions!$B$18,"S",IF(M1084&gt;=Assumptions!$B$19,"A",IF(M1084&gt;=Assumptions!$B$20,"B",IF(M1084&gt;=Assumptions!$B$21,"C",IF(M1084&gt;=Assumptions!$B$22,"D","F"))))))</f>
        <v>F</v>
      </c>
      <c r="D1084" s="3" t="s">
        <v>218</v>
      </c>
      <c r="E1084" s="3" t="n">
        <v>6</v>
      </c>
      <c r="F1084" s="12" t="n">
        <v>0.5667</v>
      </c>
      <c r="G1084" s="12" t="n">
        <v>0.6</v>
      </c>
      <c r="H1084" s="12" t="n">
        <v>0.75</v>
      </c>
      <c r="I1084" s="12" t="n">
        <v>0.6194</v>
      </c>
      <c r="J1084" s="12" t="n">
        <v>0.2947</v>
      </c>
      <c r="K1084" s="12" t="n">
        <v>0.4461</v>
      </c>
      <c r="L1084" s="3" t="n">
        <v>5</v>
      </c>
      <c r="M1084" s="12" t="n">
        <f aca="false">Z1084-W1084</f>
        <v>-0.0631249999999999</v>
      </c>
      <c r="N1084" s="12" t="n">
        <f aca="false">IFERROR((Z1084-J1084)/L1084,"")</f>
        <v>0.030275</v>
      </c>
      <c r="O1084" s="3" t="n">
        <v>14</v>
      </c>
      <c r="P1084" s="13" t="b">
        <f aca="false">FALSE()</f>
        <v>0</v>
      </c>
      <c r="Q1084" s="3" t="s">
        <v>166</v>
      </c>
      <c r="R1084" s="12" t="n">
        <v>0.7467</v>
      </c>
      <c r="S1084" s="12" t="n">
        <v>0.2303</v>
      </c>
      <c r="T1084" s="3" t="n">
        <v>0.1687</v>
      </c>
      <c r="U1084" s="12" t="n">
        <v>0.5275</v>
      </c>
      <c r="V1084" s="12" t="n">
        <v>0.4704</v>
      </c>
      <c r="W1084" s="12" t="n">
        <v>0.5092</v>
      </c>
      <c r="X1084" s="3" t="n">
        <v>0.19</v>
      </c>
      <c r="Y1084" s="3" t="n">
        <v>0.6225</v>
      </c>
      <c r="Z1084" s="14" t="n">
        <f aca="false">Assumptions!$B$3*R1084+Assumptions!$B$4*S1084+IF(AA1084=1,Assumptions!$B$11,Assumptions!$B$5)*X1084+IF(AA1084=1,Assumptions!$B$12,Assumptions!$B$6)*T1084+Assumptions!$B$7*U1084+Assumptions!$B$8*V1084+Assumptions!$B$9*Y1084</f>
        <v>0.446075</v>
      </c>
      <c r="AA1084" s="3" t="n">
        <v>0</v>
      </c>
    </row>
    <row r="1085" customFormat="false" ht="15" hidden="false" customHeight="false" outlineLevel="0" collapsed="false">
      <c r="A1085" s="3" t="s">
        <v>1270</v>
      </c>
      <c r="B1085" s="3" t="n">
        <v>314</v>
      </c>
      <c r="C1085" s="11" t="str">
        <f aca="false">IF(M1085&gt;=Assumptions!$B$17,"S+",IF(M1085&gt;=Assumptions!$B$18,"S",IF(M1085&gt;=Assumptions!$B$19,"A",IF(M1085&gt;=Assumptions!$B$20,"B",IF(M1085&gt;=Assumptions!$B$21,"C",IF(M1085&gt;=Assumptions!$B$22,"D","F"))))))</f>
        <v>F</v>
      </c>
      <c r="D1085" s="3" t="s">
        <v>197</v>
      </c>
      <c r="E1085" s="3" t="n">
        <v>1</v>
      </c>
      <c r="F1085" s="12" t="n">
        <v>0.6523</v>
      </c>
      <c r="G1085" s="12" t="n">
        <v>0.6</v>
      </c>
      <c r="H1085" s="12" t="n">
        <v>0.75</v>
      </c>
      <c r="I1085" s="12" t="n">
        <v>0.6499</v>
      </c>
      <c r="J1085" s="12" t="n">
        <v>0.3001</v>
      </c>
      <c r="K1085" s="12" t="n">
        <v>0.4416</v>
      </c>
      <c r="L1085" s="3" t="n">
        <v>5.66</v>
      </c>
      <c r="M1085" s="12" t="n">
        <f aca="false">Z1085-W1085</f>
        <v>-0.0631860000000001</v>
      </c>
      <c r="N1085" s="12" t="n">
        <f aca="false">IFERROR((Z1085-J1085)/L1085,"")</f>
        <v>0.0250024734982332</v>
      </c>
      <c r="O1085" s="3" t="n">
        <v>19</v>
      </c>
      <c r="P1085" s="13" t="b">
        <f aca="false">FALSE()</f>
        <v>0</v>
      </c>
      <c r="Q1085" s="3" t="s">
        <v>166</v>
      </c>
      <c r="R1085" s="12" t="n">
        <v>0.6384</v>
      </c>
      <c r="S1085" s="12" t="n">
        <v>0.2551</v>
      </c>
      <c r="T1085" s="3" t="n">
        <v>0.3999</v>
      </c>
      <c r="U1085" s="12" t="n">
        <v>0.4453</v>
      </c>
      <c r="V1085" s="12" t="n">
        <v>0.4905</v>
      </c>
      <c r="W1085" s="12" t="n">
        <v>0.5048</v>
      </c>
      <c r="X1085" s="3" t="n">
        <v>0.1627</v>
      </c>
      <c r="Y1085" s="3" t="n">
        <v>0.6486</v>
      </c>
      <c r="Z1085" s="14" t="n">
        <f aca="false">Assumptions!$B$3*R1085+Assumptions!$B$4*S1085+IF(AA1085=1,Assumptions!$B$11,Assumptions!$B$5)*X1085+IF(AA1085=1,Assumptions!$B$12,Assumptions!$B$6)*T1085+Assumptions!$B$7*U1085+Assumptions!$B$8*V1085+Assumptions!$B$9*Y1085</f>
        <v>0.441614</v>
      </c>
      <c r="AA1085" s="3" t="n">
        <v>0</v>
      </c>
    </row>
    <row r="1086" customFormat="false" ht="15" hidden="false" customHeight="false" outlineLevel="0" collapsed="false">
      <c r="A1086" s="3" t="s">
        <v>1271</v>
      </c>
      <c r="B1086" s="3" t="n">
        <v>280</v>
      </c>
      <c r="C1086" s="11" t="str">
        <f aca="false">IF(M1086&gt;=Assumptions!$B$17,"S+",IF(M1086&gt;=Assumptions!$B$18,"S",IF(M1086&gt;=Assumptions!$B$19,"A",IF(M1086&gt;=Assumptions!$B$20,"B",IF(M1086&gt;=Assumptions!$B$21,"C",IF(M1086&gt;=Assumptions!$B$22,"D","F"))))))</f>
        <v>F</v>
      </c>
      <c r="D1086" s="3" t="s">
        <v>175</v>
      </c>
      <c r="E1086" s="3" t="n">
        <v>1</v>
      </c>
      <c r="F1086" s="12" t="n">
        <v>0.5803</v>
      </c>
      <c r="G1086" s="12" t="n">
        <v>0.45</v>
      </c>
      <c r="H1086" s="12" t="n">
        <v>0.75</v>
      </c>
      <c r="I1086" s="12" t="n">
        <v>0.5295</v>
      </c>
      <c r="J1086" s="12" t="n">
        <v>0.2599</v>
      </c>
      <c r="K1086" s="12" t="n">
        <v>0.4233</v>
      </c>
      <c r="L1086" s="3" t="n">
        <v>5.71</v>
      </c>
      <c r="M1086" s="12" t="n">
        <f aca="false">Z1086-W1086</f>
        <v>-0.063989</v>
      </c>
      <c r="N1086" s="12" t="n">
        <f aca="false">IFERROR((Z1086-J1086)/L1086,"")</f>
        <v>0.0286183887915937</v>
      </c>
      <c r="O1086" s="3" t="n">
        <v>19</v>
      </c>
      <c r="P1086" s="13" t="b">
        <f aca="false">FALSE()</f>
        <v>0</v>
      </c>
      <c r="Q1086" s="3" t="s">
        <v>166</v>
      </c>
      <c r="R1086" s="12" t="n">
        <v>0.6919</v>
      </c>
      <c r="S1086" s="12" t="n">
        <v>0.3476</v>
      </c>
      <c r="T1086" s="3" t="n">
        <v>0.1353</v>
      </c>
      <c r="U1086" s="12" t="n">
        <v>0.2551</v>
      </c>
      <c r="V1086" s="12" t="n">
        <v>0.4579</v>
      </c>
      <c r="W1086" s="12" t="n">
        <v>0.4873</v>
      </c>
      <c r="X1086" s="3" t="n">
        <v>0.3032</v>
      </c>
      <c r="Y1086" s="3" t="n">
        <v>0.5065</v>
      </c>
      <c r="Z1086" s="14" t="n">
        <f aca="false">Assumptions!$B$3*R1086+Assumptions!$B$4*S1086+IF(AA1086=1,Assumptions!$B$11,Assumptions!$B$5)*X1086+IF(AA1086=1,Assumptions!$B$12,Assumptions!$B$6)*T1086+Assumptions!$B$7*U1086+Assumptions!$B$8*V1086+Assumptions!$B$9*Y1086</f>
        <v>0.423311</v>
      </c>
      <c r="AA1086" s="3" t="n">
        <v>0</v>
      </c>
    </row>
    <row r="1087" customFormat="false" ht="15" hidden="false" customHeight="false" outlineLevel="0" collapsed="false">
      <c r="A1087" s="3" t="s">
        <v>1272</v>
      </c>
      <c r="B1087" s="3" t="n">
        <v>290</v>
      </c>
      <c r="C1087" s="11" t="str">
        <f aca="false">IF(M1087&gt;=Assumptions!$B$17,"S+",IF(M1087&gt;=Assumptions!$B$18,"S",IF(M1087&gt;=Assumptions!$B$19,"A",IF(M1087&gt;=Assumptions!$B$20,"B",IF(M1087&gt;=Assumptions!$B$21,"C",IF(M1087&gt;=Assumptions!$B$22,"D","F"))))))</f>
        <v>F</v>
      </c>
      <c r="D1087" s="3" t="s">
        <v>218</v>
      </c>
      <c r="E1087" s="3" t="n">
        <v>2</v>
      </c>
      <c r="F1087" s="12" t="n">
        <v>0.8561</v>
      </c>
      <c r="G1087" s="12" t="n">
        <v>0.8</v>
      </c>
      <c r="H1087" s="12" t="n">
        <v>0.75</v>
      </c>
      <c r="I1087" s="12" t="n">
        <v>0.808</v>
      </c>
      <c r="J1087" s="12" t="n">
        <v>0.3227</v>
      </c>
      <c r="K1087" s="12" t="n">
        <v>0.4373</v>
      </c>
      <c r="L1087" s="3" t="n">
        <v>6.89</v>
      </c>
      <c r="M1087" s="12" t="n">
        <f aca="false">Z1087-W1087</f>
        <v>-0.0641889999999999</v>
      </c>
      <c r="N1087" s="12" t="n">
        <f aca="false">IFERROR((Z1087-J1087)/L1087,"")</f>
        <v>0.0166343976777939</v>
      </c>
      <c r="O1087" s="3" t="n">
        <v>18</v>
      </c>
      <c r="P1087" s="13" t="b">
        <f aca="false">FALSE()</f>
        <v>0</v>
      </c>
      <c r="Q1087" s="3" t="s">
        <v>166</v>
      </c>
      <c r="R1087" s="12" t="n">
        <v>0.7622</v>
      </c>
      <c r="S1087" s="12" t="n">
        <v>0.288</v>
      </c>
      <c r="T1087" s="3" t="n">
        <v>0.0372</v>
      </c>
      <c r="U1087" s="12" t="n">
        <v>0.3888</v>
      </c>
      <c r="V1087" s="12" t="n">
        <v>0.4741</v>
      </c>
      <c r="W1087" s="12" t="n">
        <v>0.5015</v>
      </c>
      <c r="X1087" s="3" t="n">
        <v>0.1409</v>
      </c>
      <c r="Y1087" s="3" t="n">
        <v>0.779</v>
      </c>
      <c r="Z1087" s="14" t="n">
        <f aca="false">Assumptions!$B$3*R1087+Assumptions!$B$4*S1087+IF(AA1087=1,Assumptions!$B$11,Assumptions!$B$5)*X1087+IF(AA1087=1,Assumptions!$B$12,Assumptions!$B$6)*T1087+Assumptions!$B$7*U1087+Assumptions!$B$8*V1087+Assumptions!$B$9*Y1087</f>
        <v>0.437311</v>
      </c>
      <c r="AA1087" s="3" t="n">
        <v>0</v>
      </c>
    </row>
    <row r="1088" customFormat="false" ht="15" hidden="false" customHeight="false" outlineLevel="0" collapsed="false">
      <c r="A1088" s="3" t="s">
        <v>1273</v>
      </c>
      <c r="B1088" s="3" t="n">
        <v>360</v>
      </c>
      <c r="C1088" s="11" t="str">
        <f aca="false">IF(M1088&gt;=Assumptions!$B$17,"S+",IF(M1088&gt;=Assumptions!$B$18,"S",IF(M1088&gt;=Assumptions!$B$19,"A",IF(M1088&gt;=Assumptions!$B$20,"B",IF(M1088&gt;=Assumptions!$B$21,"C",IF(M1088&gt;=Assumptions!$B$22,"D","F"))))))</f>
        <v>F</v>
      </c>
      <c r="D1088" s="3" t="s">
        <v>228</v>
      </c>
      <c r="E1088" s="3" t="n">
        <v>2</v>
      </c>
      <c r="F1088" s="12" t="n">
        <v>0.6662</v>
      </c>
      <c r="G1088" s="12" t="n">
        <v>0.4</v>
      </c>
      <c r="H1088" s="12" t="n">
        <v>0.75</v>
      </c>
      <c r="I1088" s="12" t="n">
        <v>0.5552</v>
      </c>
      <c r="J1088" s="12" t="n">
        <v>0.2689</v>
      </c>
      <c r="K1088" s="12" t="n">
        <v>0.4178</v>
      </c>
      <c r="L1088" s="3" t="n">
        <v>3.81</v>
      </c>
      <c r="M1088" s="12" t="n">
        <f aca="false">Z1088-W1088</f>
        <v>-0.064623</v>
      </c>
      <c r="N1088" s="12" t="n">
        <f aca="false">IFERROR((Z1088-J1088)/L1088,"")</f>
        <v>0.0390753280839895</v>
      </c>
      <c r="O1088" s="3" t="n">
        <v>18</v>
      </c>
      <c r="P1088" s="13" t="b">
        <f aca="false">FALSE()</f>
        <v>0</v>
      </c>
      <c r="Q1088" s="3" t="s">
        <v>166</v>
      </c>
      <c r="R1088" s="12" t="n">
        <v>0.6743</v>
      </c>
      <c r="S1088" s="12" t="n">
        <v>0.3736</v>
      </c>
      <c r="T1088" s="3" t="n">
        <v>0.1675</v>
      </c>
      <c r="U1088" s="12" t="n">
        <v>0.2265</v>
      </c>
      <c r="V1088" s="12" t="n">
        <v>0.4579</v>
      </c>
      <c r="W1088" s="12" t="n">
        <v>0.4824</v>
      </c>
      <c r="X1088" s="3" t="n">
        <v>0.2435</v>
      </c>
      <c r="Y1088" s="3" t="n">
        <v>0.5434</v>
      </c>
      <c r="Z1088" s="14" t="n">
        <f aca="false">Assumptions!$B$3*R1088+Assumptions!$B$4*S1088+IF(AA1088=1,Assumptions!$B$11,Assumptions!$B$5)*X1088+IF(AA1088=1,Assumptions!$B$12,Assumptions!$B$6)*T1088+Assumptions!$B$7*U1088+Assumptions!$B$8*V1088+Assumptions!$B$9*Y1088</f>
        <v>0.417777</v>
      </c>
      <c r="AA1088" s="3" t="n">
        <v>0</v>
      </c>
    </row>
    <row r="1089" customFormat="false" ht="15" hidden="false" customHeight="false" outlineLevel="0" collapsed="false">
      <c r="A1089" s="3" t="s">
        <v>1274</v>
      </c>
      <c r="B1089" s="3" t="n">
        <v>295</v>
      </c>
      <c r="C1089" s="11" t="str">
        <f aca="false">IF(M1089&gt;=Assumptions!$B$17,"S+",IF(M1089&gt;=Assumptions!$B$18,"S",IF(M1089&gt;=Assumptions!$B$19,"A",IF(M1089&gt;=Assumptions!$B$20,"B",IF(M1089&gt;=Assumptions!$B$21,"C",IF(M1089&gt;=Assumptions!$B$22,"D","F"))))))</f>
        <v>F</v>
      </c>
      <c r="D1089" s="3" t="s">
        <v>197</v>
      </c>
      <c r="E1089" s="3" t="n">
        <v>1</v>
      </c>
      <c r="F1089" s="12" t="n">
        <v>0.646</v>
      </c>
      <c r="G1089" s="12" t="n">
        <v>0.8</v>
      </c>
      <c r="H1089" s="12" t="n">
        <v>0.75</v>
      </c>
      <c r="I1089" s="12" t="n">
        <v>0.7315</v>
      </c>
      <c r="J1089" s="12" t="n">
        <v>0.2643</v>
      </c>
      <c r="K1089" s="12" t="n">
        <v>0.434</v>
      </c>
      <c r="L1089" s="3" t="n">
        <v>5.34</v>
      </c>
      <c r="M1089" s="12" t="n">
        <f aca="false">Z1089-W1089</f>
        <v>-0.064863</v>
      </c>
      <c r="N1089" s="12" t="n">
        <f aca="false">IFERROR((Z1089-J1089)/L1089,"")</f>
        <v>0.0317859550561798</v>
      </c>
      <c r="O1089" s="3" t="n">
        <v>19</v>
      </c>
      <c r="P1089" s="13" t="b">
        <f aca="false">FALSE()</f>
        <v>0</v>
      </c>
      <c r="Q1089" s="3" t="s">
        <v>166</v>
      </c>
      <c r="R1089" s="12" t="n">
        <v>0.7526</v>
      </c>
      <c r="S1089" s="12" t="n">
        <v>0.236</v>
      </c>
      <c r="T1089" s="3" t="n">
        <v>0.3514</v>
      </c>
      <c r="U1089" s="12" t="n">
        <v>0.2955</v>
      </c>
      <c r="V1089" s="12" t="n">
        <v>0.4905</v>
      </c>
      <c r="W1089" s="12" t="n">
        <v>0.4989</v>
      </c>
      <c r="X1089" s="3" t="n">
        <v>0.1143</v>
      </c>
      <c r="Y1089" s="3" t="n">
        <v>0.59</v>
      </c>
      <c r="Z1089" s="14" t="n">
        <f aca="false">Assumptions!$B$3*R1089+Assumptions!$B$4*S1089+IF(AA1089=1,Assumptions!$B$11,Assumptions!$B$5)*X1089+IF(AA1089=1,Assumptions!$B$12,Assumptions!$B$6)*T1089+Assumptions!$B$7*U1089+Assumptions!$B$8*V1089+Assumptions!$B$9*Y1089</f>
        <v>0.434037</v>
      </c>
      <c r="AA1089" s="3" t="n">
        <v>0</v>
      </c>
    </row>
    <row r="1090" customFormat="false" ht="15" hidden="false" customHeight="false" outlineLevel="0" collapsed="false">
      <c r="A1090" s="3" t="s">
        <v>1275</v>
      </c>
      <c r="B1090" s="3" t="n">
        <v>303</v>
      </c>
      <c r="C1090" s="11" t="str">
        <f aca="false">IF(M1090&gt;=Assumptions!$B$17,"S+",IF(M1090&gt;=Assumptions!$B$18,"S",IF(M1090&gt;=Assumptions!$B$19,"A",IF(M1090&gt;=Assumptions!$B$20,"B",IF(M1090&gt;=Assumptions!$B$21,"C",IF(M1090&gt;=Assumptions!$B$22,"D","F"))))))</f>
        <v>F</v>
      </c>
      <c r="D1090" s="3" t="s">
        <v>218</v>
      </c>
      <c r="E1090" s="3" t="n">
        <v>2</v>
      </c>
      <c r="F1090" s="12" t="n">
        <v>0.6675</v>
      </c>
      <c r="G1090" s="12" t="n">
        <v>0.6</v>
      </c>
      <c r="H1090" s="12" t="n">
        <v>0.75</v>
      </c>
      <c r="I1090" s="12" t="n">
        <v>0.6516</v>
      </c>
      <c r="J1090" s="12" t="n">
        <v>0.3</v>
      </c>
      <c r="K1090" s="12" t="n">
        <v>0.4336</v>
      </c>
      <c r="L1090" s="3" t="n">
        <v>3.86</v>
      </c>
      <c r="M1090" s="12" t="n">
        <f aca="false">Z1090-W1090</f>
        <v>-0.0651029999999999</v>
      </c>
      <c r="N1090" s="12" t="n">
        <f aca="false">IFERROR((Z1090-J1090)/L1090,"")</f>
        <v>0.0346106217616581</v>
      </c>
      <c r="O1090" s="3" t="n">
        <v>18</v>
      </c>
      <c r="P1090" s="13" t="b">
        <f aca="false">FALSE()</f>
        <v>0</v>
      </c>
      <c r="Q1090" s="3" t="s">
        <v>166</v>
      </c>
      <c r="R1090" s="12" t="n">
        <v>0.7555</v>
      </c>
      <c r="S1090" s="12" t="n">
        <v>0.346</v>
      </c>
      <c r="T1090" s="3" t="n">
        <v>0.1102</v>
      </c>
      <c r="U1090" s="12" t="n">
        <v>0.3675</v>
      </c>
      <c r="V1090" s="12" t="n">
        <v>0.5251</v>
      </c>
      <c r="W1090" s="12" t="n">
        <v>0.4987</v>
      </c>
      <c r="X1090" s="3" t="n">
        <v>0.1337</v>
      </c>
      <c r="Y1090" s="3" t="n">
        <v>0.5614</v>
      </c>
      <c r="Z1090" s="14" t="n">
        <f aca="false">Assumptions!$B$3*R1090+Assumptions!$B$4*S1090+IF(AA1090=1,Assumptions!$B$11,Assumptions!$B$5)*X1090+IF(AA1090=1,Assumptions!$B$12,Assumptions!$B$6)*T1090+Assumptions!$B$7*U1090+Assumptions!$B$8*V1090+Assumptions!$B$9*Y1090</f>
        <v>0.433597</v>
      </c>
      <c r="AA1090" s="3" t="n">
        <v>0</v>
      </c>
    </row>
    <row r="1091" customFormat="false" ht="15" hidden="false" customHeight="false" outlineLevel="0" collapsed="false">
      <c r="A1091" s="3" t="s">
        <v>1276</v>
      </c>
      <c r="B1091" s="3" t="n">
        <v>269</v>
      </c>
      <c r="C1091" s="11" t="str">
        <f aca="false">IF(M1091&gt;=Assumptions!$B$17,"S+",IF(M1091&gt;=Assumptions!$B$18,"S",IF(M1091&gt;=Assumptions!$B$19,"A",IF(M1091&gt;=Assumptions!$B$20,"B",IF(M1091&gt;=Assumptions!$B$21,"C",IF(M1091&gt;=Assumptions!$B$22,"D","F"))))))</f>
        <v>F</v>
      </c>
      <c r="D1091" s="3" t="s">
        <v>197</v>
      </c>
      <c r="E1091" s="3" t="n">
        <v>1</v>
      </c>
      <c r="F1091" s="12" t="n">
        <v>0.5868</v>
      </c>
      <c r="G1091" s="12" t="n">
        <v>1</v>
      </c>
      <c r="H1091" s="12" t="n">
        <v>0.75</v>
      </c>
      <c r="I1091" s="12" t="n">
        <v>0.793</v>
      </c>
      <c r="J1091" s="12" t="n">
        <v>0.2977</v>
      </c>
      <c r="K1091" s="12" t="n">
        <v>0.4358</v>
      </c>
      <c r="L1091" s="3" t="n">
        <v>5.55</v>
      </c>
      <c r="M1091" s="12" t="n">
        <f aca="false">Z1091-W1091</f>
        <v>-0.065296</v>
      </c>
      <c r="N1091" s="12" t="n">
        <f aca="false">IFERROR((Z1091-J1091)/L1091,"")</f>
        <v>0.0248836036036036</v>
      </c>
      <c r="O1091" s="3" t="n">
        <v>19</v>
      </c>
      <c r="P1091" s="13" t="b">
        <f aca="false">FALSE()</f>
        <v>0</v>
      </c>
      <c r="Q1091" s="3" t="s">
        <v>166</v>
      </c>
      <c r="R1091" s="12" t="n">
        <v>0.7108</v>
      </c>
      <c r="S1091" s="12" t="n">
        <v>0.1636</v>
      </c>
      <c r="T1091" s="3" t="n">
        <v>0.3952</v>
      </c>
      <c r="U1091" s="12" t="n">
        <v>0.3968</v>
      </c>
      <c r="V1091" s="12" t="n">
        <v>0.4878</v>
      </c>
      <c r="W1091" s="12" t="n">
        <v>0.5011</v>
      </c>
      <c r="X1091" s="3" t="n">
        <v>0.0634</v>
      </c>
      <c r="Y1091" s="3" t="n">
        <v>0.7555</v>
      </c>
      <c r="Z1091" s="14" t="n">
        <f aca="false">Assumptions!$B$3*R1091+Assumptions!$B$4*S1091+IF(AA1091=1,Assumptions!$B$11,Assumptions!$B$5)*X1091+IF(AA1091=1,Assumptions!$B$12,Assumptions!$B$6)*T1091+Assumptions!$B$7*U1091+Assumptions!$B$8*V1091+Assumptions!$B$9*Y1091</f>
        <v>0.435804</v>
      </c>
      <c r="AA1091" s="3" t="n">
        <v>0</v>
      </c>
    </row>
    <row r="1092" customFormat="false" ht="15" hidden="false" customHeight="false" outlineLevel="0" collapsed="false">
      <c r="A1092" s="3" t="s">
        <v>1277</v>
      </c>
      <c r="B1092" s="3" t="n">
        <v>330</v>
      </c>
      <c r="C1092" s="11" t="str">
        <f aca="false">IF(M1092&gt;=Assumptions!$B$17,"S+",IF(M1092&gt;=Assumptions!$B$18,"S",IF(M1092&gt;=Assumptions!$B$19,"A",IF(M1092&gt;=Assumptions!$B$20,"B",IF(M1092&gt;=Assumptions!$B$21,"C",IF(M1092&gt;=Assumptions!$B$22,"D","F"))))))</f>
        <v>F</v>
      </c>
      <c r="D1092" s="3" t="s">
        <v>186</v>
      </c>
      <c r="E1092" s="3" t="n">
        <v>1</v>
      </c>
      <c r="F1092" s="12" t="n">
        <v>0.6548</v>
      </c>
      <c r="G1092" s="12" t="n">
        <v>0.45</v>
      </c>
      <c r="H1092" s="12" t="n">
        <v>0.75</v>
      </c>
      <c r="I1092" s="12" t="n">
        <v>0.5469</v>
      </c>
      <c r="J1092" s="12" t="n">
        <v>0.2465</v>
      </c>
      <c r="K1092" s="12" t="n">
        <v>0.4056</v>
      </c>
      <c r="L1092" s="3" t="n">
        <v>5.66</v>
      </c>
      <c r="M1092" s="12" t="n">
        <f aca="false">Z1092-W1092</f>
        <v>-0.0657560000000001</v>
      </c>
      <c r="N1092" s="12" t="n">
        <f aca="false">IFERROR((Z1092-J1092)/L1092,"")</f>
        <v>0.0281173144876325</v>
      </c>
      <c r="O1092" s="3" t="n">
        <v>19</v>
      </c>
      <c r="P1092" s="13" t="b">
        <f aca="false">FALSE()</f>
        <v>0</v>
      </c>
      <c r="Q1092" s="3" t="s">
        <v>166</v>
      </c>
      <c r="R1092" s="12" t="n">
        <v>0.571</v>
      </c>
      <c r="S1092" s="12" t="n">
        <v>0.3892</v>
      </c>
      <c r="T1092" s="3" t="n">
        <v>0.3609</v>
      </c>
      <c r="U1092" s="12" t="n">
        <v>0.2712</v>
      </c>
      <c r="V1092" s="12" t="n">
        <v>0.4738</v>
      </c>
      <c r="W1092" s="12" t="n">
        <v>0.4714</v>
      </c>
      <c r="X1092" s="3" t="n">
        <v>0.23</v>
      </c>
      <c r="Y1092" s="3" t="n">
        <v>0.4993</v>
      </c>
      <c r="Z1092" s="14" t="n">
        <f aca="false">Assumptions!$B$3*R1092+Assumptions!$B$4*S1092+IF(AA1092=1,Assumptions!$B$11,Assumptions!$B$5)*X1092+IF(AA1092=1,Assumptions!$B$12,Assumptions!$B$6)*T1092+Assumptions!$B$7*U1092+Assumptions!$B$8*V1092+Assumptions!$B$9*Y1092</f>
        <v>0.405644</v>
      </c>
      <c r="AA1092" s="3" t="n">
        <v>1</v>
      </c>
    </row>
    <row r="1093" customFormat="false" ht="15" hidden="false" customHeight="false" outlineLevel="0" collapsed="false">
      <c r="A1093" s="3" t="s">
        <v>1278</v>
      </c>
      <c r="B1093" s="3" t="n">
        <v>363</v>
      </c>
      <c r="C1093" s="11" t="str">
        <f aca="false">IF(M1093&gt;=Assumptions!$B$17,"S+",IF(M1093&gt;=Assumptions!$B$18,"S",IF(M1093&gt;=Assumptions!$B$19,"A",IF(M1093&gt;=Assumptions!$B$20,"B",IF(M1093&gt;=Assumptions!$B$21,"C",IF(M1093&gt;=Assumptions!$B$22,"D","F"))))))</f>
        <v>F</v>
      </c>
      <c r="D1093" s="3" t="s">
        <v>218</v>
      </c>
      <c r="E1093" s="3" t="n">
        <v>1</v>
      </c>
      <c r="F1093" s="12" t="n">
        <v>0.7232</v>
      </c>
      <c r="G1093" s="12" t="n">
        <v>0.6</v>
      </c>
      <c r="H1093" s="12" t="n">
        <v>0.75</v>
      </c>
      <c r="I1093" s="12" t="n">
        <v>0.6694</v>
      </c>
      <c r="J1093" s="12" t="n">
        <v>0.2913</v>
      </c>
      <c r="K1093" s="12" t="n">
        <v>0.4694</v>
      </c>
      <c r="L1093" s="3" t="n">
        <v>4.58</v>
      </c>
      <c r="M1093" s="12" t="n">
        <f aca="false">Z1093-W1093</f>
        <v>-0.066205</v>
      </c>
      <c r="N1093" s="12" t="n">
        <f aca="false">IFERROR((Z1093-J1093)/L1093,"")</f>
        <v>0.0388853711790393</v>
      </c>
      <c r="O1093" s="3" t="n">
        <v>19</v>
      </c>
      <c r="P1093" s="13" t="b">
        <f aca="false">FALSE()</f>
        <v>0</v>
      </c>
      <c r="Q1093" s="3" t="s">
        <v>166</v>
      </c>
      <c r="R1093" s="12" t="n">
        <v>0.5988</v>
      </c>
      <c r="S1093" s="12" t="n">
        <v>0.4702</v>
      </c>
      <c r="T1093" s="3" t="n">
        <v>0.2779</v>
      </c>
      <c r="U1093" s="12" t="n">
        <v>0.251</v>
      </c>
      <c r="V1093" s="12" t="n">
        <v>0.5011</v>
      </c>
      <c r="W1093" s="12" t="n">
        <v>0.5356</v>
      </c>
      <c r="X1093" s="3" t="n">
        <v>0.5113</v>
      </c>
      <c r="Y1093" s="3" t="n">
        <v>0.478</v>
      </c>
      <c r="Z1093" s="14" t="n">
        <f aca="false">Assumptions!$B$3*R1093+Assumptions!$B$4*S1093+IF(AA1093=1,Assumptions!$B$11,Assumptions!$B$5)*X1093+IF(AA1093=1,Assumptions!$B$12,Assumptions!$B$6)*T1093+Assumptions!$B$7*U1093+Assumptions!$B$8*V1093+Assumptions!$B$9*Y1093</f>
        <v>0.469395</v>
      </c>
      <c r="AA1093" s="3" t="n">
        <v>0</v>
      </c>
    </row>
    <row r="1094" customFormat="false" ht="15" hidden="false" customHeight="false" outlineLevel="0" collapsed="false">
      <c r="A1094" s="3" t="s">
        <v>1279</v>
      </c>
      <c r="B1094" s="3" t="n">
        <v>350</v>
      </c>
      <c r="C1094" s="11" t="str">
        <f aca="false">IF(M1094&gt;=Assumptions!$B$17,"S+",IF(M1094&gt;=Assumptions!$B$18,"S",IF(M1094&gt;=Assumptions!$B$19,"A",IF(M1094&gt;=Assumptions!$B$20,"B",IF(M1094&gt;=Assumptions!$B$21,"C",IF(M1094&gt;=Assumptions!$B$22,"D","F"))))))</f>
        <v>F</v>
      </c>
      <c r="D1094" s="3" t="s">
        <v>218</v>
      </c>
      <c r="E1094" s="3" t="n">
        <v>7</v>
      </c>
      <c r="F1094" s="12" t="n">
        <v>0.5115</v>
      </c>
      <c r="G1094" s="12" t="n">
        <v>0.6</v>
      </c>
      <c r="H1094" s="12" t="n">
        <v>0.75</v>
      </c>
      <c r="I1094" s="12" t="n">
        <v>0.6017</v>
      </c>
      <c r="J1094" s="12" t="n">
        <v>0.2775</v>
      </c>
      <c r="K1094" s="12" t="n">
        <v>0.4445</v>
      </c>
      <c r="L1094" s="3" t="n">
        <v>6</v>
      </c>
      <c r="M1094" s="12" t="n">
        <f aca="false">Z1094-W1094</f>
        <v>-0.0661690000000001</v>
      </c>
      <c r="N1094" s="12" t="n">
        <f aca="false">IFERROR((Z1094-J1094)/L1094,"")</f>
        <v>0.0278385</v>
      </c>
      <c r="O1094" s="3" t="n">
        <v>13</v>
      </c>
      <c r="P1094" s="13" t="b">
        <f aca="false">FALSE()</f>
        <v>0</v>
      </c>
      <c r="Q1094" s="3" t="s">
        <v>166</v>
      </c>
      <c r="R1094" s="12" t="n">
        <v>0.7192</v>
      </c>
      <c r="S1094" s="12" t="n">
        <v>0.229</v>
      </c>
      <c r="T1094" s="3" t="n">
        <v>0.3181</v>
      </c>
      <c r="U1094" s="12" t="n">
        <v>0.4023</v>
      </c>
      <c r="V1094" s="12" t="n">
        <v>0.4619</v>
      </c>
      <c r="W1094" s="12" t="n">
        <v>0.5107</v>
      </c>
      <c r="X1094" s="3" t="n">
        <v>0.2098</v>
      </c>
      <c r="Y1094" s="3" t="n">
        <v>0.6041</v>
      </c>
      <c r="Z1094" s="14" t="n">
        <f aca="false">Assumptions!$B$3*R1094+Assumptions!$B$4*S1094+IF(AA1094=1,Assumptions!$B$11,Assumptions!$B$5)*X1094+IF(AA1094=1,Assumptions!$B$12,Assumptions!$B$6)*T1094+Assumptions!$B$7*U1094+Assumptions!$B$8*V1094+Assumptions!$B$9*Y1094</f>
        <v>0.444531</v>
      </c>
      <c r="AA1094" s="3" t="n">
        <v>0</v>
      </c>
    </row>
    <row r="1095" customFormat="false" ht="15" hidden="false" customHeight="false" outlineLevel="0" collapsed="false">
      <c r="A1095" s="3" t="s">
        <v>1280</v>
      </c>
      <c r="B1095" s="3" t="n">
        <v>330</v>
      </c>
      <c r="C1095" s="11" t="str">
        <f aca="false">IF(M1095&gt;=Assumptions!$B$17,"S+",IF(M1095&gt;=Assumptions!$B$18,"S",IF(M1095&gt;=Assumptions!$B$19,"A",IF(M1095&gt;=Assumptions!$B$20,"B",IF(M1095&gt;=Assumptions!$B$21,"C",IF(M1095&gt;=Assumptions!$B$22,"D","F"))))))</f>
        <v>F</v>
      </c>
      <c r="D1095" s="3" t="s">
        <v>253</v>
      </c>
      <c r="E1095" s="3" t="n">
        <v>1</v>
      </c>
      <c r="F1095" s="12" t="n">
        <v>0.7703</v>
      </c>
      <c r="G1095" s="12" t="n">
        <v>0.6</v>
      </c>
      <c r="H1095" s="12" t="n">
        <v>0.75</v>
      </c>
      <c r="I1095" s="12" t="n">
        <v>0.6845</v>
      </c>
      <c r="J1095" s="12" t="n">
        <v>0.2282</v>
      </c>
      <c r="K1095" s="12" t="n">
        <v>0.4574</v>
      </c>
      <c r="L1095" s="3" t="n">
        <v>5.58</v>
      </c>
      <c r="M1095" s="12" t="n">
        <f aca="false">Z1095-W1095</f>
        <v>-0.0662179999999999</v>
      </c>
      <c r="N1095" s="12" t="n">
        <f aca="false">IFERROR((Z1095-J1095)/L1095,"")</f>
        <v>0.0410720430107527</v>
      </c>
      <c r="O1095" s="3" t="n">
        <v>19</v>
      </c>
      <c r="P1095" s="13" t="b">
        <f aca="false">FALSE()</f>
        <v>0</v>
      </c>
      <c r="Q1095" s="3" t="s">
        <v>166</v>
      </c>
      <c r="R1095" s="12" t="n">
        <v>0.7006</v>
      </c>
      <c r="S1095" s="12" t="n">
        <v>0.274</v>
      </c>
      <c r="T1095" s="3" t="n">
        <v>0.3787</v>
      </c>
      <c r="U1095" s="12" t="n">
        <v>0.3158</v>
      </c>
      <c r="V1095" s="12" t="n">
        <v>0.5852</v>
      </c>
      <c r="W1095" s="12" t="n">
        <v>0.5236</v>
      </c>
      <c r="X1095" s="3" t="n">
        <v>0.1785</v>
      </c>
      <c r="Y1095" s="3" t="n">
        <v>0.6417</v>
      </c>
      <c r="Z1095" s="14" t="n">
        <f aca="false">Assumptions!$B$3*R1095+Assumptions!$B$4*S1095+IF(AA1095=1,Assumptions!$B$11,Assumptions!$B$5)*X1095+IF(AA1095=1,Assumptions!$B$12,Assumptions!$B$6)*T1095+Assumptions!$B$7*U1095+Assumptions!$B$8*V1095+Assumptions!$B$9*Y1095</f>
        <v>0.457382</v>
      </c>
      <c r="AA1095" s="3" t="n">
        <v>0</v>
      </c>
    </row>
    <row r="1096" customFormat="false" ht="15" hidden="false" customHeight="false" outlineLevel="0" collapsed="false">
      <c r="A1096" s="3" t="s">
        <v>1281</v>
      </c>
      <c r="B1096" s="3" t="n">
        <v>335</v>
      </c>
      <c r="C1096" s="11" t="str">
        <f aca="false">IF(M1096&gt;=Assumptions!$B$17,"S+",IF(M1096&gt;=Assumptions!$B$18,"S",IF(M1096&gt;=Assumptions!$B$19,"A",IF(M1096&gt;=Assumptions!$B$20,"B",IF(M1096&gt;=Assumptions!$B$21,"C",IF(M1096&gt;=Assumptions!$B$22,"D","F"))))))</f>
        <v>F</v>
      </c>
      <c r="D1096" s="3" t="s">
        <v>253</v>
      </c>
      <c r="E1096" s="3" t="n">
        <v>4</v>
      </c>
      <c r="F1096" s="12" t="n">
        <v>0.5724</v>
      </c>
      <c r="G1096" s="12" t="n">
        <v>0.6</v>
      </c>
      <c r="H1096" s="12" t="n">
        <v>0.75</v>
      </c>
      <c r="I1096" s="12" t="n">
        <v>0.6212</v>
      </c>
      <c r="J1096" s="12" t="n">
        <v>0.2664</v>
      </c>
      <c r="K1096" s="12" t="n">
        <v>0.467</v>
      </c>
      <c r="L1096" s="3" t="n">
        <v>5.88</v>
      </c>
      <c r="M1096" s="12" t="n">
        <f aca="false">Z1096-W1096</f>
        <v>-0.0665829999999999</v>
      </c>
      <c r="N1096" s="12" t="n">
        <f aca="false">IFERROR((Z1096-J1096)/L1096,"")</f>
        <v>0.034118537414966</v>
      </c>
      <c r="O1096" s="3" t="n">
        <v>16</v>
      </c>
      <c r="P1096" s="13" t="b">
        <f aca="false">FALSE()</f>
        <v>0</v>
      </c>
      <c r="Q1096" s="3" t="s">
        <v>166</v>
      </c>
      <c r="R1096" s="12" t="n">
        <v>0.6588</v>
      </c>
      <c r="S1096" s="12" t="n">
        <v>0.3475</v>
      </c>
      <c r="T1096" s="3" t="n">
        <v>0.1467</v>
      </c>
      <c r="U1096" s="12" t="n">
        <v>0.3798</v>
      </c>
      <c r="V1096" s="12" t="n">
        <v>0.5154</v>
      </c>
      <c r="W1096" s="12" t="n">
        <v>0.5336</v>
      </c>
      <c r="X1096" s="3" t="n">
        <v>0.4391</v>
      </c>
      <c r="Y1096" s="3" t="n">
        <v>0.6107</v>
      </c>
      <c r="Z1096" s="14" t="n">
        <f aca="false">Assumptions!$B$3*R1096+Assumptions!$B$4*S1096+IF(AA1096=1,Assumptions!$B$11,Assumptions!$B$5)*X1096+IF(AA1096=1,Assumptions!$B$12,Assumptions!$B$6)*T1096+Assumptions!$B$7*U1096+Assumptions!$B$8*V1096+Assumptions!$B$9*Y1096</f>
        <v>0.467017</v>
      </c>
      <c r="AA1096" s="3" t="n">
        <v>0</v>
      </c>
    </row>
    <row r="1097" customFormat="false" ht="15" hidden="false" customHeight="false" outlineLevel="0" collapsed="false">
      <c r="A1097" s="3" t="s">
        <v>1282</v>
      </c>
      <c r="B1097" s="3" t="n">
        <v>251</v>
      </c>
      <c r="C1097" s="11" t="str">
        <f aca="false">IF(M1097&gt;=Assumptions!$B$17,"S+",IF(M1097&gt;=Assumptions!$B$18,"S",IF(M1097&gt;=Assumptions!$B$19,"A",IF(M1097&gt;=Assumptions!$B$20,"B",IF(M1097&gt;=Assumptions!$B$21,"C",IF(M1097&gt;=Assumptions!$B$22,"D","F"))))))</f>
        <v>F</v>
      </c>
      <c r="D1097" s="3" t="s">
        <v>190</v>
      </c>
      <c r="E1097" s="3" t="n">
        <v>1</v>
      </c>
      <c r="F1097" s="12" t="n">
        <v>0.4808</v>
      </c>
      <c r="G1097" s="12" t="n">
        <v>0.6</v>
      </c>
      <c r="H1097" s="12" t="n">
        <v>0.75</v>
      </c>
      <c r="I1097" s="12" t="n">
        <v>0.5847</v>
      </c>
      <c r="J1097" s="12" t="n">
        <v>0.275</v>
      </c>
      <c r="K1097" s="12" t="n">
        <v>0.4279</v>
      </c>
      <c r="L1097" s="3" t="n">
        <v>5.79</v>
      </c>
      <c r="M1097" s="12" t="n">
        <f aca="false">Z1097-W1097</f>
        <v>-0.06682</v>
      </c>
      <c r="N1097" s="12" t="n">
        <f aca="false">IFERROR((Z1097-J1097)/L1097,"")</f>
        <v>0.0264041450777202</v>
      </c>
      <c r="O1097" s="3" t="n">
        <v>19</v>
      </c>
      <c r="P1097" s="13" t="b">
        <f aca="false">FALSE()</f>
        <v>0</v>
      </c>
      <c r="Q1097" s="3" t="s">
        <v>166</v>
      </c>
      <c r="R1097" s="12" t="n">
        <v>0.6011</v>
      </c>
      <c r="S1097" s="12" t="n">
        <v>0.2668</v>
      </c>
      <c r="T1097" s="3" t="n">
        <v>0.2145</v>
      </c>
      <c r="U1097" s="12" t="n">
        <v>0.4939</v>
      </c>
      <c r="V1097" s="12" t="n">
        <v>0.4878</v>
      </c>
      <c r="W1097" s="12" t="n">
        <v>0.4947</v>
      </c>
      <c r="X1097" s="3" t="n">
        <v>0.3016</v>
      </c>
      <c r="Y1097" s="3" t="n">
        <v>0.5453</v>
      </c>
      <c r="Z1097" s="14" t="n">
        <f aca="false">Assumptions!$B$3*R1097+Assumptions!$B$4*S1097+IF(AA1097=1,Assumptions!$B$11,Assumptions!$B$5)*X1097+IF(AA1097=1,Assumptions!$B$12,Assumptions!$B$6)*T1097+Assumptions!$B$7*U1097+Assumptions!$B$8*V1097+Assumptions!$B$9*Y1097</f>
        <v>0.42788</v>
      </c>
      <c r="AA1097" s="3" t="n">
        <v>0</v>
      </c>
    </row>
    <row r="1098" customFormat="false" ht="15" hidden="false" customHeight="false" outlineLevel="0" collapsed="false">
      <c r="A1098" s="3" t="s">
        <v>1283</v>
      </c>
      <c r="B1098" s="3" t="n">
        <v>278</v>
      </c>
      <c r="C1098" s="11" t="str">
        <f aca="false">IF(M1098&gt;=Assumptions!$B$17,"S+",IF(M1098&gt;=Assumptions!$B$18,"S",IF(M1098&gt;=Assumptions!$B$19,"A",IF(M1098&gt;=Assumptions!$B$20,"B",IF(M1098&gt;=Assumptions!$B$21,"C",IF(M1098&gt;=Assumptions!$B$22,"D","F"))))))</f>
        <v>F</v>
      </c>
      <c r="D1098" s="3" t="s">
        <v>203</v>
      </c>
      <c r="E1098" s="3" t="n">
        <v>2</v>
      </c>
      <c r="F1098" s="12" t="n">
        <v>0.4468</v>
      </c>
      <c r="G1098" s="12" t="n">
        <v>1</v>
      </c>
      <c r="H1098" s="12" t="n">
        <v>0.75</v>
      </c>
      <c r="I1098" s="12" t="n">
        <v>0.7841</v>
      </c>
      <c r="J1098" s="12" t="n">
        <v>0.29</v>
      </c>
      <c r="K1098" s="12" t="n">
        <v>0.4123</v>
      </c>
      <c r="L1098" s="3" t="n">
        <v>6.36</v>
      </c>
      <c r="M1098" s="12" t="n">
        <f aca="false">Z1098-W1098</f>
        <v>-0.06696</v>
      </c>
      <c r="N1098" s="12" t="n">
        <f aca="false">IFERROR((Z1098-J1098)/L1098,"")</f>
        <v>0.0192358490566038</v>
      </c>
      <c r="O1098" s="3" t="n">
        <v>18</v>
      </c>
      <c r="P1098" s="13" t="b">
        <f aca="false">FALSE()</f>
        <v>0</v>
      </c>
      <c r="Q1098" s="3" t="s">
        <v>166</v>
      </c>
      <c r="R1098" s="12" t="n">
        <v>0.5413</v>
      </c>
      <c r="S1098" s="12" t="n">
        <v>0.2444</v>
      </c>
      <c r="T1098" s="3" t="n">
        <v>0.3011</v>
      </c>
      <c r="U1098" s="12" t="n">
        <v>0.4402</v>
      </c>
      <c r="V1098" s="12" t="n">
        <v>0.4848</v>
      </c>
      <c r="W1098" s="12" t="n">
        <v>0.4793</v>
      </c>
      <c r="X1098" s="3" t="n">
        <v>0.1412</v>
      </c>
      <c r="Y1098" s="3" t="n">
        <v>0.7887</v>
      </c>
      <c r="Z1098" s="14" t="n">
        <f aca="false">Assumptions!$B$3*R1098+Assumptions!$B$4*S1098+IF(AA1098=1,Assumptions!$B$11,Assumptions!$B$5)*X1098+IF(AA1098=1,Assumptions!$B$12,Assumptions!$B$6)*T1098+Assumptions!$B$7*U1098+Assumptions!$B$8*V1098+Assumptions!$B$9*Y1098</f>
        <v>0.41234</v>
      </c>
      <c r="AA1098" s="3" t="n">
        <v>0</v>
      </c>
    </row>
    <row r="1099" customFormat="false" ht="15" hidden="false" customHeight="false" outlineLevel="0" collapsed="false">
      <c r="A1099" s="3" t="s">
        <v>1284</v>
      </c>
      <c r="B1099" s="3" t="n">
        <v>316</v>
      </c>
      <c r="C1099" s="11" t="str">
        <f aca="false">IF(M1099&gt;=Assumptions!$B$17,"S+",IF(M1099&gt;=Assumptions!$B$18,"S",IF(M1099&gt;=Assumptions!$B$19,"A",IF(M1099&gt;=Assumptions!$B$20,"B",IF(M1099&gt;=Assumptions!$B$21,"C",IF(M1099&gt;=Assumptions!$B$22,"D","F"))))))</f>
        <v>F</v>
      </c>
      <c r="D1099" s="3" t="s">
        <v>197</v>
      </c>
      <c r="E1099" s="3" t="n">
        <v>1</v>
      </c>
      <c r="F1099" s="12" t="n">
        <v>0.5176</v>
      </c>
      <c r="G1099" s="12" t="n">
        <v>0.6</v>
      </c>
      <c r="H1099" s="12" t="n">
        <v>0.75</v>
      </c>
      <c r="I1099" s="12" t="n">
        <v>0.5987</v>
      </c>
      <c r="J1099" s="12" t="n">
        <v>0.2176</v>
      </c>
      <c r="K1099" s="12" t="n">
        <v>0.4207</v>
      </c>
      <c r="L1099" s="3" t="n">
        <v>5.63</v>
      </c>
      <c r="M1099" s="12" t="n">
        <f aca="false">Z1099-W1099</f>
        <v>-0.066947</v>
      </c>
      <c r="N1099" s="12" t="n">
        <f aca="false">IFERROR((Z1099-J1099)/L1099,"")</f>
        <v>0.0360840142095915</v>
      </c>
      <c r="O1099" s="3" t="n">
        <v>19</v>
      </c>
      <c r="P1099" s="13" t="b">
        <f aca="false">FALSE()</f>
        <v>0</v>
      </c>
      <c r="Q1099" s="3" t="s">
        <v>166</v>
      </c>
      <c r="R1099" s="12" t="n">
        <v>0.6958</v>
      </c>
      <c r="S1099" s="12" t="n">
        <v>0.2354</v>
      </c>
      <c r="T1099" s="3" t="n">
        <v>0.3864</v>
      </c>
      <c r="U1099" s="12" t="n">
        <v>0.3644</v>
      </c>
      <c r="V1099" s="12" t="n">
        <v>0.4497</v>
      </c>
      <c r="W1099" s="12" t="n">
        <v>0.4877</v>
      </c>
      <c r="X1099" s="3" t="n">
        <v>0.114</v>
      </c>
      <c r="Y1099" s="3" t="n">
        <v>0.5402</v>
      </c>
      <c r="Z1099" s="14" t="n">
        <f aca="false">Assumptions!$B$3*R1099+Assumptions!$B$4*S1099+IF(AA1099=1,Assumptions!$B$11,Assumptions!$B$5)*X1099+IF(AA1099=1,Assumptions!$B$12,Assumptions!$B$6)*T1099+Assumptions!$B$7*U1099+Assumptions!$B$8*V1099+Assumptions!$B$9*Y1099</f>
        <v>0.420753</v>
      </c>
      <c r="AA1099" s="3" t="n">
        <v>0</v>
      </c>
    </row>
    <row r="1100" customFormat="false" ht="15" hidden="false" customHeight="false" outlineLevel="0" collapsed="false">
      <c r="A1100" s="3" t="s">
        <v>1285</v>
      </c>
      <c r="B1100" s="3" t="n">
        <v>310</v>
      </c>
      <c r="C1100" s="11" t="str">
        <f aca="false">IF(M1100&gt;=Assumptions!$B$17,"S+",IF(M1100&gt;=Assumptions!$B$18,"S",IF(M1100&gt;=Assumptions!$B$19,"A",IF(M1100&gt;=Assumptions!$B$20,"B",IF(M1100&gt;=Assumptions!$B$21,"C",IF(M1100&gt;=Assumptions!$B$22,"D","F"))))))</f>
        <v>F</v>
      </c>
      <c r="D1100" s="3" t="s">
        <v>253</v>
      </c>
      <c r="E1100" s="3" t="n">
        <v>1</v>
      </c>
      <c r="F1100" s="12" t="n">
        <v>0.8707</v>
      </c>
      <c r="G1100" s="12" t="n">
        <v>0.6</v>
      </c>
      <c r="H1100" s="12" t="n">
        <v>0.75</v>
      </c>
      <c r="I1100" s="12" t="n">
        <v>0.7166</v>
      </c>
      <c r="J1100" s="12" t="n">
        <v>0.3356</v>
      </c>
      <c r="K1100" s="12" t="n">
        <v>0.4636</v>
      </c>
      <c r="L1100" s="3" t="n">
        <v>5.45</v>
      </c>
      <c r="M1100" s="12" t="n">
        <f aca="false">Z1100-W1100</f>
        <v>-0.0670169999999999</v>
      </c>
      <c r="N1100" s="12" t="n">
        <f aca="false">IFERROR((Z1100-J1100)/L1100,"")</f>
        <v>0.023483119266055</v>
      </c>
      <c r="O1100" s="3" t="n">
        <v>19</v>
      </c>
      <c r="P1100" s="13" t="b">
        <f aca="false">FALSE()</f>
        <v>0</v>
      </c>
      <c r="Q1100" s="3" t="s">
        <v>166</v>
      </c>
      <c r="R1100" s="12" t="n">
        <v>0.7496</v>
      </c>
      <c r="S1100" s="12" t="n">
        <v>0.1794</v>
      </c>
      <c r="T1100" s="3" t="n">
        <v>0.4491</v>
      </c>
      <c r="U1100" s="12" t="n">
        <v>0.4332</v>
      </c>
      <c r="V1100" s="12" t="n">
        <v>0.5263</v>
      </c>
      <c r="W1100" s="12" t="n">
        <v>0.5306</v>
      </c>
      <c r="X1100" s="3" t="n">
        <v>0.1167</v>
      </c>
      <c r="Y1100" s="3" t="n">
        <v>0.68</v>
      </c>
      <c r="Z1100" s="14" t="n">
        <f aca="false">Assumptions!$B$3*R1100+Assumptions!$B$4*S1100+IF(AA1100=1,Assumptions!$B$11,Assumptions!$B$5)*X1100+IF(AA1100=1,Assumptions!$B$12,Assumptions!$B$6)*T1100+Assumptions!$B$7*U1100+Assumptions!$B$8*V1100+Assumptions!$B$9*Y1100</f>
        <v>0.463583</v>
      </c>
      <c r="AA1100" s="3" t="n">
        <v>0</v>
      </c>
    </row>
    <row r="1101" customFormat="false" ht="15" hidden="false" customHeight="false" outlineLevel="0" collapsed="false">
      <c r="A1101" s="3" t="s">
        <v>1286</v>
      </c>
      <c r="B1101" s="3" t="n">
        <v>300</v>
      </c>
      <c r="C1101" s="11" t="str">
        <f aca="false">IF(M1101&gt;=Assumptions!$B$17,"S+",IF(M1101&gt;=Assumptions!$B$18,"S",IF(M1101&gt;=Assumptions!$B$19,"A",IF(M1101&gt;=Assumptions!$B$20,"B",IF(M1101&gt;=Assumptions!$B$21,"C",IF(M1101&gt;=Assumptions!$B$22,"D","F"))))))</f>
        <v>F</v>
      </c>
      <c r="D1101" s="3" t="s">
        <v>186</v>
      </c>
      <c r="E1101" s="3" t="n">
        <v>1</v>
      </c>
      <c r="F1101" s="12" t="n">
        <v>0.3053</v>
      </c>
      <c r="G1101" s="12" t="n">
        <v>0.45</v>
      </c>
      <c r="H1101" s="12" t="n">
        <v>0.75</v>
      </c>
      <c r="I1101" s="12" t="n">
        <v>0.484</v>
      </c>
      <c r="J1101" s="12" t="n">
        <v>0.286</v>
      </c>
      <c r="K1101" s="12" t="n">
        <v>0.421</v>
      </c>
      <c r="L1101" s="3" t="n">
        <v>5.63</v>
      </c>
      <c r="M1101" s="12" t="n">
        <f aca="false">Z1101-W1101</f>
        <v>-0.0676380000000001</v>
      </c>
      <c r="N1101" s="12" t="n">
        <f aca="false">IFERROR((Z1101-J1101)/L1101,"")</f>
        <v>0.0239896980461812</v>
      </c>
      <c r="O1101" s="3" t="n">
        <v>19</v>
      </c>
      <c r="P1101" s="13" t="b">
        <f aca="false">FALSE()</f>
        <v>0</v>
      </c>
      <c r="Q1101" s="3" t="s">
        <v>166</v>
      </c>
      <c r="R1101" s="12" t="n">
        <v>0.7335</v>
      </c>
      <c r="S1101" s="12" t="n">
        <v>0.3417</v>
      </c>
      <c r="T1101" s="3" t="n">
        <v>0.1996</v>
      </c>
      <c r="U1101" s="12" t="n">
        <v>0.2955</v>
      </c>
      <c r="V1101" s="12" t="n">
        <v>0.4775</v>
      </c>
      <c r="W1101" s="12" t="n">
        <v>0.4887</v>
      </c>
      <c r="X1101" s="3" t="n">
        <v>0.179</v>
      </c>
      <c r="Y1101" s="3" t="n">
        <v>0.4443</v>
      </c>
      <c r="Z1101" s="14" t="n">
        <f aca="false">Assumptions!$B$3*R1101+Assumptions!$B$4*S1101+IF(AA1101=1,Assumptions!$B$11,Assumptions!$B$5)*X1101+IF(AA1101=1,Assumptions!$B$12,Assumptions!$B$6)*T1101+Assumptions!$B$7*U1101+Assumptions!$B$8*V1101+Assumptions!$B$9*Y1101</f>
        <v>0.421062</v>
      </c>
      <c r="AA1101" s="3" t="n">
        <v>0</v>
      </c>
    </row>
    <row r="1102" customFormat="false" ht="15" hidden="false" customHeight="false" outlineLevel="0" collapsed="false">
      <c r="A1102" s="3" t="s">
        <v>1287</v>
      </c>
      <c r="B1102" s="3" t="n">
        <v>281</v>
      </c>
      <c r="C1102" s="11" t="str">
        <f aca="false">IF(M1102&gt;=Assumptions!$B$17,"S+",IF(M1102&gt;=Assumptions!$B$18,"S",IF(M1102&gt;=Assumptions!$B$19,"A",IF(M1102&gt;=Assumptions!$B$20,"B",IF(M1102&gt;=Assumptions!$B$21,"C",IF(M1102&gt;=Assumptions!$B$22,"D","F"))))))</f>
        <v>F</v>
      </c>
      <c r="D1102" s="3" t="s">
        <v>173</v>
      </c>
      <c r="E1102" s="3" t="n">
        <v>1</v>
      </c>
      <c r="F1102" s="12" t="n">
        <v>0.2727</v>
      </c>
      <c r="G1102" s="12" t="n">
        <v>0.85</v>
      </c>
      <c r="H1102" s="12" t="n">
        <v>0.75</v>
      </c>
      <c r="I1102" s="12" t="n">
        <v>0.7261</v>
      </c>
      <c r="J1102" s="12" t="n">
        <v>0.2351</v>
      </c>
      <c r="K1102" s="12" t="n">
        <v>0.3907</v>
      </c>
      <c r="L1102" s="3" t="n">
        <v>6.82</v>
      </c>
      <c r="M1102" s="12" t="n">
        <f aca="false">Z1102-W1102</f>
        <v>-0.0677720000000001</v>
      </c>
      <c r="N1102" s="12" t="n">
        <f aca="false">IFERROR((Z1102-J1102)/L1102,"")</f>
        <v>0.0228193548387097</v>
      </c>
      <c r="O1102" s="3" t="n">
        <v>19</v>
      </c>
      <c r="P1102" s="13" t="b">
        <f aca="false">FALSE()</f>
        <v>0</v>
      </c>
      <c r="Q1102" s="3" t="s">
        <v>166</v>
      </c>
      <c r="R1102" s="12" t="n">
        <v>0.6093</v>
      </c>
      <c r="S1102" s="12" t="n">
        <v>0.2803</v>
      </c>
      <c r="T1102" s="3" t="n">
        <v>0.2641</v>
      </c>
      <c r="U1102" s="12" t="n">
        <v>0.3158</v>
      </c>
      <c r="V1102" s="12" t="n">
        <v>0.4557</v>
      </c>
      <c r="W1102" s="12" t="n">
        <v>0.4585</v>
      </c>
      <c r="X1102" s="3" t="n">
        <v>0.1091</v>
      </c>
      <c r="Y1102" s="3" t="n">
        <v>0.7181</v>
      </c>
      <c r="Z1102" s="14" t="n">
        <f aca="false">Assumptions!$B$3*R1102+Assumptions!$B$4*S1102+IF(AA1102=1,Assumptions!$B$11,Assumptions!$B$5)*X1102+IF(AA1102=1,Assumptions!$B$12,Assumptions!$B$6)*T1102+Assumptions!$B$7*U1102+Assumptions!$B$8*V1102+Assumptions!$B$9*Y1102</f>
        <v>0.390728</v>
      </c>
      <c r="AA1102" s="3" t="n">
        <v>1</v>
      </c>
    </row>
    <row r="1103" customFormat="false" ht="15" hidden="false" customHeight="false" outlineLevel="0" collapsed="false">
      <c r="A1103" s="3" t="s">
        <v>1288</v>
      </c>
      <c r="B1103" s="3" t="n">
        <v>280</v>
      </c>
      <c r="C1103" s="11" t="str">
        <f aca="false">IF(M1103&gt;=Assumptions!$B$17,"S+",IF(M1103&gt;=Assumptions!$B$18,"S",IF(M1103&gt;=Assumptions!$B$19,"A",IF(M1103&gt;=Assumptions!$B$20,"B",IF(M1103&gt;=Assumptions!$B$21,"C",IF(M1103&gt;=Assumptions!$B$22,"D","F"))))))</f>
        <v>F</v>
      </c>
      <c r="D1103" s="3" t="s">
        <v>183</v>
      </c>
      <c r="E1103" s="3" t="n">
        <v>1</v>
      </c>
      <c r="F1103" s="12" t="n">
        <v>0.5233</v>
      </c>
      <c r="G1103" s="12" t="n">
        <v>0.76</v>
      </c>
      <c r="H1103" s="12" t="n">
        <v>0.4315</v>
      </c>
      <c r="I1103" s="12" t="n">
        <v>0.6116</v>
      </c>
      <c r="J1103" s="12" t="n">
        <v>0.2178</v>
      </c>
      <c r="K1103" s="12" t="n">
        <v>0.4084</v>
      </c>
      <c r="L1103" s="3" t="n">
        <v>5.61</v>
      </c>
      <c r="M1103" s="12" t="n">
        <f aca="false">Z1103-W1103</f>
        <v>-0.067933</v>
      </c>
      <c r="N1103" s="12" t="n">
        <f aca="false">IFERROR((Z1103-J1103)/L1103,"")</f>
        <v>0.0339691622103387</v>
      </c>
      <c r="O1103" s="3" t="n">
        <v>19</v>
      </c>
      <c r="P1103" s="13" t="b">
        <f aca="false">FALSE()</f>
        <v>0</v>
      </c>
      <c r="Q1103" s="3" t="s">
        <v>166</v>
      </c>
      <c r="R1103" s="12" t="n">
        <v>0.6231</v>
      </c>
      <c r="S1103" s="12" t="n">
        <v>0.266</v>
      </c>
      <c r="T1103" s="3" t="n">
        <v>0.2408</v>
      </c>
      <c r="U1103" s="12" t="n">
        <v>0.336</v>
      </c>
      <c r="V1103" s="12" t="n">
        <v>0.4857</v>
      </c>
      <c r="W1103" s="12" t="n">
        <v>0.4763</v>
      </c>
      <c r="X1103" s="3" t="n">
        <v>0.1938</v>
      </c>
      <c r="Y1103" s="3" t="n">
        <v>0.6329</v>
      </c>
      <c r="Z1103" s="14" t="n">
        <f aca="false">Assumptions!$B$3*R1103+Assumptions!$B$4*S1103+IF(AA1103=1,Assumptions!$B$11,Assumptions!$B$5)*X1103+IF(AA1103=1,Assumptions!$B$12,Assumptions!$B$6)*T1103+Assumptions!$B$7*U1103+Assumptions!$B$8*V1103+Assumptions!$B$9*Y1103</f>
        <v>0.408367</v>
      </c>
      <c r="AA1103" s="3" t="n">
        <v>1</v>
      </c>
    </row>
    <row r="1104" customFormat="false" ht="15" hidden="false" customHeight="false" outlineLevel="0" collapsed="false">
      <c r="A1104" s="3" t="s">
        <v>1289</v>
      </c>
      <c r="B1104" s="3" t="n">
        <v>278</v>
      </c>
      <c r="C1104" s="11" t="str">
        <f aca="false">IF(M1104&gt;=Assumptions!$B$17,"S+",IF(M1104&gt;=Assumptions!$B$18,"S",IF(M1104&gt;=Assumptions!$B$19,"A",IF(M1104&gt;=Assumptions!$B$20,"B",IF(M1104&gt;=Assumptions!$B$21,"C",IF(M1104&gt;=Assumptions!$B$22,"D","F"))))))</f>
        <v>F</v>
      </c>
      <c r="D1104" s="3" t="s">
        <v>253</v>
      </c>
      <c r="E1104" s="3" t="n">
        <v>2</v>
      </c>
      <c r="F1104" s="12" t="n">
        <v>0.6469</v>
      </c>
      <c r="G1104" s="12" t="n">
        <v>0.4</v>
      </c>
      <c r="H1104" s="12" t="n">
        <v>0.75</v>
      </c>
      <c r="I1104" s="12" t="n">
        <v>0.549</v>
      </c>
      <c r="J1104" s="12" t="n">
        <v>0.2738</v>
      </c>
      <c r="K1104" s="12" t="n">
        <v>0.4468</v>
      </c>
      <c r="L1104" s="3" t="n">
        <v>3.64</v>
      </c>
      <c r="M1104" s="12" t="n">
        <f aca="false">Z1104-W1104</f>
        <v>-0.068959</v>
      </c>
      <c r="N1104" s="12" t="n">
        <f aca="false">IFERROR((Z1104-J1104)/L1104,"")</f>
        <v>0.0475112637362638</v>
      </c>
      <c r="O1104" s="3" t="n">
        <v>18</v>
      </c>
      <c r="P1104" s="13" t="b">
        <f aca="false">FALSE()</f>
        <v>0</v>
      </c>
      <c r="Q1104" s="3" t="s">
        <v>166</v>
      </c>
      <c r="R1104" s="12" t="n">
        <v>0.626</v>
      </c>
      <c r="S1104" s="12" t="n">
        <v>0.2814</v>
      </c>
      <c r="T1104" s="3" t="n">
        <v>0.1805</v>
      </c>
      <c r="U1104" s="12" t="n">
        <v>0.4316</v>
      </c>
      <c r="V1104" s="12" t="n">
        <v>0.5219</v>
      </c>
      <c r="W1104" s="12" t="n">
        <v>0.5157</v>
      </c>
      <c r="X1104" s="3" t="n">
        <v>0.4272</v>
      </c>
      <c r="Y1104" s="3" t="n">
        <v>0.5119</v>
      </c>
      <c r="Z1104" s="14" t="n">
        <f aca="false">Assumptions!$B$3*R1104+Assumptions!$B$4*S1104+IF(AA1104=1,Assumptions!$B$11,Assumptions!$B$5)*X1104+IF(AA1104=1,Assumptions!$B$12,Assumptions!$B$6)*T1104+Assumptions!$B$7*U1104+Assumptions!$B$8*V1104+Assumptions!$B$9*Y1104</f>
        <v>0.446741</v>
      </c>
      <c r="AA1104" s="3" t="n">
        <v>0</v>
      </c>
    </row>
    <row r="1105" customFormat="false" ht="15" hidden="false" customHeight="false" outlineLevel="0" collapsed="false">
      <c r="A1105" s="3" t="s">
        <v>1290</v>
      </c>
      <c r="B1105" s="3" t="n">
        <v>338</v>
      </c>
      <c r="C1105" s="11" t="str">
        <f aca="false">IF(M1105&gt;=Assumptions!$B$17,"S+",IF(M1105&gt;=Assumptions!$B$18,"S",IF(M1105&gt;=Assumptions!$B$19,"A",IF(M1105&gt;=Assumptions!$B$20,"B",IF(M1105&gt;=Assumptions!$B$21,"C",IF(M1105&gt;=Assumptions!$B$22,"D","F"))))))</f>
        <v>F</v>
      </c>
      <c r="D1105" s="3" t="s">
        <v>218</v>
      </c>
      <c r="E1105" s="3" t="n">
        <v>1</v>
      </c>
      <c r="F1105" s="12" t="n">
        <v>0.7224</v>
      </c>
      <c r="G1105" s="12" t="n">
        <v>0.4</v>
      </c>
      <c r="H1105" s="12" t="n">
        <v>0.75</v>
      </c>
      <c r="I1105" s="12" t="n">
        <v>0.5732</v>
      </c>
      <c r="J1105" s="12" t="n">
        <v>0.2845</v>
      </c>
      <c r="K1105" s="12" t="n">
        <v>0.4501</v>
      </c>
      <c r="L1105" s="3" t="n">
        <v>5.58</v>
      </c>
      <c r="M1105" s="12" t="n">
        <f aca="false">Z1105-W1105</f>
        <v>-0.0692669999999999</v>
      </c>
      <c r="N1105" s="12" t="n">
        <f aca="false">IFERROR((Z1105-J1105)/L1105,"")</f>
        <v>0.0296833333333334</v>
      </c>
      <c r="O1105" s="3" t="n">
        <v>19</v>
      </c>
      <c r="P1105" s="13" t="b">
        <f aca="false">FALSE()</f>
        <v>0</v>
      </c>
      <c r="Q1105" s="3" t="s">
        <v>166</v>
      </c>
      <c r="R1105" s="12" t="n">
        <v>0.8411</v>
      </c>
      <c r="S1105" s="12" t="n">
        <v>0.2616</v>
      </c>
      <c r="T1105" s="3" t="n">
        <v>0.3977</v>
      </c>
      <c r="U1105" s="12" t="n">
        <v>0.2672</v>
      </c>
      <c r="V1105" s="12" t="n">
        <v>0.4647</v>
      </c>
      <c r="W1105" s="12" t="n">
        <v>0.5194</v>
      </c>
      <c r="X1105" s="3" t="n">
        <v>0.0816</v>
      </c>
      <c r="Y1105" s="3" t="n">
        <v>0.5359</v>
      </c>
      <c r="Z1105" s="14" t="n">
        <f aca="false">Assumptions!$B$3*R1105+Assumptions!$B$4*S1105+IF(AA1105=1,Assumptions!$B$11,Assumptions!$B$5)*X1105+IF(AA1105=1,Assumptions!$B$12,Assumptions!$B$6)*T1105+Assumptions!$B$7*U1105+Assumptions!$B$8*V1105+Assumptions!$B$9*Y1105</f>
        <v>0.450133</v>
      </c>
      <c r="AA1105" s="3" t="n">
        <v>0</v>
      </c>
    </row>
    <row r="1106" customFormat="false" ht="15" hidden="false" customHeight="false" outlineLevel="0" collapsed="false">
      <c r="A1106" s="3" t="s">
        <v>1291</v>
      </c>
      <c r="B1106" s="3" t="n">
        <v>300</v>
      </c>
      <c r="C1106" s="11" t="str">
        <f aca="false">IF(M1106&gt;=Assumptions!$B$17,"S+",IF(M1106&gt;=Assumptions!$B$18,"S",IF(M1106&gt;=Assumptions!$B$19,"A",IF(M1106&gt;=Assumptions!$B$20,"B",IF(M1106&gt;=Assumptions!$B$21,"C",IF(M1106&gt;=Assumptions!$B$22,"D","F"))))))</f>
        <v>F</v>
      </c>
      <c r="D1106" s="3" t="s">
        <v>190</v>
      </c>
      <c r="E1106" s="3" t="n">
        <v>1</v>
      </c>
      <c r="F1106" s="12" t="n">
        <v>0.671</v>
      </c>
      <c r="G1106" s="12" t="n">
        <v>0.8</v>
      </c>
      <c r="H1106" s="12" t="n">
        <v>0.75</v>
      </c>
      <c r="I1106" s="12" t="n">
        <v>0.741</v>
      </c>
      <c r="J1106" s="12" t="n">
        <v>0.2712</v>
      </c>
      <c r="K1106" s="12" t="n">
        <v>0.3988</v>
      </c>
      <c r="L1106" s="3" t="n">
        <v>6.32</v>
      </c>
      <c r="M1106" s="12" t="n">
        <f aca="false">Z1106-W1106</f>
        <v>-0.069398</v>
      </c>
      <c r="N1106" s="12" t="n">
        <f aca="false">IFERROR((Z1106-J1106)/L1106,"")</f>
        <v>0.0201901898734177</v>
      </c>
      <c r="O1106" s="3" t="n">
        <v>19</v>
      </c>
      <c r="P1106" s="13" t="b">
        <f aca="false">FALSE()</f>
        <v>0</v>
      </c>
      <c r="Q1106" s="3" t="s">
        <v>166</v>
      </c>
      <c r="R1106" s="12" t="n">
        <v>0.5468</v>
      </c>
      <c r="S1106" s="12" t="n">
        <v>0.3265</v>
      </c>
      <c r="T1106" s="3" t="n">
        <v>0.4485</v>
      </c>
      <c r="U1106" s="12" t="n">
        <v>0.3441</v>
      </c>
      <c r="V1106" s="12" t="n">
        <v>0.4905</v>
      </c>
      <c r="W1106" s="12" t="n">
        <v>0.4682</v>
      </c>
      <c r="X1106" s="3" t="n">
        <v>0.0899</v>
      </c>
      <c r="Y1106" s="3" t="n">
        <v>0.5109</v>
      </c>
      <c r="Z1106" s="14" t="n">
        <f aca="false">Assumptions!$B$3*R1106+Assumptions!$B$4*S1106+IF(AA1106=1,Assumptions!$B$11,Assumptions!$B$5)*X1106+IF(AA1106=1,Assumptions!$B$12,Assumptions!$B$6)*T1106+Assumptions!$B$7*U1106+Assumptions!$B$8*V1106+Assumptions!$B$9*Y1106</f>
        <v>0.398802</v>
      </c>
      <c r="AA1106" s="3" t="n">
        <v>0</v>
      </c>
    </row>
    <row r="1107" customFormat="false" ht="15" hidden="false" customHeight="false" outlineLevel="0" collapsed="false">
      <c r="A1107" s="3" t="s">
        <v>1292</v>
      </c>
      <c r="B1107" s="3" t="n">
        <v>320</v>
      </c>
      <c r="C1107" s="11" t="str">
        <f aca="false">IF(M1107&gt;=Assumptions!$B$17,"S+",IF(M1107&gt;=Assumptions!$B$18,"S",IF(M1107&gt;=Assumptions!$B$19,"A",IF(M1107&gt;=Assumptions!$B$20,"B",IF(M1107&gt;=Assumptions!$B$21,"C",IF(M1107&gt;=Assumptions!$B$22,"D","F"))))))</f>
        <v>F</v>
      </c>
      <c r="D1107" s="3" t="s">
        <v>253</v>
      </c>
      <c r="E1107" s="3" t="n">
        <v>1</v>
      </c>
      <c r="F1107" s="12" t="n">
        <v>0.5928</v>
      </c>
      <c r="G1107" s="12" t="n">
        <v>0.6</v>
      </c>
      <c r="H1107" s="12" t="n">
        <v>0.75</v>
      </c>
      <c r="I1107" s="12" t="n">
        <v>0.6277</v>
      </c>
      <c r="J1107" s="12" t="n">
        <v>0.315</v>
      </c>
      <c r="K1107" s="12" t="n">
        <v>0.4551</v>
      </c>
      <c r="L1107" s="3" t="n">
        <v>5.5</v>
      </c>
      <c r="M1107" s="12" t="n">
        <f aca="false">Z1107-W1107</f>
        <v>-0.070101</v>
      </c>
      <c r="N1107" s="12" t="n">
        <f aca="false">IFERROR((Z1107-J1107)/L1107,"")</f>
        <v>0.0254725454545455</v>
      </c>
      <c r="O1107" s="3" t="n">
        <v>19</v>
      </c>
      <c r="P1107" s="13" t="b">
        <f aca="false">FALSE()</f>
        <v>0</v>
      </c>
      <c r="Q1107" s="3" t="s">
        <v>166</v>
      </c>
      <c r="R1107" s="12" t="n">
        <v>0.6163</v>
      </c>
      <c r="S1107" s="12" t="n">
        <v>0.4114</v>
      </c>
      <c r="T1107" s="3" t="n">
        <v>0.1357</v>
      </c>
      <c r="U1107" s="12" t="n">
        <v>0.4575</v>
      </c>
      <c r="V1107" s="12" t="n">
        <v>0.4905</v>
      </c>
      <c r="W1107" s="12" t="n">
        <v>0.5252</v>
      </c>
      <c r="X1107" s="3" t="n">
        <v>0.3667</v>
      </c>
      <c r="Y1107" s="3" t="n">
        <v>0.5849</v>
      </c>
      <c r="Z1107" s="14" t="n">
        <f aca="false">Assumptions!$B$3*R1107+Assumptions!$B$4*S1107+IF(AA1107=1,Assumptions!$B$11,Assumptions!$B$5)*X1107+IF(AA1107=1,Assumptions!$B$12,Assumptions!$B$6)*T1107+Assumptions!$B$7*U1107+Assumptions!$B$8*V1107+Assumptions!$B$9*Y1107</f>
        <v>0.455099</v>
      </c>
      <c r="AA1107" s="3" t="n">
        <v>0</v>
      </c>
    </row>
    <row r="1108" customFormat="false" ht="15" hidden="false" customHeight="false" outlineLevel="0" collapsed="false">
      <c r="A1108" s="3" t="s">
        <v>1293</v>
      </c>
      <c r="B1108" s="3" t="n">
        <v>310</v>
      </c>
      <c r="C1108" s="11" t="str">
        <f aca="false">IF(M1108&gt;=Assumptions!$B$17,"S+",IF(M1108&gt;=Assumptions!$B$18,"S",IF(M1108&gt;=Assumptions!$B$19,"A",IF(M1108&gt;=Assumptions!$B$20,"B",IF(M1108&gt;=Assumptions!$B$21,"C",IF(M1108&gt;=Assumptions!$B$22,"D","F"))))))</f>
        <v>F</v>
      </c>
      <c r="D1108" s="3" t="s">
        <v>253</v>
      </c>
      <c r="E1108" s="3" t="n">
        <v>1</v>
      </c>
      <c r="F1108" s="12" t="n">
        <v>0.8889</v>
      </c>
      <c r="G1108" s="12" t="n">
        <v>0.4</v>
      </c>
      <c r="H1108" s="12" t="n">
        <v>0.75</v>
      </c>
      <c r="I1108" s="12" t="n">
        <v>0.6265</v>
      </c>
      <c r="J1108" s="12" t="n">
        <v>0.2068</v>
      </c>
      <c r="K1108" s="12" t="n">
        <v>0.4669</v>
      </c>
      <c r="L1108" s="3" t="n">
        <v>6.55</v>
      </c>
      <c r="M1108" s="12" t="n">
        <f aca="false">Z1108-W1108</f>
        <v>-0.0704629999999999</v>
      </c>
      <c r="N1108" s="12" t="n">
        <f aca="false">IFERROR((Z1108-J1108)/L1108,"")</f>
        <v>0.039715572519084</v>
      </c>
      <c r="O1108" s="3" t="n">
        <v>19</v>
      </c>
      <c r="P1108" s="13" t="b">
        <f aca="false">FALSE()</f>
        <v>0</v>
      </c>
      <c r="Q1108" s="3" t="s">
        <v>166</v>
      </c>
      <c r="R1108" s="12" t="n">
        <v>0.7054</v>
      </c>
      <c r="S1108" s="12" t="n">
        <v>0.1881</v>
      </c>
      <c r="T1108" s="3" t="n">
        <v>0.4907</v>
      </c>
      <c r="U1108" s="12" t="n">
        <v>0.4048</v>
      </c>
      <c r="V1108" s="12" t="n">
        <v>0.4722</v>
      </c>
      <c r="W1108" s="12" t="n">
        <v>0.5374</v>
      </c>
      <c r="X1108" s="3" t="n">
        <v>0.3092</v>
      </c>
      <c r="Y1108" s="3" t="n">
        <v>0.5454</v>
      </c>
      <c r="Z1108" s="14" t="n">
        <f aca="false">Assumptions!$B$3*R1108+Assumptions!$B$4*S1108+IF(AA1108=1,Assumptions!$B$11,Assumptions!$B$5)*X1108+IF(AA1108=1,Assumptions!$B$12,Assumptions!$B$6)*T1108+Assumptions!$B$7*U1108+Assumptions!$B$8*V1108+Assumptions!$B$9*Y1108</f>
        <v>0.466937</v>
      </c>
      <c r="AA1108" s="3" t="n">
        <v>0</v>
      </c>
    </row>
    <row r="1109" customFormat="false" ht="15" hidden="false" customHeight="false" outlineLevel="0" collapsed="false">
      <c r="A1109" s="3" t="s">
        <v>1294</v>
      </c>
      <c r="B1109" s="3" t="n">
        <v>303</v>
      </c>
      <c r="C1109" s="11" t="str">
        <f aca="false">IF(M1109&gt;=Assumptions!$B$17,"S+",IF(M1109&gt;=Assumptions!$B$18,"S",IF(M1109&gt;=Assumptions!$B$19,"A",IF(M1109&gt;=Assumptions!$B$20,"B",IF(M1109&gt;=Assumptions!$B$21,"C",IF(M1109&gt;=Assumptions!$B$22,"D","F"))))))</f>
        <v>F</v>
      </c>
      <c r="D1109" s="3" t="s">
        <v>218</v>
      </c>
      <c r="E1109" s="3" t="n">
        <v>2</v>
      </c>
      <c r="F1109" s="12" t="n">
        <v>0.3855</v>
      </c>
      <c r="G1109" s="12" t="n">
        <v>0.6</v>
      </c>
      <c r="H1109" s="12" t="n">
        <v>0.75</v>
      </c>
      <c r="I1109" s="12" t="n">
        <v>0.5614</v>
      </c>
      <c r="J1109" s="12" t="n">
        <v>0.2871</v>
      </c>
      <c r="K1109" s="12" t="n">
        <v>0.4099</v>
      </c>
      <c r="L1109" s="3" t="n">
        <v>5.64</v>
      </c>
      <c r="M1109" s="12" t="n">
        <f aca="false">Z1109-W1109</f>
        <v>-0.070579</v>
      </c>
      <c r="N1109" s="12" t="n">
        <f aca="false">IFERROR((Z1109-J1109)/L1109,"")</f>
        <v>0.0217767730496454</v>
      </c>
      <c r="O1109" s="3" t="n">
        <v>18</v>
      </c>
      <c r="P1109" s="13" t="b">
        <f aca="false">FALSE()</f>
        <v>0</v>
      </c>
      <c r="Q1109" s="3" t="s">
        <v>166</v>
      </c>
      <c r="R1109" s="12" t="n">
        <v>0.6359</v>
      </c>
      <c r="S1109" s="12" t="n">
        <v>0.3594</v>
      </c>
      <c r="T1109" s="3" t="n">
        <v>0.1122</v>
      </c>
      <c r="U1109" s="12" t="n">
        <v>0.4102</v>
      </c>
      <c r="V1109" s="12" t="n">
        <v>0.5251</v>
      </c>
      <c r="W1109" s="12" t="n">
        <v>0.4805</v>
      </c>
      <c r="X1109" s="3" t="n">
        <v>0.1592</v>
      </c>
      <c r="Y1109" s="3" t="n">
        <v>0.5296</v>
      </c>
      <c r="Z1109" s="14" t="n">
        <f aca="false">Assumptions!$B$3*R1109+Assumptions!$B$4*S1109+IF(AA1109=1,Assumptions!$B$11,Assumptions!$B$5)*X1109+IF(AA1109=1,Assumptions!$B$12,Assumptions!$B$6)*T1109+Assumptions!$B$7*U1109+Assumptions!$B$8*V1109+Assumptions!$B$9*Y1109</f>
        <v>0.409921</v>
      </c>
      <c r="AA1109" s="3" t="n">
        <v>0</v>
      </c>
    </row>
    <row r="1110" customFormat="false" ht="15" hidden="false" customHeight="false" outlineLevel="0" collapsed="false">
      <c r="A1110" s="3" t="s">
        <v>1295</v>
      </c>
      <c r="B1110" s="3" t="n">
        <v>316</v>
      </c>
      <c r="C1110" s="11" t="str">
        <f aca="false">IF(M1110&gt;=Assumptions!$B$17,"S+",IF(M1110&gt;=Assumptions!$B$18,"S",IF(M1110&gt;=Assumptions!$B$19,"A",IF(M1110&gt;=Assumptions!$B$20,"B",IF(M1110&gt;=Assumptions!$B$21,"C",IF(M1110&gt;=Assumptions!$B$22,"D","F"))))))</f>
        <v>F</v>
      </c>
      <c r="D1110" s="3" t="s">
        <v>197</v>
      </c>
      <c r="E1110" s="3" t="n">
        <v>1</v>
      </c>
      <c r="F1110" s="12" t="n">
        <v>0.5176</v>
      </c>
      <c r="G1110" s="12" t="n">
        <v>0.4</v>
      </c>
      <c r="H1110" s="12" t="n">
        <v>0.75</v>
      </c>
      <c r="I1110" s="12" t="n">
        <v>0.5147</v>
      </c>
      <c r="J1110" s="12" t="n">
        <v>0.2256</v>
      </c>
      <c r="K1110" s="12" t="n">
        <v>0.4225</v>
      </c>
      <c r="L1110" s="3" t="n">
        <v>5.58</v>
      </c>
      <c r="M1110" s="12" t="n">
        <f aca="false">Z1110-W1110</f>
        <v>-0.070953</v>
      </c>
      <c r="N1110" s="12" t="n">
        <f aca="false">IFERROR((Z1110-J1110)/L1110,"")</f>
        <v>0.0352772401433692</v>
      </c>
      <c r="O1110" s="3" t="n">
        <v>19</v>
      </c>
      <c r="P1110" s="13" t="b">
        <f aca="false">FALSE()</f>
        <v>0</v>
      </c>
      <c r="Q1110" s="3" t="s">
        <v>166</v>
      </c>
      <c r="R1110" s="12" t="n">
        <v>0.6817</v>
      </c>
      <c r="S1110" s="12" t="n">
        <v>0.3206</v>
      </c>
      <c r="T1110" s="3" t="n">
        <v>0.3627</v>
      </c>
      <c r="U1110" s="12" t="n">
        <v>0.2996</v>
      </c>
      <c r="V1110" s="12" t="n">
        <v>0.4905</v>
      </c>
      <c r="W1110" s="12" t="n">
        <v>0.4934</v>
      </c>
      <c r="X1110" s="3" t="n">
        <v>0.1531</v>
      </c>
      <c r="Y1110" s="3" t="n">
        <v>0.4518</v>
      </c>
      <c r="Z1110" s="14" t="n">
        <f aca="false">Assumptions!$B$3*R1110+Assumptions!$B$4*S1110+IF(AA1110=1,Assumptions!$B$11,Assumptions!$B$5)*X1110+IF(AA1110=1,Assumptions!$B$12,Assumptions!$B$6)*T1110+Assumptions!$B$7*U1110+Assumptions!$B$8*V1110+Assumptions!$B$9*Y1110</f>
        <v>0.422447</v>
      </c>
      <c r="AA1110" s="3" t="n">
        <v>0</v>
      </c>
    </row>
    <row r="1111" customFormat="false" ht="15" hidden="false" customHeight="false" outlineLevel="0" collapsed="false">
      <c r="A1111" s="3" t="s">
        <v>1296</v>
      </c>
      <c r="B1111" s="3" t="n">
        <v>340</v>
      </c>
      <c r="C1111" s="11" t="str">
        <f aca="false">IF(M1111&gt;=Assumptions!$B$17,"S+",IF(M1111&gt;=Assumptions!$B$18,"S",IF(M1111&gt;=Assumptions!$B$19,"A",IF(M1111&gt;=Assumptions!$B$20,"B",IF(M1111&gt;=Assumptions!$B$21,"C",IF(M1111&gt;=Assumptions!$B$22,"D","F"))))))</f>
        <v>F</v>
      </c>
      <c r="D1111" s="3" t="s">
        <v>218</v>
      </c>
      <c r="E1111" s="3" t="n">
        <v>3</v>
      </c>
      <c r="F1111" s="12" t="n">
        <v>0.7537</v>
      </c>
      <c r="G1111" s="12" t="n">
        <v>0.6</v>
      </c>
      <c r="H1111" s="12" t="n">
        <v>0.75</v>
      </c>
      <c r="I1111" s="12" t="n">
        <v>0.6792</v>
      </c>
      <c r="J1111" s="12" t="n">
        <v>0.2092</v>
      </c>
      <c r="K1111" s="12" t="n">
        <v>0.4404</v>
      </c>
      <c r="L1111" s="3" t="n">
        <v>5.82</v>
      </c>
      <c r="M1111" s="12" t="n">
        <f aca="false">Z1111-W1111</f>
        <v>-0.0720839999999999</v>
      </c>
      <c r="N1111" s="12" t="n">
        <f aca="false">IFERROR((Z1111-J1111)/L1111,"")</f>
        <v>0.0397278350515464</v>
      </c>
      <c r="O1111" s="3" t="n">
        <v>17</v>
      </c>
      <c r="P1111" s="13" t="b">
        <f aca="false">FALSE()</f>
        <v>0</v>
      </c>
      <c r="Q1111" s="3" t="s">
        <v>166</v>
      </c>
      <c r="R1111" s="12" t="n">
        <v>0.7208</v>
      </c>
      <c r="S1111" s="12" t="n">
        <v>0.2204</v>
      </c>
      <c r="T1111" s="3" t="n">
        <v>0.2714</v>
      </c>
      <c r="U1111" s="12" t="n">
        <v>0.4887</v>
      </c>
      <c r="V1111" s="12" t="n">
        <v>0.4256</v>
      </c>
      <c r="W1111" s="12" t="n">
        <v>0.5125</v>
      </c>
      <c r="X1111" s="3" t="n">
        <v>0.1689</v>
      </c>
      <c r="Y1111" s="3" t="n">
        <v>0.6467</v>
      </c>
      <c r="Z1111" s="14" t="n">
        <f aca="false">Assumptions!$B$3*R1111+Assumptions!$B$4*S1111+IF(AA1111=1,Assumptions!$B$11,Assumptions!$B$5)*X1111+IF(AA1111=1,Assumptions!$B$12,Assumptions!$B$6)*T1111+Assumptions!$B$7*U1111+Assumptions!$B$8*V1111+Assumptions!$B$9*Y1111</f>
        <v>0.440416</v>
      </c>
      <c r="AA1111" s="3" t="n">
        <v>0</v>
      </c>
    </row>
    <row r="1112" customFormat="false" ht="15" hidden="false" customHeight="false" outlineLevel="0" collapsed="false">
      <c r="A1112" s="3" t="s">
        <v>1297</v>
      </c>
      <c r="B1112" s="3" t="n">
        <v>405</v>
      </c>
      <c r="C1112" s="11" t="str">
        <f aca="false">IF(M1112&gt;=Assumptions!$B$17,"S+",IF(M1112&gt;=Assumptions!$B$18,"S",IF(M1112&gt;=Assumptions!$B$19,"A",IF(M1112&gt;=Assumptions!$B$20,"B",IF(M1112&gt;=Assumptions!$B$21,"C",IF(M1112&gt;=Assumptions!$B$22,"D","F"))))))</f>
        <v>F</v>
      </c>
      <c r="D1112" s="3" t="s">
        <v>253</v>
      </c>
      <c r="E1112" s="3" t="n">
        <v>2</v>
      </c>
      <c r="F1112" s="12" t="n">
        <v>0.6297</v>
      </c>
      <c r="G1112" s="12" t="n">
        <v>0.6</v>
      </c>
      <c r="H1112" s="12" t="n">
        <v>0.75</v>
      </c>
      <c r="I1112" s="12" t="n">
        <v>0.6395</v>
      </c>
      <c r="J1112" s="12" t="n">
        <v>0.3195</v>
      </c>
      <c r="K1112" s="12" t="n">
        <v>0.4536</v>
      </c>
      <c r="L1112" s="3" t="n">
        <v>3.64</v>
      </c>
      <c r="M1112" s="12" t="n">
        <f aca="false">Z1112-W1112</f>
        <v>-0.0731039999999999</v>
      </c>
      <c r="N1112" s="12" t="n">
        <f aca="false">IFERROR((Z1112-J1112)/L1112,"")</f>
        <v>0.0368395604395605</v>
      </c>
      <c r="O1112" s="3" t="n">
        <v>18</v>
      </c>
      <c r="P1112" s="13" t="b">
        <f aca="false">FALSE()</f>
        <v>0</v>
      </c>
      <c r="Q1112" s="3" t="s">
        <v>166</v>
      </c>
      <c r="R1112" s="12" t="n">
        <v>0.6689</v>
      </c>
      <c r="S1112" s="12" t="n">
        <v>0.4239</v>
      </c>
      <c r="T1112" s="3" t="n">
        <v>0.3693</v>
      </c>
      <c r="U1112" s="12" t="n">
        <v>0.218</v>
      </c>
      <c r="V1112" s="12" t="n">
        <v>0.4731</v>
      </c>
      <c r="W1112" s="12" t="n">
        <v>0.5267</v>
      </c>
      <c r="X1112" s="3" t="n">
        <v>0.2405</v>
      </c>
      <c r="Y1112" s="3" t="n">
        <v>0.5946</v>
      </c>
      <c r="Z1112" s="14" t="n">
        <f aca="false">Assumptions!$B$3*R1112+Assumptions!$B$4*S1112+IF(AA1112=1,Assumptions!$B$11,Assumptions!$B$5)*X1112+IF(AA1112=1,Assumptions!$B$12,Assumptions!$B$6)*T1112+Assumptions!$B$7*U1112+Assumptions!$B$8*V1112+Assumptions!$B$9*Y1112</f>
        <v>0.453596</v>
      </c>
      <c r="AA1112" s="3" t="n">
        <v>0</v>
      </c>
    </row>
    <row r="1113" customFormat="false" ht="15" hidden="false" customHeight="false" outlineLevel="0" collapsed="false">
      <c r="A1113" s="3" t="s">
        <v>1298</v>
      </c>
      <c r="B1113" s="3" t="n">
        <v>210</v>
      </c>
      <c r="C1113" s="11" t="str">
        <f aca="false">IF(M1113&gt;=Assumptions!$B$17,"S+",IF(M1113&gt;=Assumptions!$B$18,"S",IF(M1113&gt;=Assumptions!$B$19,"A",IF(M1113&gt;=Assumptions!$B$20,"B",IF(M1113&gt;=Assumptions!$B$21,"C",IF(M1113&gt;=Assumptions!$B$22,"D","F"))))))</f>
        <v>F</v>
      </c>
      <c r="D1113" s="3" t="s">
        <v>169</v>
      </c>
      <c r="E1113" s="3" t="n">
        <v>1</v>
      </c>
      <c r="F1113" s="12" t="n">
        <v>0.3856</v>
      </c>
      <c r="G1113" s="12" t="n">
        <v>0.45</v>
      </c>
      <c r="H1113" s="12" t="n">
        <v>0.4226</v>
      </c>
      <c r="I1113" s="12" t="n">
        <v>0.4316</v>
      </c>
      <c r="J1113" s="12" t="n">
        <v>0.1723</v>
      </c>
      <c r="K1113" s="12" t="n">
        <v>0.3628</v>
      </c>
      <c r="L1113" s="3" t="n">
        <v>5.55</v>
      </c>
      <c r="M1113" s="12" t="n">
        <f aca="false">Z1113-W1113</f>
        <v>-0.07335</v>
      </c>
      <c r="N1113" s="12" t="n">
        <f aca="false">IFERROR((Z1113-J1113)/L1113,"")</f>
        <v>0.0343153153153153</v>
      </c>
      <c r="O1113" s="3" t="n">
        <v>19</v>
      </c>
      <c r="P1113" s="13" t="b">
        <f aca="false">FALSE()</f>
        <v>0</v>
      </c>
      <c r="Q1113" s="3" t="s">
        <v>166</v>
      </c>
      <c r="R1113" s="12" t="n">
        <v>0.4028</v>
      </c>
      <c r="S1113" s="12" t="n">
        <v>0.3427</v>
      </c>
      <c r="T1113" s="3" t="n">
        <v>0.0817</v>
      </c>
      <c r="U1113" s="12" t="n">
        <v>0.4251</v>
      </c>
      <c r="V1113" s="12" t="n">
        <v>0.4497</v>
      </c>
      <c r="W1113" s="12" t="n">
        <v>0.4361</v>
      </c>
      <c r="X1113" s="3" t="n">
        <v>0.2813</v>
      </c>
      <c r="Y1113" s="3" t="n">
        <v>0.4386</v>
      </c>
      <c r="Z1113" s="14" t="n">
        <f aca="false">Assumptions!$B$3*R1113+Assumptions!$B$4*S1113+IF(AA1113=1,Assumptions!$B$11,Assumptions!$B$5)*X1113+IF(AA1113=1,Assumptions!$B$12,Assumptions!$B$6)*T1113+Assumptions!$B$7*U1113+Assumptions!$B$8*V1113+Assumptions!$B$9*Y1113</f>
        <v>0.36275</v>
      </c>
      <c r="AA1113" s="3" t="n">
        <v>1</v>
      </c>
    </row>
    <row r="1114" customFormat="false" ht="15" hidden="false" customHeight="false" outlineLevel="0" collapsed="false">
      <c r="A1114" s="3" t="s">
        <v>1299</v>
      </c>
      <c r="B1114" s="3" t="n">
        <v>262</v>
      </c>
      <c r="C1114" s="11" t="str">
        <f aca="false">IF(M1114&gt;=Assumptions!$B$17,"S+",IF(M1114&gt;=Assumptions!$B$18,"S",IF(M1114&gt;=Assumptions!$B$19,"A",IF(M1114&gt;=Assumptions!$B$20,"B",IF(M1114&gt;=Assumptions!$B$21,"C",IF(M1114&gt;=Assumptions!$B$22,"D","F"))))))</f>
        <v>F</v>
      </c>
      <c r="D1114" s="3" t="s">
        <v>253</v>
      </c>
      <c r="E1114" s="3" t="n">
        <v>1</v>
      </c>
      <c r="F1114" s="12" t="n">
        <v>0.2202</v>
      </c>
      <c r="G1114" s="12" t="n">
        <v>0.8</v>
      </c>
      <c r="H1114" s="12" t="n">
        <v>0.75</v>
      </c>
      <c r="I1114" s="12" t="n">
        <v>0.6045</v>
      </c>
      <c r="J1114" s="12" t="n">
        <v>0.2632</v>
      </c>
      <c r="K1114" s="12" t="n">
        <v>0.4492</v>
      </c>
      <c r="L1114" s="3" t="n">
        <v>5.53</v>
      </c>
      <c r="M1114" s="12" t="n">
        <f aca="false">Z1114-W1114</f>
        <v>-0.0733489999999999</v>
      </c>
      <c r="N1114" s="12" t="n">
        <f aca="false">IFERROR((Z1114-J1114)/L1114,"")</f>
        <v>0.0336439421338156</v>
      </c>
      <c r="O1114" s="3" t="n">
        <v>19</v>
      </c>
      <c r="P1114" s="13" t="b">
        <f aca="false">FALSE()</f>
        <v>0</v>
      </c>
      <c r="Q1114" s="3" t="s">
        <v>166</v>
      </c>
      <c r="R1114" s="12" t="n">
        <v>0.6066</v>
      </c>
      <c r="S1114" s="12" t="n">
        <v>0.3077</v>
      </c>
      <c r="T1114" s="3" t="n">
        <v>0.2086</v>
      </c>
      <c r="U1114" s="12" t="n">
        <v>0.4575</v>
      </c>
      <c r="V1114" s="12" t="n">
        <v>0.4878</v>
      </c>
      <c r="W1114" s="12" t="n">
        <v>0.5226</v>
      </c>
      <c r="X1114" s="3" t="n">
        <v>0.377</v>
      </c>
      <c r="Y1114" s="3" t="n">
        <v>0.6062</v>
      </c>
      <c r="Z1114" s="14" t="n">
        <f aca="false">Assumptions!$B$3*R1114+Assumptions!$B$4*S1114+IF(AA1114=1,Assumptions!$B$11,Assumptions!$B$5)*X1114+IF(AA1114=1,Assumptions!$B$12,Assumptions!$B$6)*T1114+Assumptions!$B$7*U1114+Assumptions!$B$8*V1114+Assumptions!$B$9*Y1114</f>
        <v>0.449251</v>
      </c>
      <c r="AA1114" s="3" t="n">
        <v>0</v>
      </c>
    </row>
    <row r="1115" customFormat="false" ht="15" hidden="false" customHeight="false" outlineLevel="0" collapsed="false">
      <c r="A1115" s="3" t="s">
        <v>1300</v>
      </c>
      <c r="B1115" s="3" t="n">
        <v>205</v>
      </c>
      <c r="C1115" s="11" t="str">
        <f aca="false">IF(M1115&gt;=Assumptions!$B$17,"S+",IF(M1115&gt;=Assumptions!$B$18,"S",IF(M1115&gt;=Assumptions!$B$19,"A",IF(M1115&gt;=Assumptions!$B$20,"B",IF(M1115&gt;=Assumptions!$B$21,"C",IF(M1115&gt;=Assumptions!$B$22,"D","F"))))))</f>
        <v>F</v>
      </c>
      <c r="D1115" s="3" t="s">
        <v>203</v>
      </c>
      <c r="E1115" s="3" t="n">
        <v>7</v>
      </c>
      <c r="F1115" s="12" t="n">
        <v>0.5187</v>
      </c>
      <c r="G1115" s="12" t="n">
        <v>0.6</v>
      </c>
      <c r="H1115" s="12" t="n">
        <v>0.75</v>
      </c>
      <c r="I1115" s="12" t="n">
        <v>0.6056</v>
      </c>
      <c r="J1115" s="12" t="n">
        <v>0.1434</v>
      </c>
      <c r="K1115" s="12" t="n">
        <v>0.3851</v>
      </c>
      <c r="L1115" s="3" t="n">
        <v>6</v>
      </c>
      <c r="M1115" s="12" t="n">
        <f aca="false">Z1115-W1115</f>
        <v>-0.07373</v>
      </c>
      <c r="N1115" s="12" t="n">
        <f aca="false">IFERROR((Z1115-J1115)/L1115,"")</f>
        <v>0.0402783333333333</v>
      </c>
      <c r="O1115" s="3" t="n">
        <v>13</v>
      </c>
      <c r="P1115" s="13" t="b">
        <f aca="false">FALSE()</f>
        <v>0</v>
      </c>
      <c r="Q1115" s="3" t="s">
        <v>166</v>
      </c>
      <c r="R1115" s="12" t="n">
        <v>0.5424</v>
      </c>
      <c r="S1115" s="12" t="n">
        <v>0.1035</v>
      </c>
      <c r="T1115" s="3" t="n">
        <v>0.1212</v>
      </c>
      <c r="U1115" s="12" t="n">
        <v>0.6568</v>
      </c>
      <c r="V1115" s="12" t="n">
        <v>0.4987</v>
      </c>
      <c r="W1115" s="12" t="n">
        <v>0.4588</v>
      </c>
      <c r="X1115" s="3" t="n">
        <v>0.205</v>
      </c>
      <c r="Y1115" s="3" t="n">
        <v>0.6064</v>
      </c>
      <c r="Z1115" s="14" t="n">
        <f aca="false">Assumptions!$B$3*R1115+Assumptions!$B$4*S1115+IF(AA1115=1,Assumptions!$B$11,Assumptions!$B$5)*X1115+IF(AA1115=1,Assumptions!$B$12,Assumptions!$B$6)*T1115+Assumptions!$B$7*U1115+Assumptions!$B$8*V1115+Assumptions!$B$9*Y1115</f>
        <v>0.38507</v>
      </c>
      <c r="AA1115" s="3" t="n">
        <v>0</v>
      </c>
    </row>
    <row r="1116" customFormat="false" ht="15" hidden="false" customHeight="false" outlineLevel="0" collapsed="false">
      <c r="A1116" s="3" t="s">
        <v>1301</v>
      </c>
      <c r="B1116" s="3" t="n">
        <v>340</v>
      </c>
      <c r="C1116" s="11" t="str">
        <f aca="false">IF(M1116&gt;=Assumptions!$B$17,"S+",IF(M1116&gt;=Assumptions!$B$18,"S",IF(M1116&gt;=Assumptions!$B$19,"A",IF(M1116&gt;=Assumptions!$B$20,"B",IF(M1116&gt;=Assumptions!$B$21,"C",IF(M1116&gt;=Assumptions!$B$22,"D","F"))))))</f>
        <v>F</v>
      </c>
      <c r="D1116" s="3" t="s">
        <v>218</v>
      </c>
      <c r="E1116" s="3" t="n">
        <v>1</v>
      </c>
      <c r="F1116" s="12" t="n">
        <v>0.6341</v>
      </c>
      <c r="G1116" s="12" t="n">
        <v>0.4</v>
      </c>
      <c r="H1116" s="12" t="n">
        <v>0.75</v>
      </c>
      <c r="I1116" s="12" t="n">
        <v>0.5449</v>
      </c>
      <c r="J1116" s="12" t="n">
        <v>0.2828</v>
      </c>
      <c r="K1116" s="12" t="n">
        <v>0.4347</v>
      </c>
      <c r="L1116" s="3" t="n">
        <v>5.61</v>
      </c>
      <c r="M1116" s="12" t="n">
        <f aca="false">Z1116-W1116</f>
        <v>-0.074316</v>
      </c>
      <c r="N1116" s="12" t="n">
        <f aca="false">IFERROR((Z1116-J1116)/L1116,"")</f>
        <v>0.0270916221033868</v>
      </c>
      <c r="O1116" s="3" t="n">
        <v>19</v>
      </c>
      <c r="P1116" s="13" t="b">
        <f aca="false">FALSE()</f>
        <v>0</v>
      </c>
      <c r="Q1116" s="3" t="s">
        <v>166</v>
      </c>
      <c r="R1116" s="12" t="n">
        <v>0.8001</v>
      </c>
      <c r="S1116" s="12" t="n">
        <v>0.424</v>
      </c>
      <c r="T1116" s="3" t="n">
        <v>0.2294</v>
      </c>
      <c r="U1116" s="12" t="n">
        <v>0.1863</v>
      </c>
      <c r="V1116" s="12" t="n">
        <v>0.4226</v>
      </c>
      <c r="W1116" s="12" t="n">
        <v>0.5091</v>
      </c>
      <c r="X1116" s="3" t="n">
        <v>0.1339</v>
      </c>
      <c r="Y1116" s="3" t="n">
        <v>0.4909</v>
      </c>
      <c r="Z1116" s="14" t="n">
        <f aca="false">Assumptions!$B$3*R1116+Assumptions!$B$4*S1116+IF(AA1116=1,Assumptions!$B$11,Assumptions!$B$5)*X1116+IF(AA1116=1,Assumptions!$B$12,Assumptions!$B$6)*T1116+Assumptions!$B$7*U1116+Assumptions!$B$8*V1116+Assumptions!$B$9*Y1116</f>
        <v>0.434784</v>
      </c>
      <c r="AA1116" s="3" t="n">
        <v>0</v>
      </c>
    </row>
    <row r="1117" customFormat="false" ht="15" hidden="false" customHeight="false" outlineLevel="0" collapsed="false">
      <c r="A1117" s="3" t="s">
        <v>1302</v>
      </c>
      <c r="B1117" s="3" t="n">
        <v>245</v>
      </c>
      <c r="C1117" s="11" t="str">
        <f aca="false">IF(M1117&gt;=Assumptions!$B$17,"S+",IF(M1117&gt;=Assumptions!$B$18,"S",IF(M1117&gt;=Assumptions!$B$19,"A",IF(M1117&gt;=Assumptions!$B$20,"B",IF(M1117&gt;=Assumptions!$B$21,"C",IF(M1117&gt;=Assumptions!$B$22,"D","F"))))))</f>
        <v>F</v>
      </c>
      <c r="D1117" s="3" t="s">
        <v>190</v>
      </c>
      <c r="E1117" s="3" t="n">
        <v>1</v>
      </c>
      <c r="F1117" s="12" t="n">
        <v>0.5896</v>
      </c>
      <c r="G1117" s="12" t="n">
        <v>0.6</v>
      </c>
      <c r="H1117" s="12" t="n">
        <v>0.75</v>
      </c>
      <c r="I1117" s="12" t="n">
        <v>0.6261</v>
      </c>
      <c r="J1117" s="12" t="n">
        <v>0.3099</v>
      </c>
      <c r="K1117" s="12" t="n">
        <v>0.4351</v>
      </c>
      <c r="L1117" s="3" t="n">
        <v>5.68</v>
      </c>
      <c r="M1117" s="12" t="n">
        <f aca="false">Z1117-W1117</f>
        <v>-0.0745830000000001</v>
      </c>
      <c r="N1117" s="12" t="n">
        <f aca="false">IFERROR((Z1117-J1117)/L1117,"")</f>
        <v>0.0220452464788732</v>
      </c>
      <c r="O1117" s="3" t="n">
        <v>19</v>
      </c>
      <c r="P1117" s="13" t="b">
        <f aca="false">FALSE()</f>
        <v>0</v>
      </c>
      <c r="Q1117" s="3" t="s">
        <v>166</v>
      </c>
      <c r="R1117" s="12" t="n">
        <v>0.7208</v>
      </c>
      <c r="S1117" s="12" t="n">
        <v>0.2437</v>
      </c>
      <c r="T1117" s="3" t="n">
        <v>0.2867</v>
      </c>
      <c r="U1117" s="12" t="n">
        <v>0.3968</v>
      </c>
      <c r="V1117" s="12" t="n">
        <v>0.4878</v>
      </c>
      <c r="W1117" s="12" t="n">
        <v>0.5097</v>
      </c>
      <c r="X1117" s="3" t="n">
        <v>0.1697</v>
      </c>
      <c r="Y1117" s="3" t="n">
        <v>0.5626</v>
      </c>
      <c r="Z1117" s="14" t="n">
        <f aca="false">Assumptions!$B$3*R1117+Assumptions!$B$4*S1117+IF(AA1117=1,Assumptions!$B$11,Assumptions!$B$5)*X1117+IF(AA1117=1,Assumptions!$B$12,Assumptions!$B$6)*T1117+Assumptions!$B$7*U1117+Assumptions!$B$8*V1117+Assumptions!$B$9*Y1117</f>
        <v>0.435117</v>
      </c>
      <c r="AA1117" s="3" t="n">
        <v>0</v>
      </c>
    </row>
    <row r="1118" customFormat="false" ht="15" hidden="false" customHeight="false" outlineLevel="0" collapsed="false">
      <c r="A1118" s="3" t="s">
        <v>1303</v>
      </c>
      <c r="B1118" s="3" t="n">
        <v>237</v>
      </c>
      <c r="C1118" s="11" t="str">
        <f aca="false">IF(M1118&gt;=Assumptions!$B$17,"S+",IF(M1118&gt;=Assumptions!$B$18,"S",IF(M1118&gt;=Assumptions!$B$19,"A",IF(M1118&gt;=Assumptions!$B$20,"B",IF(M1118&gt;=Assumptions!$B$21,"C",IF(M1118&gt;=Assumptions!$B$22,"D","F"))))))</f>
        <v>F</v>
      </c>
      <c r="D1118" s="3" t="s">
        <v>218</v>
      </c>
      <c r="E1118" s="3" t="n">
        <v>1</v>
      </c>
      <c r="F1118" s="12" t="n">
        <v>0.587</v>
      </c>
      <c r="G1118" s="12" t="n">
        <v>1</v>
      </c>
      <c r="H1118" s="12" t="n">
        <v>0.75</v>
      </c>
      <c r="I1118" s="12" t="n">
        <v>0.8179</v>
      </c>
      <c r="J1118" s="12" t="n">
        <v>0.2637</v>
      </c>
      <c r="K1118" s="12" t="n">
        <v>0.4339</v>
      </c>
      <c r="L1118" s="3" t="n">
        <v>6.24</v>
      </c>
      <c r="M1118" s="12" t="n">
        <f aca="false">Z1118-W1118</f>
        <v>-0.0747080000000001</v>
      </c>
      <c r="N1118" s="12" t="n">
        <f aca="false">IFERROR((Z1118-J1118)/L1118,"")</f>
        <v>0.027274358974359</v>
      </c>
      <c r="O1118" s="3" t="n">
        <v>19</v>
      </c>
      <c r="P1118" s="13" t="b">
        <f aca="false">FALSE()</f>
        <v>0</v>
      </c>
      <c r="Q1118" s="3" t="s">
        <v>166</v>
      </c>
      <c r="R1118" s="12" t="n">
        <v>0.72</v>
      </c>
      <c r="S1118" s="12" t="n">
        <v>0.2803</v>
      </c>
      <c r="T1118" s="3" t="n">
        <v>0.1166</v>
      </c>
      <c r="U1118" s="12" t="n">
        <v>0.3441</v>
      </c>
      <c r="V1118" s="12" t="n">
        <v>0.4647</v>
      </c>
      <c r="W1118" s="12" t="n">
        <v>0.5086</v>
      </c>
      <c r="X1118" s="3" t="n">
        <v>0.1628</v>
      </c>
      <c r="Y1118" s="3" t="n">
        <v>0.7908</v>
      </c>
      <c r="Z1118" s="14" t="n">
        <f aca="false">Assumptions!$B$3*R1118+Assumptions!$B$4*S1118+IF(AA1118=1,Assumptions!$B$11,Assumptions!$B$5)*X1118+IF(AA1118=1,Assumptions!$B$12,Assumptions!$B$6)*T1118+Assumptions!$B$7*U1118+Assumptions!$B$8*V1118+Assumptions!$B$9*Y1118</f>
        <v>0.433892</v>
      </c>
      <c r="AA1118" s="3" t="n">
        <v>0</v>
      </c>
    </row>
    <row r="1119" customFormat="false" ht="15" hidden="false" customHeight="false" outlineLevel="0" collapsed="false">
      <c r="A1119" s="3" t="s">
        <v>1304</v>
      </c>
      <c r="B1119" s="3" t="n">
        <v>288</v>
      </c>
      <c r="C1119" s="11" t="str">
        <f aca="false">IF(M1119&gt;=Assumptions!$B$17,"S+",IF(M1119&gt;=Assumptions!$B$18,"S",IF(M1119&gt;=Assumptions!$B$19,"A",IF(M1119&gt;=Assumptions!$B$20,"B",IF(M1119&gt;=Assumptions!$B$21,"C",IF(M1119&gt;=Assumptions!$B$22,"D","F"))))))</f>
        <v>F</v>
      </c>
      <c r="D1119" s="3" t="s">
        <v>190</v>
      </c>
      <c r="E1119" s="3" t="n">
        <v>1</v>
      </c>
      <c r="F1119" s="12" t="n">
        <v>0.5346</v>
      </c>
      <c r="G1119" s="12" t="n">
        <v>0.6</v>
      </c>
      <c r="H1119" s="12" t="n">
        <v>0.75</v>
      </c>
      <c r="I1119" s="12" t="n">
        <v>0.6052</v>
      </c>
      <c r="J1119" s="12" t="n">
        <v>0.3115</v>
      </c>
      <c r="K1119" s="12" t="n">
        <v>0.419</v>
      </c>
      <c r="L1119" s="3" t="n">
        <v>5.68</v>
      </c>
      <c r="M1119" s="12" t="n">
        <f aca="false">Z1119-W1119</f>
        <v>-0.0747550000000001</v>
      </c>
      <c r="N1119" s="12" t="n">
        <f aca="false">IFERROR((Z1119-J1119)/L1119,"")</f>
        <v>0.0189163732394366</v>
      </c>
      <c r="O1119" s="3" t="n">
        <v>19</v>
      </c>
      <c r="P1119" s="13" t="b">
        <f aca="false">FALSE()</f>
        <v>0</v>
      </c>
      <c r="Q1119" s="3" t="s">
        <v>166</v>
      </c>
      <c r="R1119" s="12" t="n">
        <v>0.6451</v>
      </c>
      <c r="S1119" s="12" t="n">
        <v>0.3189</v>
      </c>
      <c r="T1119" s="3" t="n">
        <v>0.2318</v>
      </c>
      <c r="U1119" s="12" t="n">
        <v>0.4332</v>
      </c>
      <c r="V1119" s="12" t="n">
        <v>0.503</v>
      </c>
      <c r="W1119" s="12" t="n">
        <v>0.4937</v>
      </c>
      <c r="X1119" s="3" t="n">
        <v>0.1198</v>
      </c>
      <c r="Y1119" s="3" t="n">
        <v>0.5775</v>
      </c>
      <c r="Z1119" s="14" t="n">
        <f aca="false">Assumptions!$B$3*R1119+Assumptions!$B$4*S1119+IF(AA1119=1,Assumptions!$B$11,Assumptions!$B$5)*X1119+IF(AA1119=1,Assumptions!$B$12,Assumptions!$B$6)*T1119+Assumptions!$B$7*U1119+Assumptions!$B$8*V1119+Assumptions!$B$9*Y1119</f>
        <v>0.418945</v>
      </c>
      <c r="AA1119" s="3" t="n">
        <v>0</v>
      </c>
    </row>
    <row r="1120" customFormat="false" ht="15" hidden="false" customHeight="false" outlineLevel="0" collapsed="false">
      <c r="A1120" s="3" t="s">
        <v>1305</v>
      </c>
      <c r="B1120" s="3" t="n">
        <v>253</v>
      </c>
      <c r="C1120" s="11" t="str">
        <f aca="false">IF(M1120&gt;=Assumptions!$B$17,"S+",IF(M1120&gt;=Assumptions!$B$18,"S",IF(M1120&gt;=Assumptions!$B$19,"A",IF(M1120&gt;=Assumptions!$B$20,"B",IF(M1120&gt;=Assumptions!$B$21,"C",IF(M1120&gt;=Assumptions!$B$22,"D","F"))))))</f>
        <v>F</v>
      </c>
      <c r="D1120" s="3" t="s">
        <v>218</v>
      </c>
      <c r="E1120" s="3" t="n">
        <v>1</v>
      </c>
      <c r="F1120" s="12" t="n">
        <v>0.6822</v>
      </c>
      <c r="G1120" s="12" t="n">
        <v>0.8</v>
      </c>
      <c r="H1120" s="12" t="n">
        <v>0.75</v>
      </c>
      <c r="I1120" s="12" t="n">
        <v>0.7523</v>
      </c>
      <c r="J1120" s="12" t="n">
        <v>0.2774</v>
      </c>
      <c r="K1120" s="12" t="n">
        <v>0.4199</v>
      </c>
      <c r="L1120" s="3" t="n">
        <v>6.74</v>
      </c>
      <c r="M1120" s="12" t="n">
        <f aca="false">Z1120-W1120</f>
        <v>-0.074883</v>
      </c>
      <c r="N1120" s="12" t="n">
        <f aca="false">IFERROR((Z1120-J1120)/L1120,"")</f>
        <v>0.0211449554896142</v>
      </c>
      <c r="O1120" s="3" t="n">
        <v>19</v>
      </c>
      <c r="P1120" s="13" t="b">
        <f aca="false">FALSE()</f>
        <v>0</v>
      </c>
      <c r="Q1120" s="3" t="s">
        <v>166</v>
      </c>
      <c r="R1120" s="12" t="n">
        <v>0.7462</v>
      </c>
      <c r="S1120" s="12" t="n">
        <v>0.1996</v>
      </c>
      <c r="T1120" s="3" t="n">
        <v>0.2193</v>
      </c>
      <c r="U1120" s="12" t="n">
        <v>0.3158</v>
      </c>
      <c r="V1120" s="12" t="n">
        <v>0.4579</v>
      </c>
      <c r="W1120" s="12" t="n">
        <v>0.4948</v>
      </c>
      <c r="X1120" s="3" t="n">
        <v>0.134</v>
      </c>
      <c r="Y1120" s="3" t="n">
        <v>0.6626</v>
      </c>
      <c r="Z1120" s="14" t="n">
        <f aca="false">Assumptions!$B$3*R1120+Assumptions!$B$4*S1120+IF(AA1120=1,Assumptions!$B$11,Assumptions!$B$5)*X1120+IF(AA1120=1,Assumptions!$B$12,Assumptions!$B$6)*T1120+Assumptions!$B$7*U1120+Assumptions!$B$8*V1120+Assumptions!$B$9*Y1120</f>
        <v>0.419917</v>
      </c>
      <c r="AA1120" s="3" t="n">
        <v>0</v>
      </c>
    </row>
    <row r="1121" customFormat="false" ht="15" hidden="false" customHeight="false" outlineLevel="0" collapsed="false">
      <c r="A1121" s="3" t="s">
        <v>1306</v>
      </c>
      <c r="B1121" s="3" t="n">
        <v>308</v>
      </c>
      <c r="C1121" s="11" t="str">
        <f aca="false">IF(M1121&gt;=Assumptions!$B$17,"S+",IF(M1121&gt;=Assumptions!$B$18,"S",IF(M1121&gt;=Assumptions!$B$19,"A",IF(M1121&gt;=Assumptions!$B$20,"B",IF(M1121&gt;=Assumptions!$B$21,"C",IF(M1121&gt;=Assumptions!$B$22,"D","F"))))))</f>
        <v>F</v>
      </c>
      <c r="D1121" s="3" t="s">
        <v>253</v>
      </c>
      <c r="E1121" s="3" t="n">
        <v>7</v>
      </c>
      <c r="F1121" s="12" t="n">
        <v>0.6969</v>
      </c>
      <c r="G1121" s="12" t="n">
        <v>0.4</v>
      </c>
      <c r="H1121" s="12" t="n">
        <v>0.75</v>
      </c>
      <c r="I1121" s="12" t="n">
        <v>0.565</v>
      </c>
      <c r="J1121" s="12" t="n">
        <v>0.2912</v>
      </c>
      <c r="K1121" s="12" t="n">
        <v>0.4519</v>
      </c>
      <c r="L1121" s="3" t="n">
        <v>4</v>
      </c>
      <c r="M1121" s="12" t="n">
        <f aca="false">Z1121-W1121</f>
        <v>-0.0750440000000001</v>
      </c>
      <c r="N1121" s="12" t="n">
        <f aca="false">IFERROR((Z1121-J1121)/L1121,"")</f>
        <v>0.040189</v>
      </c>
      <c r="O1121" s="3" t="n">
        <v>13</v>
      </c>
      <c r="P1121" s="13" t="b">
        <f aca="false">FALSE()</f>
        <v>0</v>
      </c>
      <c r="Q1121" s="3" t="s">
        <v>166</v>
      </c>
      <c r="R1121" s="12" t="n">
        <v>0.6453</v>
      </c>
      <c r="S1121" s="12" t="n">
        <v>0.2854</v>
      </c>
      <c r="T1121" s="3" t="n">
        <v>0.0725</v>
      </c>
      <c r="U1121" s="12" t="n">
        <v>0.3077</v>
      </c>
      <c r="V1121" s="12" t="n">
        <v>0.5126</v>
      </c>
      <c r="W1121" s="12" t="n">
        <v>0.527</v>
      </c>
      <c r="X1121" s="3" t="n">
        <v>0.5602</v>
      </c>
      <c r="Y1121" s="3" t="n">
        <v>0.5588</v>
      </c>
      <c r="Z1121" s="14" t="n">
        <f aca="false">Assumptions!$B$3*R1121+Assumptions!$B$4*S1121+IF(AA1121=1,Assumptions!$B$11,Assumptions!$B$5)*X1121+IF(AA1121=1,Assumptions!$B$12,Assumptions!$B$6)*T1121+Assumptions!$B$7*U1121+Assumptions!$B$8*V1121+Assumptions!$B$9*Y1121</f>
        <v>0.451956</v>
      </c>
      <c r="AA1121" s="3" t="n">
        <v>0</v>
      </c>
    </row>
    <row r="1122" customFormat="false" ht="15" hidden="false" customHeight="false" outlineLevel="0" collapsed="false">
      <c r="A1122" s="3" t="s">
        <v>1307</v>
      </c>
      <c r="B1122" s="3" t="n">
        <v>300</v>
      </c>
      <c r="C1122" s="11" t="str">
        <f aca="false">IF(M1122&gt;=Assumptions!$B$17,"S+",IF(M1122&gt;=Assumptions!$B$18,"S",IF(M1122&gt;=Assumptions!$B$19,"A",IF(M1122&gt;=Assumptions!$B$20,"B",IF(M1122&gt;=Assumptions!$B$21,"C",IF(M1122&gt;=Assumptions!$B$22,"D","F"))))))</f>
        <v>F</v>
      </c>
      <c r="D1122" s="3" t="s">
        <v>197</v>
      </c>
      <c r="E1122" s="3" t="n">
        <v>7</v>
      </c>
      <c r="F1122" s="12" t="n">
        <v>0.7559</v>
      </c>
      <c r="G1122" s="12" t="n">
        <v>0.2</v>
      </c>
      <c r="H1122" s="12" t="n">
        <v>0.75</v>
      </c>
      <c r="I1122" s="12" t="n">
        <v>0.5212</v>
      </c>
      <c r="J1122" s="12" t="n">
        <v>0.1164</v>
      </c>
      <c r="K1122" s="12" t="n">
        <v>0.3878</v>
      </c>
      <c r="L1122" s="3" t="n">
        <v>4</v>
      </c>
      <c r="M1122" s="12" t="n">
        <f aca="false">Z1122-W1122</f>
        <v>-0.074933</v>
      </c>
      <c r="N1122" s="12" t="n">
        <f aca="false">IFERROR((Z1122-J1122)/L1122,"")</f>
        <v>0.06786675</v>
      </c>
      <c r="O1122" s="3" t="n">
        <v>13</v>
      </c>
      <c r="P1122" s="13" t="b">
        <f aca="false">FALSE()</f>
        <v>0</v>
      </c>
      <c r="Q1122" s="3" t="s">
        <v>166</v>
      </c>
      <c r="R1122" s="12" t="n">
        <v>0.5236</v>
      </c>
      <c r="S1122" s="12" t="n">
        <v>0.211</v>
      </c>
      <c r="T1122" s="3" t="n">
        <v>0.2141</v>
      </c>
      <c r="U1122" s="12" t="n">
        <v>0.2308</v>
      </c>
      <c r="V1122" s="12" t="n">
        <v>0.5475</v>
      </c>
      <c r="W1122" s="12" t="n">
        <v>0.4628</v>
      </c>
      <c r="X1122" s="3" t="n">
        <v>0.3924</v>
      </c>
      <c r="Y1122" s="3" t="n">
        <v>0.483</v>
      </c>
      <c r="Z1122" s="14" t="n">
        <f aca="false">Assumptions!$B$3*R1122+Assumptions!$B$4*S1122+IF(AA1122=1,Assumptions!$B$11,Assumptions!$B$5)*X1122+IF(AA1122=1,Assumptions!$B$12,Assumptions!$B$6)*T1122+Assumptions!$B$7*U1122+Assumptions!$B$8*V1122+Assumptions!$B$9*Y1122</f>
        <v>0.387867</v>
      </c>
      <c r="AA1122" s="3" t="n">
        <v>0</v>
      </c>
    </row>
    <row r="1123" customFormat="false" ht="15" hidden="false" customHeight="false" outlineLevel="0" collapsed="false">
      <c r="A1123" s="3" t="s">
        <v>1308</v>
      </c>
      <c r="B1123" s="3" t="n">
        <v>295</v>
      </c>
      <c r="C1123" s="11" t="str">
        <f aca="false">IF(M1123&gt;=Assumptions!$B$17,"S+",IF(M1123&gt;=Assumptions!$B$18,"S",IF(M1123&gt;=Assumptions!$B$19,"A",IF(M1123&gt;=Assumptions!$B$20,"B",IF(M1123&gt;=Assumptions!$B$21,"C",IF(M1123&gt;=Assumptions!$B$22,"D","F"))))))</f>
        <v>F</v>
      </c>
      <c r="D1123" s="3" t="s">
        <v>253</v>
      </c>
      <c r="E1123" s="3" t="n">
        <v>2</v>
      </c>
      <c r="F1123" s="12" t="n">
        <v>0.6112</v>
      </c>
      <c r="G1123" s="12" t="n">
        <v>0.6</v>
      </c>
      <c r="H1123" s="12" t="n">
        <v>0.75</v>
      </c>
      <c r="I1123" s="12" t="n">
        <v>0.6336</v>
      </c>
      <c r="J1123" s="12" t="n">
        <v>0.2974</v>
      </c>
      <c r="K1123" s="12" t="n">
        <v>0.4574</v>
      </c>
      <c r="L1123" s="3" t="n">
        <v>5.67</v>
      </c>
      <c r="M1123" s="12" t="n">
        <f aca="false">Z1123-W1123</f>
        <v>-0.075698</v>
      </c>
      <c r="N1123" s="12" t="n">
        <f aca="false">IFERROR((Z1123-J1123)/L1123,"")</f>
        <v>0.0282190476190476</v>
      </c>
      <c r="O1123" s="3" t="n">
        <v>18</v>
      </c>
      <c r="P1123" s="13" t="b">
        <f aca="false">FALSE()</f>
        <v>0</v>
      </c>
      <c r="Q1123" s="3" t="s">
        <v>166</v>
      </c>
      <c r="R1123" s="12" t="n">
        <v>0.6677</v>
      </c>
      <c r="S1123" s="12" t="n">
        <v>0.2327</v>
      </c>
      <c r="T1123" s="3" t="n">
        <v>0.3439</v>
      </c>
      <c r="U1123" s="12" t="n">
        <v>0.4359</v>
      </c>
      <c r="V1123" s="12" t="n">
        <v>0.5081</v>
      </c>
      <c r="W1123" s="12" t="n">
        <v>0.5331</v>
      </c>
      <c r="X1123" s="3" t="n">
        <v>0.2761</v>
      </c>
      <c r="Y1123" s="3" t="n">
        <v>0.6397</v>
      </c>
      <c r="Z1123" s="14" t="n">
        <f aca="false">Assumptions!$B$3*R1123+Assumptions!$B$4*S1123+IF(AA1123=1,Assumptions!$B$11,Assumptions!$B$5)*X1123+IF(AA1123=1,Assumptions!$B$12,Assumptions!$B$6)*T1123+Assumptions!$B$7*U1123+Assumptions!$B$8*V1123+Assumptions!$B$9*Y1123</f>
        <v>0.457402</v>
      </c>
      <c r="AA1123" s="3" t="n">
        <v>0</v>
      </c>
    </row>
    <row r="1124" customFormat="false" ht="15" hidden="false" customHeight="false" outlineLevel="0" collapsed="false">
      <c r="A1124" s="3" t="s">
        <v>1309</v>
      </c>
      <c r="B1124" s="3" t="n">
        <v>262</v>
      </c>
      <c r="C1124" s="11" t="str">
        <f aca="false">IF(M1124&gt;=Assumptions!$B$17,"S+",IF(M1124&gt;=Assumptions!$B$18,"S",IF(M1124&gt;=Assumptions!$B$19,"A",IF(M1124&gt;=Assumptions!$B$20,"B",IF(M1124&gt;=Assumptions!$B$21,"C",IF(M1124&gt;=Assumptions!$B$22,"D","F"))))))</f>
        <v>F</v>
      </c>
      <c r="D1124" s="3" t="s">
        <v>218</v>
      </c>
      <c r="E1124" s="3" t="n">
        <v>3</v>
      </c>
      <c r="F1124" s="12" t="n">
        <v>0.5436</v>
      </c>
      <c r="G1124" s="12" t="n">
        <v>1</v>
      </c>
      <c r="H1124" s="12" t="n">
        <v>0.75</v>
      </c>
      <c r="I1124" s="12" t="n">
        <v>0.8039</v>
      </c>
      <c r="J1124" s="12" t="n">
        <v>0.2524</v>
      </c>
      <c r="K1124" s="12" t="n">
        <v>0.4332</v>
      </c>
      <c r="L1124" s="3" t="n">
        <v>6.82</v>
      </c>
      <c r="M1124" s="12" t="n">
        <f aca="false">Z1124-W1124</f>
        <v>-0.076599</v>
      </c>
      <c r="N1124" s="12" t="n">
        <f aca="false">IFERROR((Z1124-J1124)/L1124,"")</f>
        <v>0.0265104105571848</v>
      </c>
      <c r="O1124" s="3" t="n">
        <v>17</v>
      </c>
      <c r="P1124" s="13" t="b">
        <f aca="false">FALSE()</f>
        <v>0</v>
      </c>
      <c r="Q1124" s="3" t="s">
        <v>166</v>
      </c>
      <c r="R1124" s="12" t="n">
        <v>0.7365</v>
      </c>
      <c r="S1124" s="12" t="n">
        <v>0.102</v>
      </c>
      <c r="T1124" s="3" t="n">
        <v>0.3309</v>
      </c>
      <c r="U1124" s="12" t="n">
        <v>0.4072</v>
      </c>
      <c r="V1124" s="12" t="n">
        <v>0.4857</v>
      </c>
      <c r="W1124" s="12" t="n">
        <v>0.5098</v>
      </c>
      <c r="X1124" s="3" t="n">
        <v>0.0881</v>
      </c>
      <c r="Y1124" s="3" t="n">
        <v>0.7846</v>
      </c>
      <c r="Z1124" s="14" t="n">
        <f aca="false">Assumptions!$B$3*R1124+Assumptions!$B$4*S1124+IF(AA1124=1,Assumptions!$B$11,Assumptions!$B$5)*X1124+IF(AA1124=1,Assumptions!$B$12,Assumptions!$B$6)*T1124+Assumptions!$B$7*U1124+Assumptions!$B$8*V1124+Assumptions!$B$9*Y1124</f>
        <v>0.433201</v>
      </c>
      <c r="AA1124" s="3" t="n">
        <v>0</v>
      </c>
    </row>
    <row r="1125" customFormat="false" ht="15" hidden="false" customHeight="false" outlineLevel="0" collapsed="false">
      <c r="A1125" s="3" t="s">
        <v>1310</v>
      </c>
      <c r="B1125" s="3" t="n">
        <v>285</v>
      </c>
      <c r="C1125" s="11" t="str">
        <f aca="false">IF(M1125&gt;=Assumptions!$B$17,"S+",IF(M1125&gt;=Assumptions!$B$18,"S",IF(M1125&gt;=Assumptions!$B$19,"A",IF(M1125&gt;=Assumptions!$B$20,"B",IF(M1125&gt;=Assumptions!$B$21,"C",IF(M1125&gt;=Assumptions!$B$22,"D","F"))))))</f>
        <v>F</v>
      </c>
      <c r="D1125" s="3" t="s">
        <v>218</v>
      </c>
      <c r="E1125" s="3" t="n">
        <v>1</v>
      </c>
      <c r="F1125" s="12" t="n">
        <v>0.6535</v>
      </c>
      <c r="G1125" s="12" t="n">
        <v>0.6</v>
      </c>
      <c r="H1125" s="12" t="n">
        <v>0.75</v>
      </c>
      <c r="I1125" s="12" t="n">
        <v>0.6471</v>
      </c>
      <c r="J1125" s="12" t="n">
        <v>0.26</v>
      </c>
      <c r="K1125" s="12" t="n">
        <v>0.4064</v>
      </c>
      <c r="L1125" s="3" t="n">
        <v>5.71</v>
      </c>
      <c r="M1125" s="12" t="n">
        <f aca="false">Z1125-W1125</f>
        <v>-0.0766979999999999</v>
      </c>
      <c r="N1125" s="12" t="n">
        <f aca="false">IFERROR((Z1125-J1125)/L1125,"")</f>
        <v>0.0256395796847636</v>
      </c>
      <c r="O1125" s="3" t="n">
        <v>19</v>
      </c>
      <c r="P1125" s="13" t="b">
        <f aca="false">FALSE()</f>
        <v>0</v>
      </c>
      <c r="Q1125" s="3" t="s">
        <v>166</v>
      </c>
      <c r="R1125" s="12" t="n">
        <v>0.6759</v>
      </c>
      <c r="S1125" s="12" t="n">
        <v>0.2105</v>
      </c>
      <c r="T1125" s="3" t="n">
        <v>0.1254</v>
      </c>
      <c r="U1125" s="12" t="n">
        <v>0.4656</v>
      </c>
      <c r="V1125" s="12" t="n">
        <v>0.3461</v>
      </c>
      <c r="W1125" s="12" t="n">
        <v>0.4831</v>
      </c>
      <c r="X1125" s="3" t="n">
        <v>0.2504</v>
      </c>
      <c r="Y1125" s="3" t="n">
        <v>0.5935</v>
      </c>
      <c r="Z1125" s="14" t="n">
        <f aca="false">Assumptions!$B$3*R1125+Assumptions!$B$4*S1125+IF(AA1125=1,Assumptions!$B$11,Assumptions!$B$5)*X1125+IF(AA1125=1,Assumptions!$B$12,Assumptions!$B$6)*T1125+Assumptions!$B$7*U1125+Assumptions!$B$8*V1125+Assumptions!$B$9*Y1125</f>
        <v>0.406402</v>
      </c>
      <c r="AA1125" s="3" t="n">
        <v>0</v>
      </c>
    </row>
    <row r="1126" customFormat="false" ht="15" hidden="false" customHeight="false" outlineLevel="0" collapsed="false">
      <c r="A1126" s="3" t="s">
        <v>1311</v>
      </c>
      <c r="B1126" s="3" t="n">
        <v>310</v>
      </c>
      <c r="C1126" s="11" t="str">
        <f aca="false">IF(M1126&gt;=Assumptions!$B$17,"S+",IF(M1126&gt;=Assumptions!$B$18,"S",IF(M1126&gt;=Assumptions!$B$19,"A",IF(M1126&gt;=Assumptions!$B$20,"B",IF(M1126&gt;=Assumptions!$B$21,"C",IF(M1126&gt;=Assumptions!$B$22,"D","F"))))))</f>
        <v>F</v>
      </c>
      <c r="D1126" s="3" t="s">
        <v>190</v>
      </c>
      <c r="E1126" s="3" t="n">
        <v>7</v>
      </c>
      <c r="F1126" s="12" t="n">
        <v>0.666</v>
      </c>
      <c r="G1126" s="12" t="n">
        <v>0.4</v>
      </c>
      <c r="H1126" s="12" t="n">
        <v>0.75</v>
      </c>
      <c r="I1126" s="12" t="n">
        <v>0.5711</v>
      </c>
      <c r="J1126" s="12" t="n">
        <v>0.2612</v>
      </c>
      <c r="K1126" s="12" t="n">
        <v>0.4</v>
      </c>
      <c r="L1126" s="3" t="n">
        <v>6</v>
      </c>
      <c r="M1126" s="12" t="n">
        <f aca="false">Z1126-W1126</f>
        <v>-0.076854</v>
      </c>
      <c r="N1126" s="12" t="n">
        <f aca="false">IFERROR((Z1126-J1126)/L1126,"")</f>
        <v>0.023141</v>
      </c>
      <c r="O1126" s="3" t="n">
        <v>13</v>
      </c>
      <c r="P1126" s="13" t="b">
        <f aca="false">FALSE()</f>
        <v>0</v>
      </c>
      <c r="Q1126" s="3" t="s">
        <v>166</v>
      </c>
      <c r="R1126" s="12" t="n">
        <v>0.6922</v>
      </c>
      <c r="S1126" s="12" t="n">
        <v>0.1203</v>
      </c>
      <c r="T1126" s="3" t="n">
        <v>0.3081</v>
      </c>
      <c r="U1126" s="12" t="n">
        <v>0.3491</v>
      </c>
      <c r="V1126" s="12" t="n">
        <v>0.4619</v>
      </c>
      <c r="W1126" s="12" t="n">
        <v>0.4769</v>
      </c>
      <c r="X1126" s="3" t="n">
        <v>0.1378</v>
      </c>
      <c r="Y1126" s="3" t="n">
        <v>0.5729</v>
      </c>
      <c r="Z1126" s="14" t="n">
        <f aca="false">Assumptions!$B$3*R1126+Assumptions!$B$4*S1126+IF(AA1126=1,Assumptions!$B$11,Assumptions!$B$5)*X1126+IF(AA1126=1,Assumptions!$B$12,Assumptions!$B$6)*T1126+Assumptions!$B$7*U1126+Assumptions!$B$8*V1126+Assumptions!$B$9*Y1126</f>
        <v>0.400046</v>
      </c>
      <c r="AA1126" s="3" t="n">
        <v>0</v>
      </c>
    </row>
    <row r="1127" customFormat="false" ht="15" hidden="false" customHeight="false" outlineLevel="0" collapsed="false">
      <c r="A1127" s="3" t="s">
        <v>1312</v>
      </c>
      <c r="B1127" s="3" t="n">
        <v>308</v>
      </c>
      <c r="C1127" s="11" t="str">
        <f aca="false">IF(M1127&gt;=Assumptions!$B$17,"S+",IF(M1127&gt;=Assumptions!$B$18,"S",IF(M1127&gt;=Assumptions!$B$19,"A",IF(M1127&gt;=Assumptions!$B$20,"B",IF(M1127&gt;=Assumptions!$B$21,"C",IF(M1127&gt;=Assumptions!$B$22,"D","F"))))))</f>
        <v>F</v>
      </c>
      <c r="D1127" s="3" t="s">
        <v>228</v>
      </c>
      <c r="E1127" s="3" t="n">
        <v>1</v>
      </c>
      <c r="F1127" s="12" t="n">
        <v>0.5473</v>
      </c>
      <c r="G1127" s="12" t="n">
        <v>0.6</v>
      </c>
      <c r="H1127" s="12" t="n">
        <v>0.75</v>
      </c>
      <c r="I1127" s="12" t="n">
        <v>0.6131</v>
      </c>
      <c r="J1127" s="12" t="n">
        <v>0.301</v>
      </c>
      <c r="K1127" s="12" t="n">
        <v>0.4131</v>
      </c>
      <c r="L1127" s="3" t="n">
        <v>3.34</v>
      </c>
      <c r="M1127" s="12" t="n">
        <f aca="false">Z1127-W1127</f>
        <v>-0.077134</v>
      </c>
      <c r="N1127" s="12" t="n">
        <f aca="false">IFERROR((Z1127-J1127)/L1127,"")</f>
        <v>0.0335526946107784</v>
      </c>
      <c r="O1127" s="3" t="n">
        <v>19</v>
      </c>
      <c r="P1127" s="13" t="b">
        <f aca="false">FALSE()</f>
        <v>0</v>
      </c>
      <c r="Q1127" s="3" t="s">
        <v>166</v>
      </c>
      <c r="R1127" s="12" t="n">
        <v>0.5787</v>
      </c>
      <c r="S1127" s="12" t="n">
        <v>0.3848</v>
      </c>
      <c r="T1127" s="3" t="n">
        <v>0.1955</v>
      </c>
      <c r="U1127" s="12" t="n">
        <v>0.3401</v>
      </c>
      <c r="V1127" s="12" t="n">
        <v>0.5602</v>
      </c>
      <c r="W1127" s="12" t="n">
        <v>0.4902</v>
      </c>
      <c r="X1127" s="3" t="n">
        <v>0.2112</v>
      </c>
      <c r="Y1127" s="3" t="n">
        <v>0.52</v>
      </c>
      <c r="Z1127" s="14" t="n">
        <f aca="false">Assumptions!$B$3*R1127+Assumptions!$B$4*S1127+IF(AA1127=1,Assumptions!$B$11,Assumptions!$B$5)*X1127+IF(AA1127=1,Assumptions!$B$12,Assumptions!$B$6)*T1127+Assumptions!$B$7*U1127+Assumptions!$B$8*V1127+Assumptions!$B$9*Y1127</f>
        <v>0.413066</v>
      </c>
      <c r="AA1127" s="3" t="n">
        <v>0</v>
      </c>
    </row>
    <row r="1128" customFormat="false" ht="15" hidden="false" customHeight="false" outlineLevel="0" collapsed="false">
      <c r="A1128" s="3" t="s">
        <v>1313</v>
      </c>
      <c r="B1128" s="3" t="n">
        <v>280</v>
      </c>
      <c r="C1128" s="11" t="str">
        <f aca="false">IF(M1128&gt;=Assumptions!$B$17,"S+",IF(M1128&gt;=Assumptions!$B$18,"S",IF(M1128&gt;=Assumptions!$B$19,"A",IF(M1128&gt;=Assumptions!$B$20,"B",IF(M1128&gt;=Assumptions!$B$21,"C",IF(M1128&gt;=Assumptions!$B$22,"D","F"))))))</f>
        <v>F</v>
      </c>
      <c r="D1128" s="3" t="s">
        <v>190</v>
      </c>
      <c r="E1128" s="3" t="n">
        <v>1</v>
      </c>
      <c r="F1128" s="12" t="n">
        <v>0.6598</v>
      </c>
      <c r="G1128" s="12" t="n">
        <v>0.8</v>
      </c>
      <c r="H1128" s="12" t="n">
        <v>0.75</v>
      </c>
      <c r="I1128" s="12" t="n">
        <v>0.7367</v>
      </c>
      <c r="J1128" s="12" t="n">
        <v>0.2985</v>
      </c>
      <c r="K1128" s="12" t="n">
        <v>0.424</v>
      </c>
      <c r="L1128" s="3" t="n">
        <v>5.32</v>
      </c>
      <c r="M1128" s="12" t="n">
        <f aca="false">Z1128-W1128</f>
        <v>-0.077465</v>
      </c>
      <c r="N1128" s="12" t="n">
        <f aca="false">IFERROR((Z1128-J1128)/L1128,"")</f>
        <v>0.023578007518797</v>
      </c>
      <c r="O1128" s="3" t="n">
        <v>19</v>
      </c>
      <c r="P1128" s="13" t="b">
        <f aca="false">FALSE()</f>
        <v>0</v>
      </c>
      <c r="Q1128" s="3" t="s">
        <v>166</v>
      </c>
      <c r="R1128" s="12" t="n">
        <v>0.7109</v>
      </c>
      <c r="S1128" s="12" t="n">
        <v>0.1852</v>
      </c>
      <c r="T1128" s="3" t="n">
        <v>0.4031</v>
      </c>
      <c r="U1128" s="12" t="n">
        <v>0.2186</v>
      </c>
      <c r="V1128" s="12" t="n">
        <v>0.4905</v>
      </c>
      <c r="W1128" s="12" t="n">
        <v>0.5014</v>
      </c>
      <c r="X1128" s="3" t="n">
        <v>0.0969</v>
      </c>
      <c r="Y1128" s="3" t="n">
        <v>0.7163</v>
      </c>
      <c r="Z1128" s="14" t="n">
        <f aca="false">Assumptions!$B$3*R1128+Assumptions!$B$4*S1128+IF(AA1128=1,Assumptions!$B$11,Assumptions!$B$5)*X1128+IF(AA1128=1,Assumptions!$B$12,Assumptions!$B$6)*T1128+Assumptions!$B$7*U1128+Assumptions!$B$8*V1128+Assumptions!$B$9*Y1128</f>
        <v>0.423935</v>
      </c>
      <c r="AA1128" s="3" t="n">
        <v>0</v>
      </c>
    </row>
    <row r="1129" customFormat="false" ht="15" hidden="false" customHeight="false" outlineLevel="0" collapsed="false">
      <c r="A1129" s="3" t="s">
        <v>1314</v>
      </c>
      <c r="B1129" s="3" t="n">
        <v>236</v>
      </c>
      <c r="C1129" s="11" t="str">
        <f aca="false">IF(M1129&gt;=Assumptions!$B$17,"S+",IF(M1129&gt;=Assumptions!$B$18,"S",IF(M1129&gt;=Assumptions!$B$19,"A",IF(M1129&gt;=Assumptions!$B$20,"B",IF(M1129&gt;=Assumptions!$B$21,"C",IF(M1129&gt;=Assumptions!$B$22,"D","F"))))))</f>
        <v>F</v>
      </c>
      <c r="D1129" s="3" t="s">
        <v>218</v>
      </c>
      <c r="E1129" s="3" t="n">
        <v>9</v>
      </c>
      <c r="F1129" s="12" t="n">
        <v>0.8066</v>
      </c>
      <c r="G1129" s="12" t="n">
        <v>0.6</v>
      </c>
      <c r="H1129" s="12" t="n">
        <v>0.75</v>
      </c>
      <c r="I1129" s="12" t="n">
        <v>0.6961</v>
      </c>
      <c r="J1129" s="12" t="n">
        <v>0.3021</v>
      </c>
      <c r="K1129" s="12" t="n">
        <v>0.4322</v>
      </c>
      <c r="L1129" s="3" t="n">
        <v>4</v>
      </c>
      <c r="M1129" s="12" t="n">
        <f aca="false">Z1129-W1129</f>
        <v>-0.0784420000000001</v>
      </c>
      <c r="N1129" s="12" t="n">
        <f aca="false">IFERROR((Z1129-J1129)/L1129,"")</f>
        <v>0.0325145</v>
      </c>
      <c r="O1129" s="3" t="n">
        <v>11</v>
      </c>
      <c r="P1129" s="13" t="b">
        <f aca="false">FALSE()</f>
        <v>0</v>
      </c>
      <c r="Q1129" s="3" t="s">
        <v>166</v>
      </c>
      <c r="R1129" s="12" t="n">
        <v>0.824</v>
      </c>
      <c r="S1129" s="12" t="n">
        <v>0.3143</v>
      </c>
      <c r="T1129" s="3" t="n">
        <v>0.0692</v>
      </c>
      <c r="U1129" s="12" t="n">
        <v>0.3846</v>
      </c>
      <c r="V1129" s="12" t="n">
        <v>0.5089</v>
      </c>
      <c r="W1129" s="12" t="n">
        <v>0.5106</v>
      </c>
      <c r="X1129" s="3" t="n">
        <v>0</v>
      </c>
      <c r="Y1129" s="3" t="n">
        <v>0.6803</v>
      </c>
      <c r="Z1129" s="14" t="n">
        <f aca="false">Assumptions!$B$3*R1129+Assumptions!$B$4*S1129+IF(AA1129=1,Assumptions!$B$11,Assumptions!$B$5)*X1129+IF(AA1129=1,Assumptions!$B$12,Assumptions!$B$6)*T1129+Assumptions!$B$7*U1129+Assumptions!$B$8*V1129+Assumptions!$B$9*Y1129</f>
        <v>0.432158</v>
      </c>
      <c r="AA1129" s="3" t="n">
        <v>0</v>
      </c>
    </row>
    <row r="1130" customFormat="false" ht="15" hidden="false" customHeight="false" outlineLevel="0" collapsed="false">
      <c r="A1130" s="3" t="s">
        <v>1315</v>
      </c>
      <c r="B1130" s="3" t="n">
        <v>395</v>
      </c>
      <c r="C1130" s="11" t="str">
        <f aca="false">IF(M1130&gt;=Assumptions!$B$17,"S+",IF(M1130&gt;=Assumptions!$B$18,"S",IF(M1130&gt;=Assumptions!$B$19,"A",IF(M1130&gt;=Assumptions!$B$20,"B",IF(M1130&gt;=Assumptions!$B$21,"C",IF(M1130&gt;=Assumptions!$B$22,"D","F"))))))</f>
        <v>F</v>
      </c>
      <c r="D1130" s="3" t="s">
        <v>253</v>
      </c>
      <c r="E1130" s="3" t="n">
        <v>7</v>
      </c>
      <c r="F1130" s="12" t="n">
        <v>0.6386</v>
      </c>
      <c r="G1130" s="12" t="n">
        <v>0.4</v>
      </c>
      <c r="H1130" s="12" t="n">
        <v>0.75</v>
      </c>
      <c r="I1130" s="12" t="n">
        <v>0.5464</v>
      </c>
      <c r="J1130" s="12" t="n">
        <v>0.265</v>
      </c>
      <c r="K1130" s="12" t="n">
        <v>0.4506</v>
      </c>
      <c r="L1130" s="3" t="n">
        <v>5</v>
      </c>
      <c r="M1130" s="12" t="n">
        <f aca="false">Z1130-W1130</f>
        <v>-0.078903</v>
      </c>
      <c r="N1130" s="12" t="n">
        <f aca="false">IFERROR((Z1130-J1130)/L1130,"")</f>
        <v>0.0371194</v>
      </c>
      <c r="O1130" s="3" t="n">
        <v>13</v>
      </c>
      <c r="P1130" s="13" t="b">
        <f aca="false">FALSE()</f>
        <v>0</v>
      </c>
      <c r="Q1130" s="3" t="s">
        <v>166</v>
      </c>
      <c r="R1130" s="12" t="n">
        <v>0.6708</v>
      </c>
      <c r="S1130" s="12" t="n">
        <v>0.3406</v>
      </c>
      <c r="T1130" s="3" t="n">
        <v>0.0934</v>
      </c>
      <c r="U1130" s="12" t="n">
        <v>0.3846</v>
      </c>
      <c r="V1130" s="12" t="n">
        <v>0.3755</v>
      </c>
      <c r="W1130" s="12" t="n">
        <v>0.5295</v>
      </c>
      <c r="X1130" s="3" t="n">
        <v>0.5046</v>
      </c>
      <c r="Y1130" s="3" t="n">
        <v>0.5339</v>
      </c>
      <c r="Z1130" s="14" t="n">
        <f aca="false">Assumptions!$B$3*R1130+Assumptions!$B$4*S1130+IF(AA1130=1,Assumptions!$B$11,Assumptions!$B$5)*X1130+IF(AA1130=1,Assumptions!$B$12,Assumptions!$B$6)*T1130+Assumptions!$B$7*U1130+Assumptions!$B$8*V1130+Assumptions!$B$9*Y1130</f>
        <v>0.450597</v>
      </c>
      <c r="AA1130" s="3" t="n">
        <v>0</v>
      </c>
    </row>
    <row r="1131" customFormat="false" ht="15" hidden="false" customHeight="false" outlineLevel="0" collapsed="false">
      <c r="A1131" s="3" t="s">
        <v>1316</v>
      </c>
      <c r="B1131" s="3" t="n">
        <v>300</v>
      </c>
      <c r="C1131" s="11" t="str">
        <f aca="false">IF(M1131&gt;=Assumptions!$B$17,"S+",IF(M1131&gt;=Assumptions!$B$18,"S",IF(M1131&gt;=Assumptions!$B$19,"A",IF(M1131&gt;=Assumptions!$B$20,"B",IF(M1131&gt;=Assumptions!$B$21,"C",IF(M1131&gt;=Assumptions!$B$22,"D","F"))))))</f>
        <v>F</v>
      </c>
      <c r="D1131" s="3" t="s">
        <v>175</v>
      </c>
      <c r="E1131" s="3" t="n">
        <v>4</v>
      </c>
      <c r="F1131" s="12" t="n">
        <v>0.4712</v>
      </c>
      <c r="G1131" s="12" t="n">
        <v>0.45</v>
      </c>
      <c r="H1131" s="12" t="n">
        <v>0.75</v>
      </c>
      <c r="I1131" s="12" t="n">
        <v>0.5132</v>
      </c>
      <c r="J1131" s="12" t="n">
        <v>0.2182</v>
      </c>
      <c r="K1131" s="12" t="n">
        <v>0.3507</v>
      </c>
      <c r="L1131" s="3" t="n">
        <v>3.69</v>
      </c>
      <c r="M1131" s="12" t="n">
        <f aca="false">Z1131-W1131</f>
        <v>-0.080092</v>
      </c>
      <c r="N1131" s="12" t="n">
        <f aca="false">IFERROR((Z1131-J1131)/L1131,"")</f>
        <v>0.035910027100271</v>
      </c>
      <c r="O1131" s="3" t="n">
        <v>16</v>
      </c>
      <c r="P1131" s="13" t="b">
        <f aca="false">FALSE()</f>
        <v>0</v>
      </c>
      <c r="Q1131" s="3" t="s">
        <v>166</v>
      </c>
      <c r="R1131" s="12" t="n">
        <v>0.487</v>
      </c>
      <c r="S1131" s="12" t="n">
        <v>0.3672</v>
      </c>
      <c r="T1131" s="3" t="n">
        <v>0.0666</v>
      </c>
      <c r="U1131" s="12" t="n">
        <v>0.2548</v>
      </c>
      <c r="V1131" s="12" t="n">
        <v>0.5234</v>
      </c>
      <c r="W1131" s="12" t="n">
        <v>0.4308</v>
      </c>
      <c r="X1131" s="3" t="n">
        <v>0.2107</v>
      </c>
      <c r="Y1131" s="3" t="n">
        <v>0.4425</v>
      </c>
      <c r="Z1131" s="14" t="n">
        <f aca="false">Assumptions!$B$3*R1131+Assumptions!$B$4*S1131+IF(AA1131=1,Assumptions!$B$11,Assumptions!$B$5)*X1131+IF(AA1131=1,Assumptions!$B$12,Assumptions!$B$6)*T1131+Assumptions!$B$7*U1131+Assumptions!$B$8*V1131+Assumptions!$B$9*Y1131</f>
        <v>0.350708</v>
      </c>
      <c r="AA1131" s="3" t="n">
        <v>0</v>
      </c>
    </row>
    <row r="1132" customFormat="false" ht="15" hidden="false" customHeight="false" outlineLevel="0" collapsed="false">
      <c r="A1132" s="3" t="s">
        <v>1317</v>
      </c>
      <c r="B1132" s="3" t="n">
        <v>275</v>
      </c>
      <c r="C1132" s="11" t="str">
        <f aca="false">IF(M1132&gt;=Assumptions!$B$17,"S+",IF(M1132&gt;=Assumptions!$B$18,"S",IF(M1132&gt;=Assumptions!$B$19,"A",IF(M1132&gt;=Assumptions!$B$20,"B",IF(M1132&gt;=Assumptions!$B$21,"C",IF(M1132&gt;=Assumptions!$B$22,"D","F"))))))</f>
        <v>F</v>
      </c>
      <c r="D1132" s="3" t="s">
        <v>188</v>
      </c>
      <c r="E1132" s="3" t="n">
        <v>2</v>
      </c>
      <c r="F1132" s="12" t="n">
        <v>0.5721</v>
      </c>
      <c r="G1132" s="12" t="n">
        <v>0.15</v>
      </c>
      <c r="H1132" s="12" t="n">
        <v>0.75</v>
      </c>
      <c r="I1132" s="12" t="n">
        <v>0.3333</v>
      </c>
      <c r="J1132" s="12" t="n">
        <v>0.2312</v>
      </c>
      <c r="K1132" s="12" t="n">
        <v>0.3067</v>
      </c>
      <c r="L1132" s="3" t="n">
        <v>2.22</v>
      </c>
      <c r="M1132" s="12" t="n">
        <f aca="false">Z1132-W1132</f>
        <v>-0.080505</v>
      </c>
      <c r="N1132" s="12" t="n">
        <f aca="false">IFERROR((Z1132-J1132)/L1132,"")</f>
        <v>0.0340067567567568</v>
      </c>
      <c r="O1132" s="3" t="n">
        <v>18</v>
      </c>
      <c r="P1132" s="13" t="b">
        <f aca="false">FALSE()</f>
        <v>0</v>
      </c>
      <c r="Q1132" s="3" t="s">
        <v>166</v>
      </c>
      <c r="R1132" s="12" t="n">
        <v>0.4804</v>
      </c>
      <c r="S1132" s="12" t="n">
        <v>0.2222</v>
      </c>
      <c r="T1132" s="3" t="n">
        <v>0.3135</v>
      </c>
      <c r="U1132" s="12" t="n">
        <v>0.2137</v>
      </c>
      <c r="V1132" s="12" t="n">
        <v>0.5081</v>
      </c>
      <c r="W1132" s="12" t="n">
        <v>0.3872</v>
      </c>
      <c r="X1132" s="3" t="n">
        <v>0</v>
      </c>
      <c r="Y1132" s="3" t="n">
        <v>0.3358</v>
      </c>
      <c r="Z1132" s="14" t="n">
        <f aca="false">Assumptions!$B$3*R1132+Assumptions!$B$4*S1132+IF(AA1132=1,Assumptions!$B$11,Assumptions!$B$5)*X1132+IF(AA1132=1,Assumptions!$B$12,Assumptions!$B$6)*T1132+Assumptions!$B$7*U1132+Assumptions!$B$8*V1132+Assumptions!$B$9*Y1132</f>
        <v>0.306695</v>
      </c>
      <c r="AA1132" s="3" t="n">
        <v>0</v>
      </c>
    </row>
    <row r="1133" customFormat="false" ht="15" hidden="false" customHeight="false" outlineLevel="0" collapsed="false">
      <c r="A1133" s="3" t="s">
        <v>1318</v>
      </c>
      <c r="B1133" s="3" t="n">
        <v>354</v>
      </c>
      <c r="C1133" s="11" t="str">
        <f aca="false">IF(M1133&gt;=Assumptions!$B$17,"S+",IF(M1133&gt;=Assumptions!$B$18,"S",IF(M1133&gt;=Assumptions!$B$19,"A",IF(M1133&gt;=Assumptions!$B$20,"B",IF(M1133&gt;=Assumptions!$B$21,"C",IF(M1133&gt;=Assumptions!$B$22,"D","F"))))))</f>
        <v>F</v>
      </c>
      <c r="D1133" s="3" t="s">
        <v>253</v>
      </c>
      <c r="E1133" s="3" t="n">
        <v>3</v>
      </c>
      <c r="F1133" s="12" t="n">
        <v>0.6716</v>
      </c>
      <c r="G1133" s="12" t="n">
        <v>0.6</v>
      </c>
      <c r="H1133" s="12" t="n">
        <v>0.75</v>
      </c>
      <c r="I1133" s="12" t="n">
        <v>0.6529</v>
      </c>
      <c r="J1133" s="12" t="n">
        <v>0.2702</v>
      </c>
      <c r="K1133" s="12" t="n">
        <v>0.4378</v>
      </c>
      <c r="L1133" s="3" t="n">
        <v>3.71</v>
      </c>
      <c r="M1133" s="12" t="n">
        <f aca="false">Z1133-W1133</f>
        <v>-0.08059</v>
      </c>
      <c r="N1133" s="12" t="n">
        <f aca="false">IFERROR((Z1133-J1133)/L1133,"")</f>
        <v>0.045177897574124</v>
      </c>
      <c r="O1133" s="3" t="n">
        <v>17</v>
      </c>
      <c r="P1133" s="13" t="b">
        <f aca="false">FALSE()</f>
        <v>0</v>
      </c>
      <c r="Q1133" s="3" t="s">
        <v>166</v>
      </c>
      <c r="R1133" s="12" t="n">
        <v>0.6328</v>
      </c>
      <c r="S1133" s="12" t="n">
        <v>0.3174</v>
      </c>
      <c r="T1133" s="3" t="n">
        <v>0.0907</v>
      </c>
      <c r="U1133" s="12" t="n">
        <v>0.4344</v>
      </c>
      <c r="V1133" s="12" t="n">
        <v>0.4082</v>
      </c>
      <c r="W1133" s="12" t="n">
        <v>0.5184</v>
      </c>
      <c r="X1133" s="3" t="n">
        <v>0.4011</v>
      </c>
      <c r="Y1133" s="3" t="n">
        <v>0.6227</v>
      </c>
      <c r="Z1133" s="14" t="n">
        <f aca="false">Assumptions!$B$3*R1133+Assumptions!$B$4*S1133+IF(AA1133=1,Assumptions!$B$11,Assumptions!$B$5)*X1133+IF(AA1133=1,Assumptions!$B$12,Assumptions!$B$6)*T1133+Assumptions!$B$7*U1133+Assumptions!$B$8*V1133+Assumptions!$B$9*Y1133</f>
        <v>0.43781</v>
      </c>
      <c r="AA1133" s="3" t="n">
        <v>0</v>
      </c>
    </row>
    <row r="1134" customFormat="false" ht="15" hidden="false" customHeight="false" outlineLevel="0" collapsed="false">
      <c r="A1134" s="3" t="s">
        <v>1319</v>
      </c>
      <c r="B1134" s="3" t="n">
        <v>330</v>
      </c>
      <c r="C1134" s="11" t="str">
        <f aca="false">IF(M1134&gt;=Assumptions!$B$17,"S+",IF(M1134&gt;=Assumptions!$B$18,"S",IF(M1134&gt;=Assumptions!$B$19,"A",IF(M1134&gt;=Assumptions!$B$20,"B",IF(M1134&gt;=Assumptions!$B$21,"C",IF(M1134&gt;=Assumptions!$B$22,"D","F"))))))</f>
        <v>F</v>
      </c>
      <c r="D1134" s="3" t="s">
        <v>218</v>
      </c>
      <c r="E1134" s="3" t="n">
        <v>1</v>
      </c>
      <c r="F1134" s="12" t="n">
        <v>0.7055</v>
      </c>
      <c r="G1134" s="12" t="n">
        <v>0.4</v>
      </c>
      <c r="H1134" s="12" t="n">
        <v>0.75</v>
      </c>
      <c r="I1134" s="12" t="n">
        <v>0.5678</v>
      </c>
      <c r="J1134" s="12" t="n">
        <v>0.229</v>
      </c>
      <c r="K1134" s="12" t="n">
        <v>0.4278</v>
      </c>
      <c r="L1134" s="3" t="n">
        <v>5.68</v>
      </c>
      <c r="M1134" s="12" t="n">
        <f aca="false">Z1134-W1134</f>
        <v>-0.0807830000000001</v>
      </c>
      <c r="N1134" s="12" t="n">
        <f aca="false">IFERROR((Z1134-J1134)/L1134,"")</f>
        <v>0.0350029929577465</v>
      </c>
      <c r="O1134" s="3" t="n">
        <v>19</v>
      </c>
      <c r="P1134" s="13" t="b">
        <f aca="false">FALSE()</f>
        <v>0</v>
      </c>
      <c r="Q1134" s="3" t="s">
        <v>166</v>
      </c>
      <c r="R1134" s="12" t="n">
        <v>0.7641</v>
      </c>
      <c r="S1134" s="12" t="n">
        <v>0.3548</v>
      </c>
      <c r="T1134" s="3" t="n">
        <v>0.1873</v>
      </c>
      <c r="U1134" s="12" t="n">
        <v>0.2348</v>
      </c>
      <c r="V1134" s="12" t="n">
        <v>0.4579</v>
      </c>
      <c r="W1134" s="12" t="n">
        <v>0.5086</v>
      </c>
      <c r="X1134" s="3" t="n">
        <v>0.1371</v>
      </c>
      <c r="Y1134" s="3" t="n">
        <v>0.5767</v>
      </c>
      <c r="Z1134" s="14" t="n">
        <f aca="false">Assumptions!$B$3*R1134+Assumptions!$B$4*S1134+IF(AA1134=1,Assumptions!$B$11,Assumptions!$B$5)*X1134+IF(AA1134=1,Assumptions!$B$12,Assumptions!$B$6)*T1134+Assumptions!$B$7*U1134+Assumptions!$B$8*V1134+Assumptions!$B$9*Y1134</f>
        <v>0.427817</v>
      </c>
      <c r="AA1134" s="3" t="n">
        <v>0</v>
      </c>
    </row>
    <row r="1135" customFormat="false" ht="15" hidden="false" customHeight="false" outlineLevel="0" collapsed="false">
      <c r="A1135" s="3" t="s">
        <v>1320</v>
      </c>
      <c r="B1135" s="3" t="n">
        <v>295</v>
      </c>
      <c r="C1135" s="11" t="str">
        <f aca="false">IF(M1135&gt;=Assumptions!$B$17,"S+",IF(M1135&gt;=Assumptions!$B$18,"S",IF(M1135&gt;=Assumptions!$B$19,"A",IF(M1135&gt;=Assumptions!$B$20,"B",IF(M1135&gt;=Assumptions!$B$21,"C",IF(M1135&gt;=Assumptions!$B$22,"D","F"))))))</f>
        <v>F</v>
      </c>
      <c r="D1135" s="3" t="s">
        <v>218</v>
      </c>
      <c r="E1135" s="3" t="n">
        <v>1</v>
      </c>
      <c r="F1135" s="12" t="n">
        <v>0.6962</v>
      </c>
      <c r="G1135" s="12" t="n">
        <v>0.6</v>
      </c>
      <c r="H1135" s="12" t="n">
        <v>0.75</v>
      </c>
      <c r="I1135" s="12" t="n">
        <v>0.6608</v>
      </c>
      <c r="J1135" s="12" t="n">
        <v>0.3073</v>
      </c>
      <c r="K1135" s="12" t="n">
        <v>0.4243</v>
      </c>
      <c r="L1135" s="3" t="n">
        <v>5.61</v>
      </c>
      <c r="M1135" s="12" t="n">
        <f aca="false">Z1135-W1135</f>
        <v>-0.0813950000000001</v>
      </c>
      <c r="N1135" s="12" t="n">
        <f aca="false">IFERROR((Z1135-J1135)/L1135,"")</f>
        <v>0.0208565062388592</v>
      </c>
      <c r="O1135" s="3" t="n">
        <v>19</v>
      </c>
      <c r="P1135" s="13" t="b">
        <f aca="false">FALSE()</f>
        <v>0</v>
      </c>
      <c r="Q1135" s="3" t="s">
        <v>166</v>
      </c>
      <c r="R1135" s="12" t="n">
        <v>0.674</v>
      </c>
      <c r="S1135" s="12" t="n">
        <v>0.2949</v>
      </c>
      <c r="T1135" s="3" t="n">
        <v>0.1996</v>
      </c>
      <c r="U1135" s="12" t="n">
        <v>0.3158</v>
      </c>
      <c r="V1135" s="12" t="n">
        <v>0.5602</v>
      </c>
      <c r="W1135" s="12" t="n">
        <v>0.5057</v>
      </c>
      <c r="X1135" s="3" t="n">
        <v>0.1386</v>
      </c>
      <c r="Y1135" s="3" t="n">
        <v>0.655</v>
      </c>
      <c r="Z1135" s="14" t="n">
        <f aca="false">Assumptions!$B$3*R1135+Assumptions!$B$4*S1135+IF(AA1135=1,Assumptions!$B$11,Assumptions!$B$5)*X1135+IF(AA1135=1,Assumptions!$B$12,Assumptions!$B$6)*T1135+Assumptions!$B$7*U1135+Assumptions!$B$8*V1135+Assumptions!$B$9*Y1135</f>
        <v>0.424305</v>
      </c>
      <c r="AA1135" s="3" t="n">
        <v>0</v>
      </c>
    </row>
    <row r="1136" customFormat="false" ht="15" hidden="false" customHeight="false" outlineLevel="0" collapsed="false">
      <c r="A1136" s="3" t="s">
        <v>1321</v>
      </c>
      <c r="B1136" s="3" t="n">
        <v>308</v>
      </c>
      <c r="C1136" s="11" t="str">
        <f aca="false">IF(M1136&gt;=Assumptions!$B$17,"S+",IF(M1136&gt;=Assumptions!$B$18,"S",IF(M1136&gt;=Assumptions!$B$19,"A",IF(M1136&gt;=Assumptions!$B$20,"B",IF(M1136&gt;=Assumptions!$B$21,"C",IF(M1136&gt;=Assumptions!$B$22,"D","F"))))))</f>
        <v>F</v>
      </c>
      <c r="D1136" s="3" t="s">
        <v>218</v>
      </c>
      <c r="E1136" s="3" t="n">
        <v>1</v>
      </c>
      <c r="F1136" s="12" t="n">
        <v>0.5172</v>
      </c>
      <c r="G1136" s="12" t="n">
        <v>0.6</v>
      </c>
      <c r="H1136" s="12" t="n">
        <v>0.75</v>
      </c>
      <c r="I1136" s="12" t="n">
        <v>0.6035</v>
      </c>
      <c r="J1136" s="12" t="n">
        <v>0.2818</v>
      </c>
      <c r="K1136" s="12" t="n">
        <v>0.4272</v>
      </c>
      <c r="L1136" s="3" t="n">
        <v>6.53</v>
      </c>
      <c r="M1136" s="12" t="n">
        <f aca="false">Z1136-W1136</f>
        <v>-0.081363</v>
      </c>
      <c r="N1136" s="12" t="n">
        <f aca="false">IFERROR((Z1136-J1136)/L1136,"")</f>
        <v>0.0222721286370597</v>
      </c>
      <c r="O1136" s="3" t="n">
        <v>19</v>
      </c>
      <c r="P1136" s="13" t="b">
        <f aca="false">FALSE()</f>
        <v>0</v>
      </c>
      <c r="Q1136" s="3" t="s">
        <v>166</v>
      </c>
      <c r="R1136" s="12" t="n">
        <v>0.7524</v>
      </c>
      <c r="S1136" s="12" t="n">
        <v>0.3209</v>
      </c>
      <c r="T1136" s="3" t="n">
        <v>0.2101</v>
      </c>
      <c r="U1136" s="12" t="n">
        <v>0.3036</v>
      </c>
      <c r="V1136" s="12" t="n">
        <v>0.4614</v>
      </c>
      <c r="W1136" s="12" t="n">
        <v>0.5086</v>
      </c>
      <c r="X1136" s="3" t="n">
        <v>0.1002</v>
      </c>
      <c r="Y1136" s="3" t="n">
        <v>0.6112</v>
      </c>
      <c r="Z1136" s="14" t="n">
        <f aca="false">Assumptions!$B$3*R1136+Assumptions!$B$4*S1136+IF(AA1136=1,Assumptions!$B$11,Assumptions!$B$5)*X1136+IF(AA1136=1,Assumptions!$B$12,Assumptions!$B$6)*T1136+Assumptions!$B$7*U1136+Assumptions!$B$8*V1136+Assumptions!$B$9*Y1136</f>
        <v>0.427237</v>
      </c>
      <c r="AA1136" s="3" t="n">
        <v>0</v>
      </c>
    </row>
    <row r="1137" customFormat="false" ht="15" hidden="false" customHeight="false" outlineLevel="0" collapsed="false">
      <c r="A1137" s="3" t="s">
        <v>1322</v>
      </c>
      <c r="B1137" s="3" t="n">
        <v>245</v>
      </c>
      <c r="C1137" s="11" t="str">
        <f aca="false">IF(M1137&gt;=Assumptions!$B$17,"S+",IF(M1137&gt;=Assumptions!$B$18,"S",IF(M1137&gt;=Assumptions!$B$19,"A",IF(M1137&gt;=Assumptions!$B$20,"B",IF(M1137&gt;=Assumptions!$B$21,"C",IF(M1137&gt;=Assumptions!$B$22,"D","F"))))))</f>
        <v>F</v>
      </c>
      <c r="D1137" s="3" t="s">
        <v>190</v>
      </c>
      <c r="E1137" s="3" t="n">
        <v>1</v>
      </c>
      <c r="F1137" s="12" t="n">
        <v>0.5115</v>
      </c>
      <c r="G1137" s="12" t="n">
        <v>0.4</v>
      </c>
      <c r="H1137" s="12" t="n">
        <v>0.75</v>
      </c>
      <c r="I1137" s="12" t="n">
        <v>0.5124</v>
      </c>
      <c r="J1137" s="12" t="n">
        <v>0.2366</v>
      </c>
      <c r="K1137" s="12" t="n">
        <v>0.4117</v>
      </c>
      <c r="L1137" s="3" t="n">
        <v>5.71</v>
      </c>
      <c r="M1137" s="12" t="n">
        <f aca="false">Z1137-W1137</f>
        <v>-0.0821130000000001</v>
      </c>
      <c r="N1137" s="12" t="n">
        <f aca="false">IFERROR((Z1137-J1137)/L1137,"")</f>
        <v>0.0306632224168126</v>
      </c>
      <c r="O1137" s="3" t="n">
        <v>19</v>
      </c>
      <c r="P1137" s="13" t="b">
        <f aca="false">FALSE()</f>
        <v>0</v>
      </c>
      <c r="Q1137" s="3" t="s">
        <v>166</v>
      </c>
      <c r="R1137" s="12" t="n">
        <v>0.6625</v>
      </c>
      <c r="S1137" s="12" t="n">
        <v>0.2249</v>
      </c>
      <c r="T1137" s="3" t="n">
        <v>0.2742</v>
      </c>
      <c r="U1137" s="12" t="n">
        <v>0.3644</v>
      </c>
      <c r="V1137" s="12" t="n">
        <v>0.5026</v>
      </c>
      <c r="W1137" s="12" t="n">
        <v>0.4938</v>
      </c>
      <c r="X1137" s="3" t="n">
        <v>0.1817</v>
      </c>
      <c r="Y1137" s="3" t="n">
        <v>0.52</v>
      </c>
      <c r="Z1137" s="14" t="n">
        <f aca="false">Assumptions!$B$3*R1137+Assumptions!$B$4*S1137+IF(AA1137=1,Assumptions!$B$11,Assumptions!$B$5)*X1137+IF(AA1137=1,Assumptions!$B$12,Assumptions!$B$6)*T1137+Assumptions!$B$7*U1137+Assumptions!$B$8*V1137+Assumptions!$B$9*Y1137</f>
        <v>0.411687</v>
      </c>
      <c r="AA1137" s="3" t="n">
        <v>0</v>
      </c>
    </row>
    <row r="1138" customFormat="false" ht="15" hidden="false" customHeight="false" outlineLevel="0" collapsed="false">
      <c r="A1138" s="3" t="s">
        <v>1323</v>
      </c>
      <c r="B1138" s="3" t="n">
        <v>285</v>
      </c>
      <c r="C1138" s="11" t="str">
        <f aca="false">IF(M1138&gt;=Assumptions!$B$17,"S+",IF(M1138&gt;=Assumptions!$B$18,"S",IF(M1138&gt;=Assumptions!$B$19,"A",IF(M1138&gt;=Assumptions!$B$20,"B",IF(M1138&gt;=Assumptions!$B$21,"C",IF(M1138&gt;=Assumptions!$B$22,"D","F"))))))</f>
        <v>F</v>
      </c>
      <c r="D1138" s="3" t="s">
        <v>253</v>
      </c>
      <c r="E1138" s="3" t="n">
        <v>1</v>
      </c>
      <c r="F1138" s="12" t="n">
        <v>0.6414</v>
      </c>
      <c r="G1138" s="12" t="n">
        <v>0.4</v>
      </c>
      <c r="H1138" s="12" t="n">
        <v>0.75</v>
      </c>
      <c r="I1138" s="12" t="n">
        <v>0.5473</v>
      </c>
      <c r="J1138" s="12" t="n">
        <v>0.3002</v>
      </c>
      <c r="K1138" s="12" t="n">
        <v>0.4272</v>
      </c>
      <c r="L1138" s="3" t="n">
        <v>5.45</v>
      </c>
      <c r="M1138" s="12" t="n">
        <f aca="false">Z1138-W1138</f>
        <v>-0.0823249999999999</v>
      </c>
      <c r="N1138" s="12" t="n">
        <f aca="false">IFERROR((Z1138-J1138)/L1138,"")</f>
        <v>0.0232981651376147</v>
      </c>
      <c r="O1138" s="3" t="n">
        <v>19</v>
      </c>
      <c r="P1138" s="13" t="b">
        <f aca="false">FALSE()</f>
        <v>0</v>
      </c>
      <c r="Q1138" s="3" t="s">
        <v>166</v>
      </c>
      <c r="R1138" s="12" t="n">
        <v>0.6141</v>
      </c>
      <c r="S1138" s="12" t="n">
        <v>0.3968</v>
      </c>
      <c r="T1138" s="3" t="n">
        <v>0.0792</v>
      </c>
      <c r="U1138" s="12" t="n">
        <v>0.3077</v>
      </c>
      <c r="V1138" s="12" t="n">
        <v>0.4739</v>
      </c>
      <c r="W1138" s="12" t="n">
        <v>0.5095</v>
      </c>
      <c r="X1138" s="3" t="n">
        <v>0.4066</v>
      </c>
      <c r="Y1138" s="3" t="n">
        <v>0.5053</v>
      </c>
      <c r="Z1138" s="14" t="n">
        <f aca="false">Assumptions!$B$3*R1138+Assumptions!$B$4*S1138+IF(AA1138=1,Assumptions!$B$11,Assumptions!$B$5)*X1138+IF(AA1138=1,Assumptions!$B$12,Assumptions!$B$6)*T1138+Assumptions!$B$7*U1138+Assumptions!$B$8*V1138+Assumptions!$B$9*Y1138</f>
        <v>0.427175</v>
      </c>
      <c r="AA1138" s="3" t="n">
        <v>0</v>
      </c>
    </row>
    <row r="1139" customFormat="false" ht="15" hidden="false" customHeight="false" outlineLevel="0" collapsed="false">
      <c r="A1139" s="3" t="s">
        <v>1324</v>
      </c>
      <c r="B1139" s="3" t="n">
        <v>305</v>
      </c>
      <c r="C1139" s="11" t="str">
        <f aca="false">IF(M1139&gt;=Assumptions!$B$17,"S+",IF(M1139&gt;=Assumptions!$B$18,"S",IF(M1139&gt;=Assumptions!$B$19,"A",IF(M1139&gt;=Assumptions!$B$20,"B",IF(M1139&gt;=Assumptions!$B$21,"C",IF(M1139&gt;=Assumptions!$B$22,"D","F"))))))</f>
        <v>F</v>
      </c>
      <c r="D1139" s="3" t="s">
        <v>190</v>
      </c>
      <c r="E1139" s="3" t="n">
        <v>3</v>
      </c>
      <c r="F1139" s="12" t="n">
        <v>0.4492</v>
      </c>
      <c r="G1139" s="12" t="n">
        <v>1</v>
      </c>
      <c r="H1139" s="12" t="n">
        <v>0.75</v>
      </c>
      <c r="I1139" s="12" t="n">
        <v>0.7407</v>
      </c>
      <c r="J1139" s="12" t="n">
        <v>0.269</v>
      </c>
      <c r="K1139" s="12" t="n">
        <v>0.402</v>
      </c>
      <c r="L1139" s="3" t="n">
        <v>5.82</v>
      </c>
      <c r="M1139" s="12" t="n">
        <f aca="false">Z1139-W1139</f>
        <v>-0.082876</v>
      </c>
      <c r="N1139" s="12" t="n">
        <f aca="false">IFERROR((Z1139-J1139)/L1139,"")</f>
        <v>0.0228563573883162</v>
      </c>
      <c r="O1139" s="3" t="n">
        <v>17</v>
      </c>
      <c r="P1139" s="13" t="b">
        <f aca="false">FALSE()</f>
        <v>0</v>
      </c>
      <c r="Q1139" s="3" t="s">
        <v>166</v>
      </c>
      <c r="R1139" s="12" t="n">
        <v>0.7834</v>
      </c>
      <c r="S1139" s="12" t="n">
        <v>0.138</v>
      </c>
      <c r="T1139" s="3" t="n">
        <v>0.1417</v>
      </c>
      <c r="U1139" s="12" t="n">
        <v>0.3484</v>
      </c>
      <c r="V1139" s="12" t="n">
        <v>0.3802</v>
      </c>
      <c r="W1139" s="12" t="n">
        <v>0.4849</v>
      </c>
      <c r="X1139" s="3" t="n">
        <v>0.0809</v>
      </c>
      <c r="Y1139" s="3" t="n">
        <v>0.7103</v>
      </c>
      <c r="Z1139" s="14" t="n">
        <f aca="false">Assumptions!$B$3*R1139+Assumptions!$B$4*S1139+IF(AA1139=1,Assumptions!$B$11,Assumptions!$B$5)*X1139+IF(AA1139=1,Assumptions!$B$12,Assumptions!$B$6)*T1139+Assumptions!$B$7*U1139+Assumptions!$B$8*V1139+Assumptions!$B$9*Y1139</f>
        <v>0.402024</v>
      </c>
      <c r="AA1139" s="3" t="n">
        <v>0</v>
      </c>
    </row>
    <row r="1140" customFormat="false" ht="15" hidden="false" customHeight="false" outlineLevel="0" collapsed="false">
      <c r="A1140" s="3" t="s">
        <v>1325</v>
      </c>
      <c r="B1140" s="3" t="n">
        <v>265</v>
      </c>
      <c r="C1140" s="11" t="str">
        <f aca="false">IF(M1140&gt;=Assumptions!$B$17,"S+",IF(M1140&gt;=Assumptions!$B$18,"S",IF(M1140&gt;=Assumptions!$B$19,"A",IF(M1140&gt;=Assumptions!$B$20,"B",IF(M1140&gt;=Assumptions!$B$21,"C",IF(M1140&gt;=Assumptions!$B$22,"D","F"))))))</f>
        <v>F</v>
      </c>
      <c r="D1140" s="3" t="s">
        <v>203</v>
      </c>
      <c r="E1140" s="3" t="n">
        <v>1</v>
      </c>
      <c r="F1140" s="12" t="n">
        <v>0.4754</v>
      </c>
      <c r="G1140" s="12" t="n">
        <v>1</v>
      </c>
      <c r="H1140" s="12" t="n">
        <v>0.75</v>
      </c>
      <c r="I1140" s="12" t="n">
        <v>0.7926</v>
      </c>
      <c r="J1140" s="12" t="n">
        <v>0.3202</v>
      </c>
      <c r="K1140" s="12" t="n">
        <v>0.4037</v>
      </c>
      <c r="L1140" s="3" t="n">
        <v>5.34</v>
      </c>
      <c r="M1140" s="12" t="n">
        <f aca="false">Z1140-W1140</f>
        <v>-0.083501</v>
      </c>
      <c r="N1140" s="12" t="n">
        <f aca="false">IFERROR((Z1140-J1140)/L1140,"")</f>
        <v>0.0156365168539326</v>
      </c>
      <c r="O1140" s="3" t="n">
        <v>19</v>
      </c>
      <c r="P1140" s="13" t="b">
        <f aca="false">FALSE()</f>
        <v>0</v>
      </c>
      <c r="Q1140" s="3" t="s">
        <v>166</v>
      </c>
      <c r="R1140" s="12" t="n">
        <v>0.5307</v>
      </c>
      <c r="S1140" s="12" t="n">
        <v>0.2796</v>
      </c>
      <c r="T1140" s="3" t="n">
        <v>0.1871</v>
      </c>
      <c r="U1140" s="12" t="n">
        <v>0.421</v>
      </c>
      <c r="V1140" s="12" t="n">
        <v>0.5171</v>
      </c>
      <c r="W1140" s="12" t="n">
        <v>0.4872</v>
      </c>
      <c r="X1140" s="3" t="n">
        <v>0.1759</v>
      </c>
      <c r="Y1140" s="3" t="n">
        <v>0.742</v>
      </c>
      <c r="Z1140" s="14" t="n">
        <f aca="false">Assumptions!$B$3*R1140+Assumptions!$B$4*S1140+IF(AA1140=1,Assumptions!$B$11,Assumptions!$B$5)*X1140+IF(AA1140=1,Assumptions!$B$12,Assumptions!$B$6)*T1140+Assumptions!$B$7*U1140+Assumptions!$B$8*V1140+Assumptions!$B$9*Y1140</f>
        <v>0.403699</v>
      </c>
      <c r="AA1140" s="3" t="n">
        <v>0</v>
      </c>
    </row>
    <row r="1141" customFormat="false" ht="15" hidden="false" customHeight="false" outlineLevel="0" collapsed="false">
      <c r="A1141" s="3" t="s">
        <v>1326</v>
      </c>
      <c r="B1141" s="3" t="n">
        <v>300</v>
      </c>
      <c r="C1141" s="11" t="str">
        <f aca="false">IF(M1141&gt;=Assumptions!$B$17,"S+",IF(M1141&gt;=Assumptions!$B$18,"S",IF(M1141&gt;=Assumptions!$B$19,"A",IF(M1141&gt;=Assumptions!$B$20,"B",IF(M1141&gt;=Assumptions!$B$21,"C",IF(M1141&gt;=Assumptions!$B$22,"D","F"))))))</f>
        <v>F</v>
      </c>
      <c r="D1141" s="3" t="s">
        <v>218</v>
      </c>
      <c r="E1141" s="3" t="n">
        <v>1</v>
      </c>
      <c r="F1141" s="12" t="n">
        <v>0.5658</v>
      </c>
      <c r="G1141" s="12" t="n">
        <v>0.4</v>
      </c>
      <c r="H1141" s="12" t="n">
        <v>0.75</v>
      </c>
      <c r="I1141" s="12" t="n">
        <v>0.5231</v>
      </c>
      <c r="J1141" s="12" t="n">
        <v>0.2814</v>
      </c>
      <c r="K1141" s="12" t="n">
        <v>0.413</v>
      </c>
      <c r="L1141" s="3" t="n">
        <v>5.47</v>
      </c>
      <c r="M1141" s="12" t="n">
        <f aca="false">Z1141-W1141</f>
        <v>-0.083581</v>
      </c>
      <c r="N1141" s="12" t="n">
        <f aca="false">IFERROR((Z1141-J1141)/L1141,"")</f>
        <v>0.0240619744058501</v>
      </c>
      <c r="O1141" s="3" t="n">
        <v>19</v>
      </c>
      <c r="P1141" s="13" t="b">
        <f aca="false">FALSE()</f>
        <v>0</v>
      </c>
      <c r="Q1141" s="3" t="s">
        <v>166</v>
      </c>
      <c r="R1141" s="12" t="n">
        <v>0.8764</v>
      </c>
      <c r="S1141" s="12" t="n">
        <v>0.2398</v>
      </c>
      <c r="T1141" s="3" t="n">
        <v>0.1825</v>
      </c>
      <c r="U1141" s="12" t="n">
        <v>0.1417</v>
      </c>
      <c r="V1141" s="12" t="n">
        <v>0.4391</v>
      </c>
      <c r="W1141" s="12" t="n">
        <v>0.4966</v>
      </c>
      <c r="X1141" s="3" t="n">
        <v>0.1124</v>
      </c>
      <c r="Y1141" s="3" t="n">
        <v>0.4683</v>
      </c>
      <c r="Z1141" s="14" t="n">
        <f aca="false">Assumptions!$B$3*R1141+Assumptions!$B$4*S1141+IF(AA1141=1,Assumptions!$B$11,Assumptions!$B$5)*X1141+IF(AA1141=1,Assumptions!$B$12,Assumptions!$B$6)*T1141+Assumptions!$B$7*U1141+Assumptions!$B$8*V1141+Assumptions!$B$9*Y1141</f>
        <v>0.413019</v>
      </c>
      <c r="AA1141" s="3" t="n">
        <v>0</v>
      </c>
    </row>
    <row r="1142" customFormat="false" ht="15" hidden="false" customHeight="false" outlineLevel="0" collapsed="false">
      <c r="A1142" s="3" t="s">
        <v>1327</v>
      </c>
      <c r="B1142" s="3" t="n">
        <v>290</v>
      </c>
      <c r="C1142" s="11" t="str">
        <f aca="false">IF(M1142&gt;=Assumptions!$B$17,"S+",IF(M1142&gt;=Assumptions!$B$18,"S",IF(M1142&gt;=Assumptions!$B$19,"A",IF(M1142&gt;=Assumptions!$B$20,"B",IF(M1142&gt;=Assumptions!$B$21,"C",IF(M1142&gt;=Assumptions!$B$22,"D","F"))))))</f>
        <v>F</v>
      </c>
      <c r="D1142" s="3" t="s">
        <v>218</v>
      </c>
      <c r="E1142" s="3" t="n">
        <v>2</v>
      </c>
      <c r="F1142" s="12" t="n">
        <v>0.5281</v>
      </c>
      <c r="G1142" s="12" t="n">
        <v>0.6</v>
      </c>
      <c r="H1142" s="12" t="n">
        <v>0.75</v>
      </c>
      <c r="I1142" s="12" t="n">
        <v>0.607</v>
      </c>
      <c r="J1142" s="12" t="n">
        <v>0.3056</v>
      </c>
      <c r="K1142" s="12" t="n">
        <v>0.432</v>
      </c>
      <c r="L1142" s="3" t="n">
        <v>5.78</v>
      </c>
      <c r="M1142" s="12" t="n">
        <f aca="false">Z1142-W1142</f>
        <v>-0.084747</v>
      </c>
      <c r="N1142" s="12" t="n">
        <f aca="false">IFERROR((Z1142-J1142)/L1142,"")</f>
        <v>0.0218776816608997</v>
      </c>
      <c r="O1142" s="3" t="n">
        <v>18</v>
      </c>
      <c r="P1142" s="13" t="b">
        <f aca="false">FALSE()</f>
        <v>0</v>
      </c>
      <c r="Q1142" s="3" t="s">
        <v>166</v>
      </c>
      <c r="R1142" s="12" t="n">
        <v>0.6233</v>
      </c>
      <c r="S1142" s="12" t="n">
        <v>0.4</v>
      </c>
      <c r="T1142" s="3" t="n">
        <v>0.0727</v>
      </c>
      <c r="U1142" s="12" t="n">
        <v>0.359</v>
      </c>
      <c r="V1142" s="12" t="n">
        <v>0.5555</v>
      </c>
      <c r="W1142" s="12" t="n">
        <v>0.5168</v>
      </c>
      <c r="X1142" s="3" t="n">
        <v>0.2871</v>
      </c>
      <c r="Y1142" s="3" t="n">
        <v>0.5833</v>
      </c>
      <c r="Z1142" s="14" t="n">
        <f aca="false">Assumptions!$B$3*R1142+Assumptions!$B$4*S1142+IF(AA1142=1,Assumptions!$B$11,Assumptions!$B$5)*X1142+IF(AA1142=1,Assumptions!$B$12,Assumptions!$B$6)*T1142+Assumptions!$B$7*U1142+Assumptions!$B$8*V1142+Assumptions!$B$9*Y1142</f>
        <v>0.432053</v>
      </c>
      <c r="AA1142" s="3" t="n">
        <v>0</v>
      </c>
    </row>
    <row r="1143" customFormat="false" ht="15" hidden="false" customHeight="false" outlineLevel="0" collapsed="false">
      <c r="A1143" s="3" t="s">
        <v>1328</v>
      </c>
      <c r="B1143" s="3" t="n">
        <v>200</v>
      </c>
      <c r="C1143" s="11" t="str">
        <f aca="false">IF(M1143&gt;=Assumptions!$B$17,"S+",IF(M1143&gt;=Assumptions!$B$18,"S",IF(M1143&gt;=Assumptions!$B$19,"A",IF(M1143&gt;=Assumptions!$B$20,"B",IF(M1143&gt;=Assumptions!$B$21,"C",IF(M1143&gt;=Assumptions!$B$22,"D","F"))))))</f>
        <v>F</v>
      </c>
      <c r="D1143" s="3" t="s">
        <v>188</v>
      </c>
      <c r="E1143" s="3" t="n">
        <v>1</v>
      </c>
      <c r="F1143" s="12" t="n">
        <v>0.7825</v>
      </c>
      <c r="G1143" s="12" t="n">
        <v>0.3</v>
      </c>
      <c r="H1143" s="12" t="n">
        <v>0.75</v>
      </c>
      <c r="I1143" s="12" t="n">
        <v>0.4624</v>
      </c>
      <c r="J1143" s="12" t="n">
        <v>0.1166</v>
      </c>
      <c r="K1143" s="12" t="n">
        <v>0.3077</v>
      </c>
      <c r="L1143" s="3" t="n">
        <v>5.29</v>
      </c>
      <c r="M1143" s="12" t="n">
        <f aca="false">Z1143-W1143</f>
        <v>-0.085437</v>
      </c>
      <c r="N1143" s="12" t="n">
        <f aca="false">IFERROR((Z1143-J1143)/L1143,"")</f>
        <v>0.0361177693761815</v>
      </c>
      <c r="O1143" s="3" t="n">
        <v>19</v>
      </c>
      <c r="P1143" s="13" t="b">
        <f aca="false">FALSE()</f>
        <v>0</v>
      </c>
      <c r="Q1143" s="3" t="s">
        <v>166</v>
      </c>
      <c r="R1143" s="12" t="n">
        <v>0.3815</v>
      </c>
      <c r="S1143" s="12" t="n">
        <v>0.1428</v>
      </c>
      <c r="T1143" s="3" t="n">
        <v>0.4315</v>
      </c>
      <c r="U1143" s="12" t="n">
        <v>0.3077</v>
      </c>
      <c r="V1143" s="12" t="n">
        <v>0.4905</v>
      </c>
      <c r="W1143" s="12" t="n">
        <v>0.3931</v>
      </c>
      <c r="X1143" s="3" t="n">
        <v>0.0988</v>
      </c>
      <c r="Y1143" s="3" t="n">
        <v>0.3474</v>
      </c>
      <c r="Z1143" s="14" t="n">
        <f aca="false">Assumptions!$B$3*R1143+Assumptions!$B$4*S1143+IF(AA1143=1,Assumptions!$B$11,Assumptions!$B$5)*X1143+IF(AA1143=1,Assumptions!$B$12,Assumptions!$B$6)*T1143+Assumptions!$B$7*U1143+Assumptions!$B$8*V1143+Assumptions!$B$9*Y1143</f>
        <v>0.307663</v>
      </c>
      <c r="AA1143" s="3" t="n">
        <v>0</v>
      </c>
    </row>
    <row r="1144" customFormat="false" ht="15" hidden="false" customHeight="false" outlineLevel="0" collapsed="false">
      <c r="A1144" s="3" t="s">
        <v>1329</v>
      </c>
      <c r="B1144" s="3" t="n">
        <v>410</v>
      </c>
      <c r="C1144" s="11" t="str">
        <f aca="false">IF(M1144&gt;=Assumptions!$B$17,"S+",IF(M1144&gt;=Assumptions!$B$18,"S",IF(M1144&gt;=Assumptions!$B$19,"A",IF(M1144&gt;=Assumptions!$B$20,"B",IF(M1144&gt;=Assumptions!$B$21,"C",IF(M1144&gt;=Assumptions!$B$22,"D","F"))))))</f>
        <v>F</v>
      </c>
      <c r="D1144" s="3" t="s">
        <v>218</v>
      </c>
      <c r="E1144" s="3" t="n">
        <v>4</v>
      </c>
      <c r="F1144" s="12" t="n">
        <v>0.6453</v>
      </c>
      <c r="G1144" s="12" t="n">
        <v>0.4</v>
      </c>
      <c r="H1144" s="12" t="n">
        <v>0.75</v>
      </c>
      <c r="I1144" s="12" t="n">
        <v>0.5485</v>
      </c>
      <c r="J1144" s="12" t="n">
        <v>0.2649</v>
      </c>
      <c r="K1144" s="12" t="n">
        <v>0.4223</v>
      </c>
      <c r="L1144" s="3" t="n">
        <v>3.84</v>
      </c>
      <c r="M1144" s="12" t="n">
        <f aca="false">Z1144-W1144</f>
        <v>-0.085792</v>
      </c>
      <c r="N1144" s="12" t="n">
        <f aca="false">IFERROR((Z1144-J1144)/L1144,"")</f>
        <v>0.0409916666666667</v>
      </c>
      <c r="O1144" s="3" t="n">
        <v>16</v>
      </c>
      <c r="P1144" s="13" t="b">
        <f aca="false">FALSE()</f>
        <v>0</v>
      </c>
      <c r="Q1144" s="3" t="s">
        <v>166</v>
      </c>
      <c r="R1144" s="12" t="n">
        <v>0.8145</v>
      </c>
      <c r="S1144" s="12" t="n">
        <v>0.272</v>
      </c>
      <c r="T1144" s="3" t="n">
        <v>0.1468</v>
      </c>
      <c r="U1144" s="12" t="n">
        <v>0.3221</v>
      </c>
      <c r="V1144" s="12" t="n">
        <v>0.2844</v>
      </c>
      <c r="W1144" s="12" t="n">
        <v>0.5081</v>
      </c>
      <c r="X1144" s="3" t="n">
        <v>0.2243</v>
      </c>
      <c r="Y1144" s="3" t="n">
        <v>0.5274</v>
      </c>
      <c r="Z1144" s="14" t="n">
        <f aca="false">Assumptions!$B$3*R1144+Assumptions!$B$4*S1144+IF(AA1144=1,Assumptions!$B$11,Assumptions!$B$5)*X1144+IF(AA1144=1,Assumptions!$B$12,Assumptions!$B$6)*T1144+Assumptions!$B$7*U1144+Assumptions!$B$8*V1144+Assumptions!$B$9*Y1144</f>
        <v>0.422308</v>
      </c>
      <c r="AA1144" s="3" t="n">
        <v>0</v>
      </c>
    </row>
    <row r="1145" customFormat="false" ht="15" hidden="false" customHeight="false" outlineLevel="0" collapsed="false">
      <c r="A1145" s="3" t="s">
        <v>1330</v>
      </c>
      <c r="B1145" s="3" t="n">
        <v>330</v>
      </c>
      <c r="C1145" s="11" t="str">
        <f aca="false">IF(M1145&gt;=Assumptions!$B$17,"S+",IF(M1145&gt;=Assumptions!$B$18,"S",IF(M1145&gt;=Assumptions!$B$19,"A",IF(M1145&gt;=Assumptions!$B$20,"B",IF(M1145&gt;=Assumptions!$B$21,"C",IF(M1145&gt;=Assumptions!$B$22,"D","F"))))))</f>
        <v>F</v>
      </c>
      <c r="D1145" s="3" t="s">
        <v>218</v>
      </c>
      <c r="E1145" s="3" t="n">
        <v>2</v>
      </c>
      <c r="F1145" s="12" t="n">
        <v>0.7055</v>
      </c>
      <c r="G1145" s="12" t="n">
        <v>0.4</v>
      </c>
      <c r="H1145" s="12" t="n">
        <v>0.75</v>
      </c>
      <c r="I1145" s="12" t="n">
        <v>0.5678</v>
      </c>
      <c r="J1145" s="12" t="n">
        <v>0.2847</v>
      </c>
      <c r="K1145" s="12" t="n">
        <v>0.4156</v>
      </c>
      <c r="L1145" s="3" t="n">
        <v>5.69</v>
      </c>
      <c r="M1145" s="12" t="n">
        <f aca="false">Z1145-W1145</f>
        <v>-0.086808</v>
      </c>
      <c r="N1145" s="12" t="n">
        <f aca="false">IFERROR((Z1145-J1145)/L1145,"")</f>
        <v>0.0230038664323374</v>
      </c>
      <c r="O1145" s="3" t="n">
        <v>18</v>
      </c>
      <c r="P1145" s="13" t="b">
        <f aca="false">FALSE()</f>
        <v>0</v>
      </c>
      <c r="Q1145" s="3" t="s">
        <v>166</v>
      </c>
      <c r="R1145" s="12" t="n">
        <v>0.7114</v>
      </c>
      <c r="S1145" s="12" t="n">
        <v>0.3495</v>
      </c>
      <c r="T1145" s="3" t="n">
        <v>0.1552</v>
      </c>
      <c r="U1145" s="12" t="n">
        <v>0.2265</v>
      </c>
      <c r="V1145" s="12" t="n">
        <v>0.5195</v>
      </c>
      <c r="W1145" s="12" t="n">
        <v>0.5024</v>
      </c>
      <c r="X1145" s="3" t="n">
        <v>0.2029</v>
      </c>
      <c r="Y1145" s="3" t="n">
        <v>0.4732</v>
      </c>
      <c r="Z1145" s="14" t="n">
        <f aca="false">Assumptions!$B$3*R1145+Assumptions!$B$4*S1145+IF(AA1145=1,Assumptions!$B$11,Assumptions!$B$5)*X1145+IF(AA1145=1,Assumptions!$B$12,Assumptions!$B$6)*T1145+Assumptions!$B$7*U1145+Assumptions!$B$8*V1145+Assumptions!$B$9*Y1145</f>
        <v>0.415592</v>
      </c>
      <c r="AA1145" s="3" t="n">
        <v>0</v>
      </c>
    </row>
    <row r="1146" customFormat="false" ht="15" hidden="false" customHeight="false" outlineLevel="0" collapsed="false">
      <c r="A1146" s="3" t="s">
        <v>1331</v>
      </c>
      <c r="B1146" s="3" t="n">
        <v>316</v>
      </c>
      <c r="C1146" s="11" t="str">
        <f aca="false">IF(M1146&gt;=Assumptions!$B$17,"S+",IF(M1146&gt;=Assumptions!$B$18,"S",IF(M1146&gt;=Assumptions!$B$19,"A",IF(M1146&gt;=Assumptions!$B$20,"B",IF(M1146&gt;=Assumptions!$B$21,"C",IF(M1146&gt;=Assumptions!$B$22,"D","F"))))))</f>
        <v>F</v>
      </c>
      <c r="D1146" s="3" t="s">
        <v>197</v>
      </c>
      <c r="E1146" s="3" t="n">
        <v>1</v>
      </c>
      <c r="F1146" s="12" t="n">
        <v>0.5176</v>
      </c>
      <c r="G1146" s="12" t="n">
        <v>0.4</v>
      </c>
      <c r="H1146" s="12" t="n">
        <v>0.75</v>
      </c>
      <c r="I1146" s="12" t="n">
        <v>0.5147</v>
      </c>
      <c r="J1146" s="12" t="n">
        <v>0.2451</v>
      </c>
      <c r="K1146" s="12" t="n">
        <v>0.4056</v>
      </c>
      <c r="L1146" s="3" t="n">
        <v>5.55</v>
      </c>
      <c r="M1146" s="12" t="n">
        <f aca="false">Z1146-W1146</f>
        <v>-0.08744</v>
      </c>
      <c r="N1146" s="12" t="n">
        <f aca="false">IFERROR((Z1146-J1146)/L1146,"")</f>
        <v>0.0289117117117117</v>
      </c>
      <c r="O1146" s="3" t="n">
        <v>19</v>
      </c>
      <c r="P1146" s="13" t="b">
        <f aca="false">FALSE()</f>
        <v>0</v>
      </c>
      <c r="Q1146" s="3" t="s">
        <v>166</v>
      </c>
      <c r="R1146" s="12" t="n">
        <v>0.6959</v>
      </c>
      <c r="S1146" s="12" t="n">
        <v>0.2876</v>
      </c>
      <c r="T1146" s="3" t="n">
        <v>0.3521</v>
      </c>
      <c r="U1146" s="12" t="n">
        <v>0.2227</v>
      </c>
      <c r="V1146" s="12" t="n">
        <v>0.4614</v>
      </c>
      <c r="W1146" s="12" t="n">
        <v>0.493</v>
      </c>
      <c r="X1146" s="3" t="n">
        <v>0.1275</v>
      </c>
      <c r="Y1146" s="3" t="n">
        <v>0.4581</v>
      </c>
      <c r="Z1146" s="14" t="n">
        <f aca="false">Assumptions!$B$3*R1146+Assumptions!$B$4*S1146+IF(AA1146=1,Assumptions!$B$11,Assumptions!$B$5)*X1146+IF(AA1146=1,Assumptions!$B$12,Assumptions!$B$6)*T1146+Assumptions!$B$7*U1146+Assumptions!$B$8*V1146+Assumptions!$B$9*Y1146</f>
        <v>0.40556</v>
      </c>
      <c r="AA1146" s="3" t="n">
        <v>0</v>
      </c>
    </row>
    <row r="1147" customFormat="false" ht="15" hidden="false" customHeight="false" outlineLevel="0" collapsed="false">
      <c r="A1147" s="3" t="s">
        <v>1332</v>
      </c>
      <c r="B1147" s="3" t="n">
        <v>294</v>
      </c>
      <c r="C1147" s="11" t="str">
        <f aca="false">IF(M1147&gt;=Assumptions!$B$17,"S+",IF(M1147&gt;=Assumptions!$B$18,"S",IF(M1147&gt;=Assumptions!$B$19,"A",IF(M1147&gt;=Assumptions!$B$20,"B",IF(M1147&gt;=Assumptions!$B$21,"C",IF(M1147&gt;=Assumptions!$B$22,"D","F"))))))</f>
        <v>F</v>
      </c>
      <c r="D1147" s="3" t="s">
        <v>228</v>
      </c>
      <c r="E1147" s="3" t="n">
        <v>1</v>
      </c>
      <c r="F1147" s="12" t="n">
        <v>0.491</v>
      </c>
      <c r="G1147" s="12" t="n">
        <v>0.6</v>
      </c>
      <c r="H1147" s="12" t="n">
        <v>0.75</v>
      </c>
      <c r="I1147" s="12" t="n">
        <v>0.5951</v>
      </c>
      <c r="J1147" s="12" t="n">
        <v>0.3149</v>
      </c>
      <c r="K1147" s="12" t="n">
        <v>0.4106</v>
      </c>
      <c r="L1147" s="3" t="n">
        <v>6.47</v>
      </c>
      <c r="M1147" s="12" t="n">
        <f aca="false">Z1147-W1147</f>
        <v>-0.087433</v>
      </c>
      <c r="N1147" s="12" t="n">
        <f aca="false">IFERROR((Z1147-J1147)/L1147,"")</f>
        <v>0.0148017001545595</v>
      </c>
      <c r="O1147" s="3" t="n">
        <v>19</v>
      </c>
      <c r="P1147" s="13" t="b">
        <f aca="false">FALSE()</f>
        <v>0</v>
      </c>
      <c r="Q1147" s="3" t="s">
        <v>166</v>
      </c>
      <c r="R1147" s="12" t="n">
        <v>0.5419</v>
      </c>
      <c r="S1147" s="12" t="n">
        <v>0.4642</v>
      </c>
      <c r="T1147" s="3" t="n">
        <v>0.0582</v>
      </c>
      <c r="U1147" s="12" t="n">
        <v>0.2996</v>
      </c>
      <c r="V1147" s="12" t="n">
        <v>0.4857</v>
      </c>
      <c r="W1147" s="12" t="n">
        <v>0.4981</v>
      </c>
      <c r="X1147" s="3" t="n">
        <v>0.3522</v>
      </c>
      <c r="Y1147" s="3" t="n">
        <v>0.5342</v>
      </c>
      <c r="Z1147" s="14" t="n">
        <f aca="false">Assumptions!$B$3*R1147+Assumptions!$B$4*S1147+IF(AA1147=1,Assumptions!$B$11,Assumptions!$B$5)*X1147+IF(AA1147=1,Assumptions!$B$12,Assumptions!$B$6)*T1147+Assumptions!$B$7*U1147+Assumptions!$B$8*V1147+Assumptions!$B$9*Y1147</f>
        <v>0.410667</v>
      </c>
      <c r="AA1147" s="3" t="n">
        <v>0</v>
      </c>
    </row>
    <row r="1148" customFormat="false" ht="15" hidden="false" customHeight="false" outlineLevel="0" collapsed="false">
      <c r="A1148" s="3" t="s">
        <v>1333</v>
      </c>
      <c r="B1148" s="3" t="n">
        <v>250</v>
      </c>
      <c r="C1148" s="11" t="str">
        <f aca="false">IF(M1148&gt;=Assumptions!$B$17,"S+",IF(M1148&gt;=Assumptions!$B$18,"S",IF(M1148&gt;=Assumptions!$B$19,"A",IF(M1148&gt;=Assumptions!$B$20,"B",IF(M1148&gt;=Assumptions!$B$21,"C",IF(M1148&gt;=Assumptions!$B$22,"D","F"))))))</f>
        <v>F</v>
      </c>
      <c r="D1148" s="3" t="s">
        <v>228</v>
      </c>
      <c r="E1148" s="3" t="n">
        <v>1</v>
      </c>
      <c r="F1148" s="12" t="n">
        <v>0.5437</v>
      </c>
      <c r="G1148" s="12" t="n">
        <v>0.6</v>
      </c>
      <c r="H1148" s="12" t="n">
        <v>0.75</v>
      </c>
      <c r="I1148" s="12" t="n">
        <v>0.612</v>
      </c>
      <c r="J1148" s="12" t="n">
        <v>0.2353</v>
      </c>
      <c r="K1148" s="12" t="n">
        <v>0.378</v>
      </c>
      <c r="L1148" s="3" t="n">
        <v>5.82</v>
      </c>
      <c r="M1148" s="12" t="n">
        <f aca="false">Z1148-W1148</f>
        <v>-0.089143</v>
      </c>
      <c r="N1148" s="12" t="n">
        <f aca="false">IFERROR((Z1148-J1148)/L1148,"")</f>
        <v>0.0245286941580756</v>
      </c>
      <c r="O1148" s="3" t="n">
        <v>19</v>
      </c>
      <c r="P1148" s="13" t="b">
        <f aca="false">FALSE()</f>
        <v>0</v>
      </c>
      <c r="Q1148" s="3" t="s">
        <v>166</v>
      </c>
      <c r="R1148" s="12" t="n">
        <v>0.607</v>
      </c>
      <c r="S1148" s="12" t="n">
        <v>0.2302</v>
      </c>
      <c r="T1148" s="3" t="n">
        <v>0.1382</v>
      </c>
      <c r="U1148" s="12" t="n">
        <v>0.4616</v>
      </c>
      <c r="V1148" s="12" t="n">
        <v>0.4497</v>
      </c>
      <c r="W1148" s="12" t="n">
        <v>0.4672</v>
      </c>
      <c r="X1148" s="3" t="n">
        <v>0.1031</v>
      </c>
      <c r="Y1148" s="3" t="n">
        <v>0.57</v>
      </c>
      <c r="Z1148" s="14" t="n">
        <f aca="false">Assumptions!$B$3*R1148+Assumptions!$B$4*S1148+IF(AA1148=1,Assumptions!$B$11,Assumptions!$B$5)*X1148+IF(AA1148=1,Assumptions!$B$12,Assumptions!$B$6)*T1148+Assumptions!$B$7*U1148+Assumptions!$B$8*V1148+Assumptions!$B$9*Y1148</f>
        <v>0.378057</v>
      </c>
      <c r="AA1148" s="3" t="n">
        <v>0</v>
      </c>
    </row>
    <row r="1149" customFormat="false" ht="15" hidden="false" customHeight="false" outlineLevel="0" collapsed="false">
      <c r="A1149" s="3" t="s">
        <v>1334</v>
      </c>
      <c r="B1149" s="3" t="n">
        <v>263</v>
      </c>
      <c r="C1149" s="11" t="str">
        <f aca="false">IF(M1149&gt;=Assumptions!$B$17,"S+",IF(M1149&gt;=Assumptions!$B$18,"S",IF(M1149&gt;=Assumptions!$B$19,"A",IF(M1149&gt;=Assumptions!$B$20,"B",IF(M1149&gt;=Assumptions!$B$21,"C",IF(M1149&gt;=Assumptions!$B$22,"D","F"))))))</f>
        <v>F</v>
      </c>
      <c r="D1149" s="3" t="s">
        <v>218</v>
      </c>
      <c r="E1149" s="3" t="n">
        <v>1</v>
      </c>
      <c r="F1149" s="12" t="n">
        <v>0.6279</v>
      </c>
      <c r="G1149" s="12" t="n">
        <v>1</v>
      </c>
      <c r="H1149" s="12" t="n">
        <v>0.75</v>
      </c>
      <c r="I1149" s="12" t="n">
        <v>0.8309</v>
      </c>
      <c r="J1149" s="12" t="n">
        <v>0.2505</v>
      </c>
      <c r="K1149" s="12" t="n">
        <v>0.4371</v>
      </c>
      <c r="L1149" s="3" t="n">
        <v>6.68</v>
      </c>
      <c r="M1149" s="12" t="n">
        <f aca="false">Z1149-W1149</f>
        <v>-0.089455</v>
      </c>
      <c r="N1149" s="12" t="n">
        <f aca="false">IFERROR((Z1149-J1149)/L1149,"")</f>
        <v>0.027940868263473</v>
      </c>
      <c r="O1149" s="3" t="n">
        <v>19</v>
      </c>
      <c r="P1149" s="13" t="b">
        <f aca="false">FALSE()</f>
        <v>0</v>
      </c>
      <c r="Q1149" s="3" t="s">
        <v>166</v>
      </c>
      <c r="R1149" s="12" t="n">
        <v>0.6328</v>
      </c>
      <c r="S1149" s="12" t="n">
        <v>0.294</v>
      </c>
      <c r="T1149" s="3" t="n">
        <v>0.1733</v>
      </c>
      <c r="U1149" s="12" t="n">
        <v>0.3279</v>
      </c>
      <c r="V1149" s="12" t="n">
        <v>0.5011</v>
      </c>
      <c r="W1149" s="12" t="n">
        <v>0.5266</v>
      </c>
      <c r="X1149" s="3" t="n">
        <v>0.2905</v>
      </c>
      <c r="Y1149" s="3" t="n">
        <v>0.7333</v>
      </c>
      <c r="Z1149" s="14" t="n">
        <f aca="false">Assumptions!$B$3*R1149+Assumptions!$B$4*S1149+IF(AA1149=1,Assumptions!$B$11,Assumptions!$B$5)*X1149+IF(AA1149=1,Assumptions!$B$12,Assumptions!$B$6)*T1149+Assumptions!$B$7*U1149+Assumptions!$B$8*V1149+Assumptions!$B$9*Y1149</f>
        <v>0.437145</v>
      </c>
      <c r="AA1149" s="3" t="n">
        <v>0</v>
      </c>
    </row>
    <row r="1150" customFormat="false" ht="15" hidden="false" customHeight="false" outlineLevel="0" collapsed="false">
      <c r="A1150" s="3" t="s">
        <v>1335</v>
      </c>
      <c r="B1150" s="3" t="n">
        <v>300</v>
      </c>
      <c r="C1150" s="11" t="str">
        <f aca="false">IF(M1150&gt;=Assumptions!$B$17,"S+",IF(M1150&gt;=Assumptions!$B$18,"S",IF(M1150&gt;=Assumptions!$B$19,"A",IF(M1150&gt;=Assumptions!$B$20,"B",IF(M1150&gt;=Assumptions!$B$21,"C",IF(M1150&gt;=Assumptions!$B$22,"D","F"))))))</f>
        <v>F</v>
      </c>
      <c r="D1150" s="3" t="s">
        <v>253</v>
      </c>
      <c r="E1150" s="3" t="n">
        <v>1</v>
      </c>
      <c r="F1150" s="12" t="n">
        <v>0.4449</v>
      </c>
      <c r="G1150" s="12" t="n">
        <v>0.4</v>
      </c>
      <c r="H1150" s="12" t="n">
        <v>0.75</v>
      </c>
      <c r="I1150" s="12" t="n">
        <v>0.4844</v>
      </c>
      <c r="J1150" s="12" t="n">
        <v>0.2131</v>
      </c>
      <c r="K1150" s="12" t="n">
        <v>0.3172</v>
      </c>
      <c r="L1150" s="3" t="n">
        <v>3.37</v>
      </c>
      <c r="M1150" s="12" t="n">
        <f aca="false">Z1150-W1150</f>
        <v>-0.090395</v>
      </c>
      <c r="N1150" s="12" t="n">
        <f aca="false">IFERROR((Z1150-J1150)/L1150,"")</f>
        <v>0.0308916913946588</v>
      </c>
      <c r="O1150" s="3" t="n">
        <v>19</v>
      </c>
      <c r="P1150" s="13" t="b">
        <f aca="false">FALSE()</f>
        <v>0</v>
      </c>
      <c r="Q1150" s="3" t="s">
        <v>166</v>
      </c>
      <c r="R1150" s="12" t="n">
        <v>0.4118</v>
      </c>
      <c r="S1150" s="12" t="n">
        <v>0.3783</v>
      </c>
      <c r="T1150" s="3" t="n">
        <v>0.0967</v>
      </c>
      <c r="U1150" s="12" t="n">
        <v>0.1943</v>
      </c>
      <c r="V1150" s="12" t="n">
        <v>0.5152</v>
      </c>
      <c r="W1150" s="12" t="n">
        <v>0.4076</v>
      </c>
      <c r="X1150" s="3" t="n">
        <v>0.1633</v>
      </c>
      <c r="Y1150" s="3" t="n">
        <v>0.3423</v>
      </c>
      <c r="Z1150" s="14" t="n">
        <f aca="false">Assumptions!$B$3*R1150+Assumptions!$B$4*S1150+IF(AA1150=1,Assumptions!$B$11,Assumptions!$B$5)*X1150+IF(AA1150=1,Assumptions!$B$12,Assumptions!$B$6)*T1150+Assumptions!$B$7*U1150+Assumptions!$B$8*V1150+Assumptions!$B$9*Y1150</f>
        <v>0.317205</v>
      </c>
      <c r="AA1150" s="3" t="n">
        <v>1</v>
      </c>
    </row>
    <row r="1151" customFormat="false" ht="15" hidden="false" customHeight="false" outlineLevel="0" collapsed="false">
      <c r="A1151" s="3" t="s">
        <v>1336</v>
      </c>
      <c r="B1151" s="3" t="n">
        <v>290</v>
      </c>
      <c r="C1151" s="11" t="str">
        <f aca="false">IF(M1151&gt;=Assumptions!$B$17,"S+",IF(M1151&gt;=Assumptions!$B$18,"S",IF(M1151&gt;=Assumptions!$B$19,"A",IF(M1151&gt;=Assumptions!$B$20,"B",IF(M1151&gt;=Assumptions!$B$21,"C",IF(M1151&gt;=Assumptions!$B$22,"D","F"))))))</f>
        <v>F</v>
      </c>
      <c r="D1151" s="3" t="s">
        <v>253</v>
      </c>
      <c r="E1151" s="3" t="n">
        <v>1</v>
      </c>
      <c r="F1151" s="12" t="n">
        <v>0.2418</v>
      </c>
      <c r="G1151" s="12" t="n">
        <v>1</v>
      </c>
      <c r="H1151" s="12" t="n">
        <v>0.75</v>
      </c>
      <c r="I1151" s="12" t="n">
        <v>0.7074</v>
      </c>
      <c r="J1151" s="12" t="n">
        <v>0.2525</v>
      </c>
      <c r="K1151" s="12" t="n">
        <v>0.4307</v>
      </c>
      <c r="L1151" s="3" t="n">
        <v>6.66</v>
      </c>
      <c r="M1151" s="12" t="n">
        <f aca="false">Z1151-W1151</f>
        <v>-0.090847</v>
      </c>
      <c r="N1151" s="12" t="n">
        <f aca="false">IFERROR((Z1151-J1151)/L1151,"")</f>
        <v>0.0267496996996997</v>
      </c>
      <c r="O1151" s="3" t="n">
        <v>19</v>
      </c>
      <c r="P1151" s="13" t="b">
        <f aca="false">FALSE()</f>
        <v>0</v>
      </c>
      <c r="Q1151" s="3" t="s">
        <v>166</v>
      </c>
      <c r="R1151" s="12" t="n">
        <v>0.6143</v>
      </c>
      <c r="S1151" s="12" t="n">
        <v>0.2526</v>
      </c>
      <c r="T1151" s="3" t="n">
        <v>0.4696</v>
      </c>
      <c r="U1151" s="12" t="n">
        <v>0.3846</v>
      </c>
      <c r="V1151" s="12" t="n">
        <v>0.4579</v>
      </c>
      <c r="W1151" s="12" t="n">
        <v>0.5215</v>
      </c>
      <c r="X1151" s="3" t="n">
        <v>0.1199</v>
      </c>
      <c r="Y1151" s="3" t="n">
        <v>0.6868</v>
      </c>
      <c r="Z1151" s="14" t="n">
        <f aca="false">Assumptions!$B$3*R1151+Assumptions!$B$4*S1151+IF(AA1151=1,Assumptions!$B$11,Assumptions!$B$5)*X1151+IF(AA1151=1,Assumptions!$B$12,Assumptions!$B$6)*T1151+Assumptions!$B$7*U1151+Assumptions!$B$8*V1151+Assumptions!$B$9*Y1151</f>
        <v>0.430653</v>
      </c>
      <c r="AA1151" s="3" t="n">
        <v>0</v>
      </c>
    </row>
    <row r="1152" customFormat="false" ht="15" hidden="false" customHeight="false" outlineLevel="0" collapsed="false">
      <c r="A1152" s="3" t="s">
        <v>1337</v>
      </c>
      <c r="B1152" s="3" t="n">
        <v>299</v>
      </c>
      <c r="C1152" s="11" t="str">
        <f aca="false">IF(M1152&gt;=Assumptions!$B$17,"S+",IF(M1152&gt;=Assumptions!$B$18,"S",IF(M1152&gt;=Assumptions!$B$19,"A",IF(M1152&gt;=Assumptions!$B$20,"B",IF(M1152&gt;=Assumptions!$B$21,"C",IF(M1152&gt;=Assumptions!$B$22,"D","F"))))))</f>
        <v>F</v>
      </c>
      <c r="D1152" s="3" t="s">
        <v>197</v>
      </c>
      <c r="E1152" s="3" t="n">
        <v>1</v>
      </c>
      <c r="F1152" s="12" t="n">
        <v>0.5391</v>
      </c>
      <c r="G1152" s="12" t="n">
        <v>0.6</v>
      </c>
      <c r="H1152" s="12" t="n">
        <v>0.75</v>
      </c>
      <c r="I1152" s="12" t="n">
        <v>0.6069</v>
      </c>
      <c r="J1152" s="12" t="n">
        <v>0.2724</v>
      </c>
      <c r="K1152" s="12" t="n">
        <v>0.4134</v>
      </c>
      <c r="L1152" s="3" t="n">
        <v>5.29</v>
      </c>
      <c r="M1152" s="12" t="n">
        <f aca="false">Z1152-W1152</f>
        <v>-0.091426</v>
      </c>
      <c r="N1152" s="12" t="n">
        <f aca="false">IFERROR((Z1152-J1152)/L1152,"")</f>
        <v>0.0266491493383743</v>
      </c>
      <c r="O1152" s="3" t="n">
        <v>19</v>
      </c>
      <c r="P1152" s="13" t="b">
        <f aca="false">FALSE()</f>
        <v>0</v>
      </c>
      <c r="Q1152" s="3" t="s">
        <v>166</v>
      </c>
      <c r="R1152" s="12" t="n">
        <v>0.6568</v>
      </c>
      <c r="S1152" s="12" t="n">
        <v>0.2198</v>
      </c>
      <c r="T1152" s="3" t="n">
        <v>0.3714</v>
      </c>
      <c r="U1152" s="12" t="n">
        <v>0.336</v>
      </c>
      <c r="V1152" s="12" t="n">
        <v>0.3802</v>
      </c>
      <c r="W1152" s="12" t="n">
        <v>0.5048</v>
      </c>
      <c r="X1152" s="3" t="n">
        <v>0.1836</v>
      </c>
      <c r="Y1152" s="3" t="n">
        <v>0.6027</v>
      </c>
      <c r="Z1152" s="14" t="n">
        <f aca="false">Assumptions!$B$3*R1152+Assumptions!$B$4*S1152+IF(AA1152=1,Assumptions!$B$11,Assumptions!$B$5)*X1152+IF(AA1152=1,Assumptions!$B$12,Assumptions!$B$6)*T1152+Assumptions!$B$7*U1152+Assumptions!$B$8*V1152+Assumptions!$B$9*Y1152</f>
        <v>0.413374</v>
      </c>
      <c r="AA1152" s="3" t="n">
        <v>0</v>
      </c>
    </row>
    <row r="1153" customFormat="false" ht="15" hidden="false" customHeight="false" outlineLevel="0" collapsed="false">
      <c r="A1153" s="3" t="s">
        <v>1338</v>
      </c>
      <c r="B1153" s="3" t="n">
        <v>240</v>
      </c>
      <c r="C1153" s="11" t="str">
        <f aca="false">IF(M1153&gt;=Assumptions!$B$17,"S+",IF(M1153&gt;=Assumptions!$B$18,"S",IF(M1153&gt;=Assumptions!$B$19,"A",IF(M1153&gt;=Assumptions!$B$20,"B",IF(M1153&gt;=Assumptions!$B$21,"C",IF(M1153&gt;=Assumptions!$B$22,"D","F"))))))</f>
        <v>F</v>
      </c>
      <c r="D1153" s="3" t="s">
        <v>180</v>
      </c>
      <c r="E1153" s="3" t="n">
        <v>2</v>
      </c>
      <c r="F1153" s="12" t="n">
        <v>0.1525</v>
      </c>
      <c r="G1153" s="12" t="n">
        <v>1</v>
      </c>
      <c r="H1153" s="12" t="n">
        <v>0.5099</v>
      </c>
      <c r="I1153" s="12" t="n">
        <v>0.7325</v>
      </c>
      <c r="J1153" s="12" t="n">
        <v>0.2626</v>
      </c>
      <c r="K1153" s="12" t="n">
        <v>0.396</v>
      </c>
      <c r="L1153" s="3" t="n">
        <v>6.67</v>
      </c>
      <c r="M1153" s="12" t="n">
        <f aca="false">Z1153-W1153</f>
        <v>-0.091667</v>
      </c>
      <c r="N1153" s="12" t="n">
        <f aca="false">IFERROR((Z1153-J1153)/L1153,"")</f>
        <v>0.0200049475262369</v>
      </c>
      <c r="O1153" s="3" t="n">
        <v>18</v>
      </c>
      <c r="P1153" s="13" t="b">
        <f aca="false">FALSE()</f>
        <v>0</v>
      </c>
      <c r="Q1153" s="3" t="s">
        <v>166</v>
      </c>
      <c r="R1153" s="12" t="n">
        <v>0.5608</v>
      </c>
      <c r="S1153" s="12" t="n">
        <v>0.1888</v>
      </c>
      <c r="T1153" s="3" t="n">
        <v>0.2487</v>
      </c>
      <c r="U1153" s="12" t="n">
        <v>0.4658</v>
      </c>
      <c r="V1153" s="12" t="n">
        <v>0.5081</v>
      </c>
      <c r="W1153" s="12" t="n">
        <v>0.4877</v>
      </c>
      <c r="X1153" s="3" t="n">
        <v>0.1609</v>
      </c>
      <c r="Y1153" s="3" t="n">
        <v>0.7087</v>
      </c>
      <c r="Z1153" s="14" t="n">
        <f aca="false">Assumptions!$B$3*R1153+Assumptions!$B$4*S1153+IF(AA1153=1,Assumptions!$B$11,Assumptions!$B$5)*X1153+IF(AA1153=1,Assumptions!$B$12,Assumptions!$B$6)*T1153+Assumptions!$B$7*U1153+Assumptions!$B$8*V1153+Assumptions!$B$9*Y1153</f>
        <v>0.396033</v>
      </c>
      <c r="AA1153" s="3" t="n">
        <v>1</v>
      </c>
    </row>
    <row r="1154" customFormat="false" ht="15" hidden="false" customHeight="false" outlineLevel="0" collapsed="false">
      <c r="A1154" s="3" t="s">
        <v>1339</v>
      </c>
      <c r="B1154" s="3" t="n">
        <v>370</v>
      </c>
      <c r="C1154" s="11" t="str">
        <f aca="false">IF(M1154&gt;=Assumptions!$B$17,"S+",IF(M1154&gt;=Assumptions!$B$18,"S",IF(M1154&gt;=Assumptions!$B$19,"A",IF(M1154&gt;=Assumptions!$B$20,"B",IF(M1154&gt;=Assumptions!$B$21,"C",IF(M1154&gt;=Assumptions!$B$22,"D","F"))))))</f>
        <v>F</v>
      </c>
      <c r="D1154" s="3" t="s">
        <v>253</v>
      </c>
      <c r="E1154" s="3" t="n">
        <v>6</v>
      </c>
      <c r="F1154" s="12" t="n">
        <v>0.8221</v>
      </c>
      <c r="G1154" s="12" t="n">
        <v>0.4</v>
      </c>
      <c r="H1154" s="12" t="n">
        <v>0.75</v>
      </c>
      <c r="I1154" s="12" t="n">
        <v>0.6051</v>
      </c>
      <c r="J1154" s="12" t="n">
        <v>0.3045</v>
      </c>
      <c r="K1154" s="12" t="n">
        <v>0.4347</v>
      </c>
      <c r="L1154" s="3" t="n">
        <v>4</v>
      </c>
      <c r="M1154" s="12" t="n">
        <f aca="false">Z1154-W1154</f>
        <v>-0.0918729999999999</v>
      </c>
      <c r="N1154" s="12" t="n">
        <f aca="false">IFERROR((Z1154-J1154)/L1154,"")</f>
        <v>0.03255675</v>
      </c>
      <c r="O1154" s="3" t="n">
        <v>14</v>
      </c>
      <c r="P1154" s="13" t="b">
        <f aca="false">FALSE()</f>
        <v>0</v>
      </c>
      <c r="Q1154" s="3" t="s">
        <v>166</v>
      </c>
      <c r="R1154" s="12" t="n">
        <v>0.7909</v>
      </c>
      <c r="S1154" s="12" t="n">
        <v>0.2569</v>
      </c>
      <c r="T1154" s="3" t="n">
        <v>0.1268</v>
      </c>
      <c r="U1154" s="12" t="n">
        <v>0.1813</v>
      </c>
      <c r="V1154" s="12" t="n">
        <v>0.5228</v>
      </c>
      <c r="W1154" s="12" t="n">
        <v>0.5266</v>
      </c>
      <c r="X1154" s="3" t="n">
        <v>0.2429</v>
      </c>
      <c r="Y1154" s="3" t="n">
        <v>0.6084</v>
      </c>
      <c r="Z1154" s="14" t="n">
        <f aca="false">Assumptions!$B$3*R1154+Assumptions!$B$4*S1154+IF(AA1154=1,Assumptions!$B$11,Assumptions!$B$5)*X1154+IF(AA1154=1,Assumptions!$B$12,Assumptions!$B$6)*T1154+Assumptions!$B$7*U1154+Assumptions!$B$8*V1154+Assumptions!$B$9*Y1154</f>
        <v>0.434727</v>
      </c>
      <c r="AA1154" s="3" t="n">
        <v>0</v>
      </c>
    </row>
    <row r="1155" customFormat="false" ht="15" hidden="false" customHeight="false" outlineLevel="0" collapsed="false">
      <c r="A1155" s="3" t="s">
        <v>1340</v>
      </c>
      <c r="B1155" s="3" t="n">
        <v>310</v>
      </c>
      <c r="C1155" s="11" t="str">
        <f aca="false">IF(M1155&gt;=Assumptions!$B$17,"S+",IF(M1155&gt;=Assumptions!$B$18,"S",IF(M1155&gt;=Assumptions!$B$19,"A",IF(M1155&gt;=Assumptions!$B$20,"B",IF(M1155&gt;=Assumptions!$B$21,"C",IF(M1155&gt;=Assumptions!$B$22,"D","F"))))))</f>
        <v>F</v>
      </c>
      <c r="D1155" s="3" t="s">
        <v>218</v>
      </c>
      <c r="E1155" s="3" t="n">
        <v>1</v>
      </c>
      <c r="F1155" s="12" t="n">
        <v>0.5884</v>
      </c>
      <c r="G1155" s="12" t="n">
        <v>1</v>
      </c>
      <c r="H1155" s="12" t="n">
        <v>0.75</v>
      </c>
      <c r="I1155" s="12" t="n">
        <v>0.8183</v>
      </c>
      <c r="J1155" s="12" t="n">
        <v>0.2494</v>
      </c>
      <c r="K1155" s="12" t="n">
        <v>0.431</v>
      </c>
      <c r="L1155" s="3" t="n">
        <v>6.34</v>
      </c>
      <c r="M1155" s="12" t="n">
        <f aca="false">Z1155-W1155</f>
        <v>-0.0917490000000001</v>
      </c>
      <c r="N1155" s="12" t="n">
        <f aca="false">IFERROR((Z1155-J1155)/L1155,"")</f>
        <v>0.0286358044164038</v>
      </c>
      <c r="O1155" s="3" t="n">
        <v>19</v>
      </c>
      <c r="P1155" s="13" t="b">
        <f aca="false">FALSE()</f>
        <v>0</v>
      </c>
      <c r="Q1155" s="3" t="s">
        <v>166</v>
      </c>
      <c r="R1155" s="12" t="n">
        <v>0.7522</v>
      </c>
      <c r="S1155" s="12" t="n">
        <v>0.3207</v>
      </c>
      <c r="T1155" s="3" t="n">
        <v>0.1469</v>
      </c>
      <c r="U1155" s="12" t="n">
        <v>0.2551</v>
      </c>
      <c r="V1155" s="12" t="n">
        <v>0.4552</v>
      </c>
      <c r="W1155" s="12" t="n">
        <v>0.5227</v>
      </c>
      <c r="X1155" s="3" t="n">
        <v>0.1449</v>
      </c>
      <c r="Y1155" s="3" t="n">
        <v>0.7088</v>
      </c>
      <c r="Z1155" s="14" t="n">
        <f aca="false">Assumptions!$B$3*R1155+Assumptions!$B$4*S1155+IF(AA1155=1,Assumptions!$B$11,Assumptions!$B$5)*X1155+IF(AA1155=1,Assumptions!$B$12,Assumptions!$B$6)*T1155+Assumptions!$B$7*U1155+Assumptions!$B$8*V1155+Assumptions!$B$9*Y1155</f>
        <v>0.430951</v>
      </c>
      <c r="AA1155" s="3" t="n">
        <v>0</v>
      </c>
    </row>
    <row r="1156" customFormat="false" ht="15" hidden="false" customHeight="false" outlineLevel="0" collapsed="false">
      <c r="A1156" s="3" t="s">
        <v>1341</v>
      </c>
      <c r="B1156" s="3" t="n">
        <v>310</v>
      </c>
      <c r="C1156" s="11" t="str">
        <f aca="false">IF(M1156&gt;=Assumptions!$B$17,"S+",IF(M1156&gt;=Assumptions!$B$18,"S",IF(M1156&gt;=Assumptions!$B$19,"A",IF(M1156&gt;=Assumptions!$B$20,"B",IF(M1156&gt;=Assumptions!$B$21,"C",IF(M1156&gt;=Assumptions!$B$22,"D","F"))))))</f>
        <v>F</v>
      </c>
      <c r="D1156" s="3" t="s">
        <v>218</v>
      </c>
      <c r="E1156" s="3" t="n">
        <v>1</v>
      </c>
      <c r="F1156" s="12" t="n">
        <v>0.618</v>
      </c>
      <c r="G1156" s="12" t="n">
        <v>0.4</v>
      </c>
      <c r="H1156" s="12" t="n">
        <v>0.75</v>
      </c>
      <c r="I1156" s="12" t="n">
        <v>0.5398</v>
      </c>
      <c r="J1156" s="12" t="n">
        <v>0.2503</v>
      </c>
      <c r="K1156" s="12" t="n">
        <v>0.4061</v>
      </c>
      <c r="L1156" s="3" t="n">
        <v>5.63</v>
      </c>
      <c r="M1156" s="12" t="n">
        <f aca="false">Z1156-W1156</f>
        <v>-0.092043</v>
      </c>
      <c r="N1156" s="12" t="n">
        <f aca="false">IFERROR((Z1156-J1156)/L1156,"")</f>
        <v>0.027665541740675</v>
      </c>
      <c r="O1156" s="3" t="n">
        <v>19</v>
      </c>
      <c r="P1156" s="13" t="b">
        <f aca="false">FALSE()</f>
        <v>0</v>
      </c>
      <c r="Q1156" s="3" t="s">
        <v>166</v>
      </c>
      <c r="R1156" s="12" t="n">
        <v>0.6636</v>
      </c>
      <c r="S1156" s="12" t="n">
        <v>0.3696</v>
      </c>
      <c r="T1156" s="3" t="n">
        <v>0.1698</v>
      </c>
      <c r="U1156" s="12" t="n">
        <v>0.3239</v>
      </c>
      <c r="V1156" s="12" t="n">
        <v>0.4905</v>
      </c>
      <c r="W1156" s="12" t="n">
        <v>0.4981</v>
      </c>
      <c r="X1156" s="3" t="n">
        <v>0.1545</v>
      </c>
      <c r="Y1156" s="3" t="n">
        <v>0.4664</v>
      </c>
      <c r="Z1156" s="14" t="n">
        <f aca="false">Assumptions!$B$3*R1156+Assumptions!$B$4*S1156+IF(AA1156=1,Assumptions!$B$11,Assumptions!$B$5)*X1156+IF(AA1156=1,Assumptions!$B$12,Assumptions!$B$6)*T1156+Assumptions!$B$7*U1156+Assumptions!$B$8*V1156+Assumptions!$B$9*Y1156</f>
        <v>0.406057</v>
      </c>
      <c r="AA1156" s="3" t="n">
        <v>0</v>
      </c>
    </row>
    <row r="1157" customFormat="false" ht="15" hidden="false" customHeight="false" outlineLevel="0" collapsed="false">
      <c r="A1157" s="3" t="s">
        <v>1342</v>
      </c>
      <c r="B1157" s="3" t="n">
        <v>300</v>
      </c>
      <c r="C1157" s="11" t="str">
        <f aca="false">IF(M1157&gt;=Assumptions!$B$17,"S+",IF(M1157&gt;=Assumptions!$B$18,"S",IF(M1157&gt;=Assumptions!$B$19,"A",IF(M1157&gt;=Assumptions!$B$20,"B",IF(M1157&gt;=Assumptions!$B$21,"C",IF(M1157&gt;=Assumptions!$B$22,"D","F"))))))</f>
        <v>F</v>
      </c>
      <c r="D1157" s="3" t="s">
        <v>218</v>
      </c>
      <c r="E1157" s="3" t="n">
        <v>3</v>
      </c>
      <c r="F1157" s="12" t="n">
        <v>0.3034</v>
      </c>
      <c r="G1157" s="12" t="n">
        <v>0.8</v>
      </c>
      <c r="H1157" s="12" t="n">
        <v>0.75</v>
      </c>
      <c r="I1157" s="12" t="n">
        <v>0.6311</v>
      </c>
      <c r="J1157" s="12" t="n">
        <v>0.2509</v>
      </c>
      <c r="K1157" s="12" t="n">
        <v>0.4185</v>
      </c>
      <c r="L1157" s="3" t="n">
        <v>6.74</v>
      </c>
      <c r="M1157" s="12" t="n">
        <f aca="false">Z1157-W1157</f>
        <v>-0.092701</v>
      </c>
      <c r="N1157" s="12" t="n">
        <f aca="false">IFERROR((Z1157-J1157)/L1157,"")</f>
        <v>0.0248663204747774</v>
      </c>
      <c r="O1157" s="3" t="n">
        <v>17</v>
      </c>
      <c r="P1157" s="13" t="b">
        <f aca="false">FALSE()</f>
        <v>0</v>
      </c>
      <c r="Q1157" s="3" t="s">
        <v>166</v>
      </c>
      <c r="R1157" s="12" t="n">
        <v>0.6492</v>
      </c>
      <c r="S1157" s="12" t="n">
        <v>0.2313</v>
      </c>
      <c r="T1157" s="3" t="n">
        <v>0.3215</v>
      </c>
      <c r="U1157" s="12" t="n">
        <v>0.2896</v>
      </c>
      <c r="V1157" s="12" t="n">
        <v>0.4584</v>
      </c>
      <c r="W1157" s="12" t="n">
        <v>0.5112</v>
      </c>
      <c r="X1157" s="3" t="n">
        <v>0.2203</v>
      </c>
      <c r="Y1157" s="3" t="n">
        <v>0.618</v>
      </c>
      <c r="Z1157" s="14" t="n">
        <f aca="false">Assumptions!$B$3*R1157+Assumptions!$B$4*S1157+IF(AA1157=1,Assumptions!$B$11,Assumptions!$B$5)*X1157+IF(AA1157=1,Assumptions!$B$12,Assumptions!$B$6)*T1157+Assumptions!$B$7*U1157+Assumptions!$B$8*V1157+Assumptions!$B$9*Y1157</f>
        <v>0.418499</v>
      </c>
      <c r="AA1157" s="3" t="n">
        <v>0</v>
      </c>
    </row>
    <row r="1158" customFormat="false" ht="15" hidden="false" customHeight="false" outlineLevel="0" collapsed="false">
      <c r="A1158" s="3" t="s">
        <v>1343</v>
      </c>
      <c r="B1158" s="3" t="n">
        <v>264</v>
      </c>
      <c r="C1158" s="11" t="str">
        <f aca="false">IF(M1158&gt;=Assumptions!$B$17,"S+",IF(M1158&gt;=Assumptions!$B$18,"S",IF(M1158&gt;=Assumptions!$B$19,"A",IF(M1158&gt;=Assumptions!$B$20,"B",IF(M1158&gt;=Assumptions!$B$21,"C",IF(M1158&gt;=Assumptions!$B$22,"D","F"))))))</f>
        <v>F</v>
      </c>
      <c r="D1158" s="3" t="s">
        <v>218</v>
      </c>
      <c r="E1158" s="3" t="n">
        <v>7</v>
      </c>
      <c r="F1158" s="12" t="n">
        <v>0.451</v>
      </c>
      <c r="G1158" s="12" t="n">
        <v>0.6</v>
      </c>
      <c r="H1158" s="12" t="n">
        <v>0.75</v>
      </c>
      <c r="I1158" s="12" t="n">
        <v>0.5823</v>
      </c>
      <c r="J1158" s="12" t="n">
        <v>0.2706</v>
      </c>
      <c r="K1158" s="12" t="n">
        <v>0.412</v>
      </c>
      <c r="L1158" s="3" t="n">
        <v>6</v>
      </c>
      <c r="M1158" s="12" t="n">
        <f aca="false">Z1158-W1158</f>
        <v>-0.092793</v>
      </c>
      <c r="N1158" s="12" t="n">
        <f aca="false">IFERROR((Z1158-J1158)/L1158,"")</f>
        <v>0.0235678333333333</v>
      </c>
      <c r="O1158" s="3" t="n">
        <v>13</v>
      </c>
      <c r="P1158" s="13" t="b">
        <f aca="false">FALSE()</f>
        <v>0</v>
      </c>
      <c r="Q1158" s="3" t="s">
        <v>166</v>
      </c>
      <c r="R1158" s="12" t="n">
        <v>0.7122</v>
      </c>
      <c r="S1158" s="12" t="n">
        <v>0.1382</v>
      </c>
      <c r="T1158" s="3" t="n">
        <v>0.0853</v>
      </c>
      <c r="U1158" s="12" t="n">
        <v>0.574</v>
      </c>
      <c r="V1158" s="12" t="n">
        <v>0.4969</v>
      </c>
      <c r="W1158" s="12" t="n">
        <v>0.5048</v>
      </c>
      <c r="X1158" s="3" t="n">
        <v>0.162</v>
      </c>
      <c r="Y1158" s="3" t="n">
        <v>0.5789</v>
      </c>
      <c r="Z1158" s="14" t="n">
        <f aca="false">Assumptions!$B$3*R1158+Assumptions!$B$4*S1158+IF(AA1158=1,Assumptions!$B$11,Assumptions!$B$5)*X1158+IF(AA1158=1,Assumptions!$B$12,Assumptions!$B$6)*T1158+Assumptions!$B$7*U1158+Assumptions!$B$8*V1158+Assumptions!$B$9*Y1158</f>
        <v>0.412007</v>
      </c>
      <c r="AA1158" s="3" t="n">
        <v>0</v>
      </c>
    </row>
    <row r="1159" customFormat="false" ht="15" hidden="false" customHeight="false" outlineLevel="0" collapsed="false">
      <c r="A1159" s="3" t="s">
        <v>1344</v>
      </c>
      <c r="B1159" s="3" t="n">
        <v>330</v>
      </c>
      <c r="C1159" s="11" t="str">
        <f aca="false">IF(M1159&gt;=Assumptions!$B$17,"S+",IF(M1159&gt;=Assumptions!$B$18,"S",IF(M1159&gt;=Assumptions!$B$19,"A",IF(M1159&gt;=Assumptions!$B$20,"B",IF(M1159&gt;=Assumptions!$B$21,"C",IF(M1159&gt;=Assumptions!$B$22,"D","F"))))))</f>
        <v>F</v>
      </c>
      <c r="D1159" s="3" t="s">
        <v>253</v>
      </c>
      <c r="E1159" s="3" t="n">
        <v>1</v>
      </c>
      <c r="F1159" s="12" t="n">
        <v>0.7277</v>
      </c>
      <c r="G1159" s="12" t="n">
        <v>0.6</v>
      </c>
      <c r="H1159" s="12" t="n">
        <v>0.75</v>
      </c>
      <c r="I1159" s="12" t="n">
        <v>0.6709</v>
      </c>
      <c r="J1159" s="12" t="n">
        <v>0.2523</v>
      </c>
      <c r="K1159" s="12" t="n">
        <v>0.4105</v>
      </c>
      <c r="L1159" s="3" t="n">
        <v>5.61</v>
      </c>
      <c r="M1159" s="12" t="n">
        <f aca="false">Z1159-W1159</f>
        <v>-0.0939669999999999</v>
      </c>
      <c r="N1159" s="12" t="n">
        <f aca="false">IFERROR((Z1159-J1159)/L1159,"")</f>
        <v>0.0282055258467023</v>
      </c>
      <c r="O1159" s="3" t="n">
        <v>19</v>
      </c>
      <c r="P1159" s="13" t="b">
        <f aca="false">FALSE()</f>
        <v>0</v>
      </c>
      <c r="Q1159" s="3" t="s">
        <v>166</v>
      </c>
      <c r="R1159" s="12" t="n">
        <v>0.6956</v>
      </c>
      <c r="S1159" s="12" t="n">
        <v>0.1856</v>
      </c>
      <c r="T1159" s="3" t="n">
        <v>0.3938</v>
      </c>
      <c r="U1159" s="12" t="n">
        <v>0.2955</v>
      </c>
      <c r="V1159" s="12" t="n">
        <v>0.4557</v>
      </c>
      <c r="W1159" s="12" t="n">
        <v>0.5045</v>
      </c>
      <c r="X1159" s="3" t="n">
        <v>0.0774</v>
      </c>
      <c r="Y1159" s="3" t="n">
        <v>0.6252</v>
      </c>
      <c r="Z1159" s="14" t="n">
        <f aca="false">Assumptions!$B$3*R1159+Assumptions!$B$4*S1159+IF(AA1159=1,Assumptions!$B$11,Assumptions!$B$5)*X1159+IF(AA1159=1,Assumptions!$B$12,Assumptions!$B$6)*T1159+Assumptions!$B$7*U1159+Assumptions!$B$8*V1159+Assumptions!$B$9*Y1159</f>
        <v>0.410533</v>
      </c>
      <c r="AA1159" s="3" t="n">
        <v>0</v>
      </c>
    </row>
    <row r="1160" customFormat="false" ht="15" hidden="false" customHeight="false" outlineLevel="0" collapsed="false">
      <c r="A1160" s="3" t="s">
        <v>1345</v>
      </c>
      <c r="B1160" s="3" t="n">
        <v>260</v>
      </c>
      <c r="C1160" s="11" t="str">
        <f aca="false">IF(M1160&gt;=Assumptions!$B$17,"S+",IF(M1160&gt;=Assumptions!$B$18,"S",IF(M1160&gt;=Assumptions!$B$19,"A",IF(M1160&gt;=Assumptions!$B$20,"B",IF(M1160&gt;=Assumptions!$B$21,"C",IF(M1160&gt;=Assumptions!$B$22,"D","F"))))))</f>
        <v>F</v>
      </c>
      <c r="D1160" s="3" t="s">
        <v>190</v>
      </c>
      <c r="E1160" s="3" t="n">
        <v>1</v>
      </c>
      <c r="F1160" s="12" t="n">
        <v>0.3861</v>
      </c>
      <c r="G1160" s="12" t="n">
        <v>0.6</v>
      </c>
      <c r="H1160" s="12" t="n">
        <v>0.75</v>
      </c>
      <c r="I1160" s="12" t="n">
        <v>0.5487</v>
      </c>
      <c r="J1160" s="12" t="n">
        <v>0.2498</v>
      </c>
      <c r="K1160" s="12" t="n">
        <v>0.3925</v>
      </c>
      <c r="L1160" s="3" t="n">
        <v>5.58</v>
      </c>
      <c r="M1160" s="12" t="n">
        <f aca="false">Z1160-W1160</f>
        <v>-0.094017</v>
      </c>
      <c r="N1160" s="12" t="n">
        <f aca="false">IFERROR((Z1160-J1160)/L1160,"")</f>
        <v>0.0255704301075269</v>
      </c>
      <c r="O1160" s="3" t="n">
        <v>19</v>
      </c>
      <c r="P1160" s="13" t="b">
        <f aca="false">FALSE()</f>
        <v>0</v>
      </c>
      <c r="Q1160" s="3" t="s">
        <v>166</v>
      </c>
      <c r="R1160" s="12" t="n">
        <v>0.6089</v>
      </c>
      <c r="S1160" s="12" t="n">
        <v>0.273</v>
      </c>
      <c r="T1160" s="3" t="n">
        <v>0.1908</v>
      </c>
      <c r="U1160" s="12" t="n">
        <v>0.4048</v>
      </c>
      <c r="V1160" s="12" t="n">
        <v>0.4579</v>
      </c>
      <c r="W1160" s="12" t="n">
        <v>0.4865</v>
      </c>
      <c r="X1160" s="3" t="n">
        <v>0.1699</v>
      </c>
      <c r="Y1160" s="3" t="n">
        <v>0.5229</v>
      </c>
      <c r="Z1160" s="14" t="n">
        <f aca="false">Assumptions!$B$3*R1160+Assumptions!$B$4*S1160+IF(AA1160=1,Assumptions!$B$11,Assumptions!$B$5)*X1160+IF(AA1160=1,Assumptions!$B$12,Assumptions!$B$6)*T1160+Assumptions!$B$7*U1160+Assumptions!$B$8*V1160+Assumptions!$B$9*Y1160</f>
        <v>0.392483</v>
      </c>
      <c r="AA1160" s="3" t="n">
        <v>0</v>
      </c>
    </row>
    <row r="1161" customFormat="false" ht="15" hidden="false" customHeight="false" outlineLevel="0" collapsed="false">
      <c r="A1161" s="3" t="s">
        <v>1346</v>
      </c>
      <c r="B1161" s="3" t="n">
        <v>275</v>
      </c>
      <c r="C1161" s="11" t="str">
        <f aca="false">IF(M1161&gt;=Assumptions!$B$17,"S+",IF(M1161&gt;=Assumptions!$B$18,"S",IF(M1161&gt;=Assumptions!$B$19,"A",IF(M1161&gt;=Assumptions!$B$20,"B",IF(M1161&gt;=Assumptions!$B$21,"C",IF(M1161&gt;=Assumptions!$B$22,"D","F"))))))</f>
        <v>F</v>
      </c>
      <c r="D1161" s="3" t="s">
        <v>190</v>
      </c>
      <c r="E1161" s="3" t="n">
        <v>1</v>
      </c>
      <c r="F1161" s="12" t="n">
        <v>0.5578</v>
      </c>
      <c r="G1161" s="12" t="n">
        <v>0.4</v>
      </c>
      <c r="H1161" s="12" t="n">
        <v>0.75</v>
      </c>
      <c r="I1161" s="12" t="n">
        <v>0.53</v>
      </c>
      <c r="J1161" s="12" t="n">
        <v>0.2784</v>
      </c>
      <c r="K1161" s="12" t="n">
        <v>0.3991</v>
      </c>
      <c r="L1161" s="3" t="n">
        <v>5.61</v>
      </c>
      <c r="M1161" s="12" t="n">
        <f aca="false">Z1161-W1161</f>
        <v>-0.094707</v>
      </c>
      <c r="N1161" s="12" t="n">
        <f aca="false">IFERROR((Z1161-J1161)/L1161,"")</f>
        <v>0.0215139037433155</v>
      </c>
      <c r="O1161" s="3" t="n">
        <v>19</v>
      </c>
      <c r="P1161" s="13" t="b">
        <f aca="false">FALSE()</f>
        <v>0</v>
      </c>
      <c r="Q1161" s="3" t="s">
        <v>166</v>
      </c>
      <c r="R1161" s="12" t="n">
        <v>0.6964</v>
      </c>
      <c r="S1161" s="12" t="n">
        <v>0.2646</v>
      </c>
      <c r="T1161" s="3" t="n">
        <v>0.2599</v>
      </c>
      <c r="U1161" s="12" t="n">
        <v>0.2348</v>
      </c>
      <c r="V1161" s="12" t="n">
        <v>0.4579</v>
      </c>
      <c r="W1161" s="12" t="n">
        <v>0.4938</v>
      </c>
      <c r="X1161" s="3" t="n">
        <v>0.1242</v>
      </c>
      <c r="Y1161" s="3" t="n">
        <v>0.5343</v>
      </c>
      <c r="Z1161" s="14" t="n">
        <f aca="false">Assumptions!$B$3*R1161+Assumptions!$B$4*S1161+IF(AA1161=1,Assumptions!$B$11,Assumptions!$B$5)*X1161+IF(AA1161=1,Assumptions!$B$12,Assumptions!$B$6)*T1161+Assumptions!$B$7*U1161+Assumptions!$B$8*V1161+Assumptions!$B$9*Y1161</f>
        <v>0.399093</v>
      </c>
      <c r="AA1161" s="3" t="n">
        <v>0</v>
      </c>
    </row>
    <row r="1162" customFormat="false" ht="15" hidden="false" customHeight="false" outlineLevel="0" collapsed="false">
      <c r="A1162" s="3" t="s">
        <v>1347</v>
      </c>
      <c r="B1162" s="3" t="n">
        <v>306</v>
      </c>
      <c r="C1162" s="11" t="str">
        <f aca="false">IF(M1162&gt;=Assumptions!$B$17,"S+",IF(M1162&gt;=Assumptions!$B$18,"S",IF(M1162&gt;=Assumptions!$B$19,"A",IF(M1162&gt;=Assumptions!$B$20,"B",IF(M1162&gt;=Assumptions!$B$21,"C",IF(M1162&gt;=Assumptions!$B$22,"D","F"))))))</f>
        <v>F</v>
      </c>
      <c r="D1162" s="3" t="s">
        <v>197</v>
      </c>
      <c r="E1162" s="3" t="n">
        <v>3</v>
      </c>
      <c r="F1162" s="12" t="n">
        <v>0.5047</v>
      </c>
      <c r="G1162" s="12" t="n">
        <v>0.8</v>
      </c>
      <c r="H1162" s="12" t="n">
        <v>0.75</v>
      </c>
      <c r="I1162" s="12" t="n">
        <v>0.6778</v>
      </c>
      <c r="J1162" s="12" t="n">
        <v>0.2644</v>
      </c>
      <c r="K1162" s="12" t="n">
        <v>0.3893</v>
      </c>
      <c r="L1162" s="3" t="n">
        <v>5.68</v>
      </c>
      <c r="M1162" s="12" t="n">
        <f aca="false">Z1162-W1162</f>
        <v>-0.096955</v>
      </c>
      <c r="N1162" s="12" t="n">
        <f aca="false">IFERROR((Z1162-J1162)/L1162,"")</f>
        <v>0.0219973591549296</v>
      </c>
      <c r="O1162" s="3" t="n">
        <v>17</v>
      </c>
      <c r="P1162" s="13" t="b">
        <f aca="false">FALSE()</f>
        <v>0</v>
      </c>
      <c r="Q1162" s="3" t="s">
        <v>166</v>
      </c>
      <c r="R1162" s="12" t="n">
        <v>0.6677</v>
      </c>
      <c r="S1162" s="12" t="n">
        <v>0.1689</v>
      </c>
      <c r="T1162" s="3" t="n">
        <v>0.1633</v>
      </c>
      <c r="U1162" s="12" t="n">
        <v>0.3484</v>
      </c>
      <c r="V1162" s="12" t="n">
        <v>0.4498</v>
      </c>
      <c r="W1162" s="12" t="n">
        <v>0.4863</v>
      </c>
      <c r="X1162" s="3" t="n">
        <v>0.1364</v>
      </c>
      <c r="Y1162" s="3" t="n">
        <v>0.6467</v>
      </c>
      <c r="Z1162" s="14" t="n">
        <f aca="false">Assumptions!$B$3*R1162+Assumptions!$B$4*S1162+IF(AA1162=1,Assumptions!$B$11,Assumptions!$B$5)*X1162+IF(AA1162=1,Assumptions!$B$12,Assumptions!$B$6)*T1162+Assumptions!$B$7*U1162+Assumptions!$B$8*V1162+Assumptions!$B$9*Y1162</f>
        <v>0.389345</v>
      </c>
      <c r="AA1162" s="3" t="n">
        <v>0</v>
      </c>
    </row>
    <row r="1163" customFormat="false" ht="15" hidden="false" customHeight="false" outlineLevel="0" collapsed="false">
      <c r="A1163" s="3" t="s">
        <v>1348</v>
      </c>
      <c r="B1163" s="3" t="n">
        <v>230</v>
      </c>
      <c r="C1163" s="11" t="str">
        <f aca="false">IF(M1163&gt;=Assumptions!$B$17,"S+",IF(M1163&gt;=Assumptions!$B$18,"S",IF(M1163&gt;=Assumptions!$B$19,"A",IF(M1163&gt;=Assumptions!$B$20,"B",IF(M1163&gt;=Assumptions!$B$21,"C",IF(M1163&gt;=Assumptions!$B$22,"D","F"))))))</f>
        <v>F</v>
      </c>
      <c r="D1163" s="3" t="s">
        <v>186</v>
      </c>
      <c r="E1163" s="3" t="n">
        <v>1</v>
      </c>
      <c r="F1163" s="12" t="n">
        <v>0.5449</v>
      </c>
      <c r="G1163" s="12" t="n">
        <v>0.6</v>
      </c>
      <c r="H1163" s="12" t="n">
        <v>0.75</v>
      </c>
      <c r="I1163" s="12" t="n">
        <v>0.6201</v>
      </c>
      <c r="J1163" s="12" t="n">
        <v>0.1146</v>
      </c>
      <c r="K1163" s="12" t="n">
        <v>0.3297</v>
      </c>
      <c r="L1163" s="3" t="n">
        <v>5.5</v>
      </c>
      <c r="M1163" s="12" t="n">
        <f aca="false">Z1163-W1163</f>
        <v>-0.0971050000000001</v>
      </c>
      <c r="N1163" s="12" t="n">
        <f aca="false">IFERROR((Z1163-J1163)/L1163,"")</f>
        <v>0.0391081818181818</v>
      </c>
      <c r="O1163" s="3" t="n">
        <v>19</v>
      </c>
      <c r="P1163" s="13" t="b">
        <f aca="false">FALSE()</f>
        <v>0</v>
      </c>
      <c r="Q1163" s="3" t="s">
        <v>166</v>
      </c>
      <c r="R1163" s="12" t="n">
        <v>0.4311</v>
      </c>
      <c r="S1163" s="12" t="n">
        <v>0.2615</v>
      </c>
      <c r="T1163" s="3" t="n">
        <v>0.3412</v>
      </c>
      <c r="U1163" s="12" t="n">
        <v>0.3724</v>
      </c>
      <c r="V1163" s="12" t="n">
        <v>0.4878</v>
      </c>
      <c r="W1163" s="12" t="n">
        <v>0.4268</v>
      </c>
      <c r="X1163" s="3" t="n">
        <v>0.0677</v>
      </c>
      <c r="Y1163" s="3" t="n">
        <v>0.5759</v>
      </c>
      <c r="Z1163" s="14" t="n">
        <f aca="false">Assumptions!$B$3*R1163+Assumptions!$B$4*S1163+IF(AA1163=1,Assumptions!$B$11,Assumptions!$B$5)*X1163+IF(AA1163=1,Assumptions!$B$12,Assumptions!$B$6)*T1163+Assumptions!$B$7*U1163+Assumptions!$B$8*V1163+Assumptions!$B$9*Y1163</f>
        <v>0.329695</v>
      </c>
      <c r="AA1163" s="3" t="n">
        <v>1</v>
      </c>
    </row>
    <row r="1164" customFormat="false" ht="15" hidden="false" customHeight="false" outlineLevel="0" collapsed="false">
      <c r="A1164" s="3" t="s">
        <v>1349</v>
      </c>
      <c r="B1164" s="3" t="n">
        <v>245</v>
      </c>
      <c r="C1164" s="11" t="str">
        <f aca="false">IF(M1164&gt;=Assumptions!$B$17,"S+",IF(M1164&gt;=Assumptions!$B$18,"S",IF(M1164&gt;=Assumptions!$B$19,"A",IF(M1164&gt;=Assumptions!$B$20,"B",IF(M1164&gt;=Assumptions!$B$21,"C",IF(M1164&gt;=Assumptions!$B$22,"D","F"))))))</f>
        <v>F</v>
      </c>
      <c r="D1164" s="3" t="s">
        <v>197</v>
      </c>
      <c r="E1164" s="3" t="n">
        <v>4</v>
      </c>
      <c r="F1164" s="12" t="n">
        <v>0.5092</v>
      </c>
      <c r="G1164" s="12" t="n">
        <v>0.4</v>
      </c>
      <c r="H1164" s="12" t="n">
        <v>0.75</v>
      </c>
      <c r="I1164" s="12" t="n">
        <v>0.5115</v>
      </c>
      <c r="J1164" s="12" t="n">
        <v>0.2666</v>
      </c>
      <c r="K1164" s="12" t="n">
        <v>0.3931</v>
      </c>
      <c r="L1164" s="3" t="n">
        <v>5.88</v>
      </c>
      <c r="M1164" s="12" t="n">
        <f aca="false">Z1164-W1164</f>
        <v>-0.097451</v>
      </c>
      <c r="N1164" s="12" t="n">
        <f aca="false">IFERROR((Z1164-J1164)/L1164,"")</f>
        <v>0.0215219387755102</v>
      </c>
      <c r="O1164" s="3" t="n">
        <v>16</v>
      </c>
      <c r="P1164" s="13" t="b">
        <f aca="false">FALSE()</f>
        <v>0</v>
      </c>
      <c r="Q1164" s="3" t="s">
        <v>166</v>
      </c>
      <c r="R1164" s="12" t="n">
        <v>0.6618</v>
      </c>
      <c r="S1164" s="12" t="n">
        <v>0.175</v>
      </c>
      <c r="T1164" s="3" t="n">
        <v>0.1846</v>
      </c>
      <c r="U1164" s="12" t="n">
        <v>0.476</v>
      </c>
      <c r="V1164" s="12" t="n">
        <v>0.4981</v>
      </c>
      <c r="W1164" s="12" t="n">
        <v>0.4906</v>
      </c>
      <c r="X1164" s="3" t="n">
        <v>0.1173</v>
      </c>
      <c r="Y1164" s="3" t="n">
        <v>0.5152</v>
      </c>
      <c r="Z1164" s="14" t="n">
        <f aca="false">Assumptions!$B$3*R1164+Assumptions!$B$4*S1164+IF(AA1164=1,Assumptions!$B$11,Assumptions!$B$5)*X1164+IF(AA1164=1,Assumptions!$B$12,Assumptions!$B$6)*T1164+Assumptions!$B$7*U1164+Assumptions!$B$8*V1164+Assumptions!$B$9*Y1164</f>
        <v>0.393149</v>
      </c>
      <c r="AA1164" s="3" t="n">
        <v>0</v>
      </c>
    </row>
    <row r="1165" customFormat="false" ht="15" hidden="false" customHeight="false" outlineLevel="0" collapsed="false">
      <c r="A1165" s="3" t="s">
        <v>1350</v>
      </c>
      <c r="B1165" s="3" t="n">
        <v>245</v>
      </c>
      <c r="C1165" s="11" t="str">
        <f aca="false">IF(M1165&gt;=Assumptions!$B$17,"S+",IF(M1165&gt;=Assumptions!$B$18,"S",IF(M1165&gt;=Assumptions!$B$19,"A",IF(M1165&gt;=Assumptions!$B$20,"B",IF(M1165&gt;=Assumptions!$B$21,"C",IF(M1165&gt;=Assumptions!$B$22,"D","F"))))))</f>
        <v>F</v>
      </c>
      <c r="D1165" s="3" t="s">
        <v>190</v>
      </c>
      <c r="E1165" s="3" t="n">
        <v>1</v>
      </c>
      <c r="F1165" s="12" t="n">
        <v>0.4828</v>
      </c>
      <c r="G1165" s="12" t="n">
        <v>0.6</v>
      </c>
      <c r="H1165" s="12" t="n">
        <v>0.75</v>
      </c>
      <c r="I1165" s="12" t="n">
        <v>0.5855</v>
      </c>
      <c r="J1165" s="12" t="n">
        <v>0.2322</v>
      </c>
      <c r="K1165" s="12" t="n">
        <v>0.3995</v>
      </c>
      <c r="L1165" s="3" t="n">
        <v>5.58</v>
      </c>
      <c r="M1165" s="12" t="n">
        <f aca="false">Z1165-W1165</f>
        <v>-0.0977419999999999</v>
      </c>
      <c r="N1165" s="12" t="n">
        <f aca="false">IFERROR((Z1165-J1165)/L1165,"")</f>
        <v>0.0299745519713262</v>
      </c>
      <c r="O1165" s="3" t="n">
        <v>19</v>
      </c>
      <c r="P1165" s="13" t="b">
        <f aca="false">FALSE()</f>
        <v>0</v>
      </c>
      <c r="Q1165" s="3" t="s">
        <v>166</v>
      </c>
      <c r="R1165" s="12" t="n">
        <v>0.6301</v>
      </c>
      <c r="S1165" s="12" t="n">
        <v>0.1693</v>
      </c>
      <c r="T1165" s="3" t="n">
        <v>0.2686</v>
      </c>
      <c r="U1165" s="12" t="n">
        <v>0.5668</v>
      </c>
      <c r="V1165" s="12" t="n">
        <v>0.5207</v>
      </c>
      <c r="W1165" s="12" t="n">
        <v>0.4972</v>
      </c>
      <c r="X1165" s="3" t="n">
        <v>0.0628</v>
      </c>
      <c r="Y1165" s="3" t="n">
        <v>0.54</v>
      </c>
      <c r="Z1165" s="14" t="n">
        <f aca="false">Assumptions!$B$3*R1165+Assumptions!$B$4*S1165+IF(AA1165=1,Assumptions!$B$11,Assumptions!$B$5)*X1165+IF(AA1165=1,Assumptions!$B$12,Assumptions!$B$6)*T1165+Assumptions!$B$7*U1165+Assumptions!$B$8*V1165+Assumptions!$B$9*Y1165</f>
        <v>0.399458</v>
      </c>
      <c r="AA1165" s="3" t="n">
        <v>0</v>
      </c>
    </row>
    <row r="1166" customFormat="false" ht="15" hidden="false" customHeight="false" outlineLevel="0" collapsed="false">
      <c r="A1166" s="3" t="s">
        <v>1351</v>
      </c>
      <c r="B1166" s="3" t="n">
        <v>299</v>
      </c>
      <c r="C1166" s="11" t="str">
        <f aca="false">IF(M1166&gt;=Assumptions!$B$17,"S+",IF(M1166&gt;=Assumptions!$B$18,"S",IF(M1166&gt;=Assumptions!$B$19,"A",IF(M1166&gt;=Assumptions!$B$20,"B",IF(M1166&gt;=Assumptions!$B$21,"C",IF(M1166&gt;=Assumptions!$B$22,"D","F"))))))</f>
        <v>F</v>
      </c>
      <c r="D1166" s="3" t="s">
        <v>253</v>
      </c>
      <c r="E1166" s="3" t="n">
        <v>1</v>
      </c>
      <c r="F1166" s="12" t="n">
        <v>0.3802</v>
      </c>
      <c r="G1166" s="12" t="n">
        <v>0.6</v>
      </c>
      <c r="H1166" s="12" t="n">
        <v>0.75</v>
      </c>
      <c r="I1166" s="12" t="n">
        <v>0.5597</v>
      </c>
      <c r="J1166" s="12" t="n">
        <v>0.2701</v>
      </c>
      <c r="K1166" s="12" t="n">
        <v>0.4172</v>
      </c>
      <c r="L1166" s="3" t="n">
        <v>5.21</v>
      </c>
      <c r="M1166" s="12" t="n">
        <f aca="false">Z1166-W1166</f>
        <v>-0.097795</v>
      </c>
      <c r="N1166" s="12" t="n">
        <f aca="false">IFERROR((Z1166-J1166)/L1166,"")</f>
        <v>0.0282351247600768</v>
      </c>
      <c r="O1166" s="3" t="n">
        <v>19</v>
      </c>
      <c r="P1166" s="13" t="b">
        <f aca="false">FALSE()</f>
        <v>0</v>
      </c>
      <c r="Q1166" s="3" t="s">
        <v>166</v>
      </c>
      <c r="R1166" s="12" t="n">
        <v>0.6159</v>
      </c>
      <c r="S1166" s="12" t="n">
        <v>0.3129</v>
      </c>
      <c r="T1166" s="3" t="n">
        <v>0.3507</v>
      </c>
      <c r="U1166" s="12" t="n">
        <v>0.2308</v>
      </c>
      <c r="V1166" s="12" t="n">
        <v>0.4614</v>
      </c>
      <c r="W1166" s="12" t="n">
        <v>0.515</v>
      </c>
      <c r="X1166" s="3" t="n">
        <v>0.2458</v>
      </c>
      <c r="Y1166" s="3" t="n">
        <v>0.5489</v>
      </c>
      <c r="Z1166" s="14" t="n">
        <f aca="false">Assumptions!$B$3*R1166+Assumptions!$B$4*S1166+IF(AA1166=1,Assumptions!$B$11,Assumptions!$B$5)*X1166+IF(AA1166=1,Assumptions!$B$12,Assumptions!$B$6)*T1166+Assumptions!$B$7*U1166+Assumptions!$B$8*V1166+Assumptions!$B$9*Y1166</f>
        <v>0.417205</v>
      </c>
      <c r="AA1166" s="3" t="n">
        <v>0</v>
      </c>
    </row>
    <row r="1167" customFormat="false" ht="15" hidden="false" customHeight="false" outlineLevel="0" collapsed="false">
      <c r="A1167" s="3" t="s">
        <v>1352</v>
      </c>
      <c r="B1167" s="3" t="n">
        <v>310</v>
      </c>
      <c r="C1167" s="11" t="str">
        <f aca="false">IF(M1167&gt;=Assumptions!$B$17,"S+",IF(M1167&gt;=Assumptions!$B$18,"S",IF(M1167&gt;=Assumptions!$B$19,"A",IF(M1167&gt;=Assumptions!$B$20,"B",IF(M1167&gt;=Assumptions!$B$21,"C",IF(M1167&gt;=Assumptions!$B$22,"D","F"))))))</f>
        <v>F</v>
      </c>
      <c r="D1167" s="3" t="s">
        <v>218</v>
      </c>
      <c r="E1167" s="3" t="n">
        <v>1</v>
      </c>
      <c r="F1167" s="12" t="n">
        <v>0.5484</v>
      </c>
      <c r="G1167" s="12" t="n">
        <v>0.6</v>
      </c>
      <c r="H1167" s="12" t="n">
        <v>0.75</v>
      </c>
      <c r="I1167" s="12" t="n">
        <v>0.6135</v>
      </c>
      <c r="J1167" s="12" t="n">
        <v>0.2686</v>
      </c>
      <c r="K1167" s="12" t="n">
        <v>0.4253</v>
      </c>
      <c r="L1167" s="3" t="n">
        <v>5.55</v>
      </c>
      <c r="M1167" s="12" t="n">
        <f aca="false">Z1167-W1167</f>
        <v>-0.098107</v>
      </c>
      <c r="N1167" s="12" t="n">
        <f aca="false">IFERROR((Z1167-J1167)/L1167,"")</f>
        <v>0.028232972972973</v>
      </c>
      <c r="O1167" s="3" t="n">
        <v>19</v>
      </c>
      <c r="P1167" s="13" t="b">
        <f aca="false">FALSE()</f>
        <v>0</v>
      </c>
      <c r="Q1167" s="3" t="s">
        <v>166</v>
      </c>
      <c r="R1167" s="12" t="n">
        <v>0.6504</v>
      </c>
      <c r="S1167" s="12" t="n">
        <v>0.2546</v>
      </c>
      <c r="T1167" s="3" t="n">
        <v>0.3697</v>
      </c>
      <c r="U1167" s="12" t="n">
        <v>0.3441</v>
      </c>
      <c r="V1167" s="12" t="n">
        <v>0.4497</v>
      </c>
      <c r="W1167" s="12" t="n">
        <v>0.5234</v>
      </c>
      <c r="X1167" s="3" t="n">
        <v>0.1898</v>
      </c>
      <c r="Y1167" s="3" t="n">
        <v>0.5939</v>
      </c>
      <c r="Z1167" s="14" t="n">
        <f aca="false">Assumptions!$B$3*R1167+Assumptions!$B$4*S1167+IF(AA1167=1,Assumptions!$B$11,Assumptions!$B$5)*X1167+IF(AA1167=1,Assumptions!$B$12,Assumptions!$B$6)*T1167+Assumptions!$B$7*U1167+Assumptions!$B$8*V1167+Assumptions!$B$9*Y1167</f>
        <v>0.425293</v>
      </c>
      <c r="AA1167" s="3" t="n">
        <v>0</v>
      </c>
    </row>
    <row r="1168" customFormat="false" ht="15" hidden="false" customHeight="false" outlineLevel="0" collapsed="false">
      <c r="A1168" s="3" t="s">
        <v>1353</v>
      </c>
      <c r="B1168" s="3" t="n">
        <v>424</v>
      </c>
      <c r="C1168" s="11" t="str">
        <f aca="false">IF(M1168&gt;=Assumptions!$B$17,"S+",IF(M1168&gt;=Assumptions!$B$18,"S",IF(M1168&gt;=Assumptions!$B$19,"A",IF(M1168&gt;=Assumptions!$B$20,"B",IF(M1168&gt;=Assumptions!$B$21,"C",IF(M1168&gt;=Assumptions!$B$22,"D","F"))))))</f>
        <v>F</v>
      </c>
      <c r="D1168" s="3" t="s">
        <v>253</v>
      </c>
      <c r="E1168" s="3" t="n">
        <v>2</v>
      </c>
      <c r="F1168" s="12" t="n">
        <v>0.5978</v>
      </c>
      <c r="G1168" s="12" t="n">
        <v>0.6</v>
      </c>
      <c r="H1168" s="12" t="n">
        <v>0.75</v>
      </c>
      <c r="I1168" s="12" t="n">
        <v>0.6293</v>
      </c>
      <c r="J1168" s="12" t="n">
        <v>0.3043</v>
      </c>
      <c r="K1168" s="12" t="n">
        <v>0.4335</v>
      </c>
      <c r="L1168" s="3" t="n">
        <v>3.78</v>
      </c>
      <c r="M1168" s="12" t="n">
        <f aca="false">Z1168-W1168</f>
        <v>-0.098373</v>
      </c>
      <c r="N1168" s="12" t="n">
        <f aca="false">IFERROR((Z1168-J1168)/L1168,"")</f>
        <v>0.0341870370370371</v>
      </c>
      <c r="O1168" s="3" t="n">
        <v>18</v>
      </c>
      <c r="P1168" s="13" t="b">
        <f aca="false">FALSE()</f>
        <v>0</v>
      </c>
      <c r="Q1168" s="3" t="s">
        <v>166</v>
      </c>
      <c r="R1168" s="12" t="n">
        <v>0.6926</v>
      </c>
      <c r="S1168" s="12" t="n">
        <v>0.4091</v>
      </c>
      <c r="T1168" s="3" t="n">
        <v>0.1172</v>
      </c>
      <c r="U1168" s="12" t="n">
        <v>0.3675</v>
      </c>
      <c r="V1168" s="12" t="n">
        <v>0.3422</v>
      </c>
      <c r="W1168" s="12" t="n">
        <v>0.5319</v>
      </c>
      <c r="X1168" s="3" t="n">
        <v>0.2665</v>
      </c>
      <c r="Y1168" s="3" t="n">
        <v>0.6099</v>
      </c>
      <c r="Z1168" s="14" t="n">
        <f aca="false">Assumptions!$B$3*R1168+Assumptions!$B$4*S1168+IF(AA1168=1,Assumptions!$B$11,Assumptions!$B$5)*X1168+IF(AA1168=1,Assumptions!$B$12,Assumptions!$B$6)*T1168+Assumptions!$B$7*U1168+Assumptions!$B$8*V1168+Assumptions!$B$9*Y1168</f>
        <v>0.433527</v>
      </c>
      <c r="AA1168" s="3" t="n">
        <v>0</v>
      </c>
    </row>
    <row r="1169" customFormat="false" ht="15" hidden="false" customHeight="false" outlineLevel="0" collapsed="false">
      <c r="A1169" s="3" t="s">
        <v>1354</v>
      </c>
      <c r="B1169" s="3" t="n">
        <v>255</v>
      </c>
      <c r="C1169" s="11" t="str">
        <f aca="false">IF(M1169&gt;=Assumptions!$B$17,"S+",IF(M1169&gt;=Assumptions!$B$18,"S",IF(M1169&gt;=Assumptions!$B$19,"A",IF(M1169&gt;=Assumptions!$B$20,"B",IF(M1169&gt;=Assumptions!$B$21,"C",IF(M1169&gt;=Assumptions!$B$22,"D","F"))))))</f>
        <v>F</v>
      </c>
      <c r="D1169" s="3" t="s">
        <v>197</v>
      </c>
      <c r="E1169" s="3" t="n">
        <v>7</v>
      </c>
      <c r="F1169" s="12" t="n">
        <v>0.6752</v>
      </c>
      <c r="G1169" s="12" t="n">
        <v>0.8</v>
      </c>
      <c r="H1169" s="12" t="n">
        <v>0.75</v>
      </c>
      <c r="I1169" s="12" t="n">
        <v>0.7426</v>
      </c>
      <c r="J1169" s="12" t="n">
        <v>0.2102</v>
      </c>
      <c r="K1169" s="12" t="n">
        <v>0.3873</v>
      </c>
      <c r="L1169" s="3" t="n">
        <v>6</v>
      </c>
      <c r="M1169" s="12" t="n">
        <f aca="false">Z1169-W1169</f>
        <v>-0.099204</v>
      </c>
      <c r="N1169" s="12" t="n">
        <f aca="false">IFERROR((Z1169-J1169)/L1169,"")</f>
        <v>0.029516</v>
      </c>
      <c r="O1169" s="3" t="n">
        <v>13</v>
      </c>
      <c r="P1169" s="13" t="b">
        <f aca="false">FALSE()</f>
        <v>0</v>
      </c>
      <c r="Q1169" s="3" t="s">
        <v>166</v>
      </c>
      <c r="R1169" s="12" t="n">
        <v>0.5575</v>
      </c>
      <c r="S1169" s="12" t="n">
        <v>0.1003</v>
      </c>
      <c r="T1169" s="3" t="n">
        <v>0.2012</v>
      </c>
      <c r="U1169" s="12" t="n">
        <v>0.4556</v>
      </c>
      <c r="V1169" s="12" t="n">
        <v>0.4757</v>
      </c>
      <c r="W1169" s="12" t="n">
        <v>0.4865</v>
      </c>
      <c r="X1169" s="3" t="n">
        <v>0.1925</v>
      </c>
      <c r="Y1169" s="3" t="n">
        <v>0.7447</v>
      </c>
      <c r="Z1169" s="14" t="n">
        <f aca="false">Assumptions!$B$3*R1169+Assumptions!$B$4*S1169+IF(AA1169=1,Assumptions!$B$11,Assumptions!$B$5)*X1169+IF(AA1169=1,Assumptions!$B$12,Assumptions!$B$6)*T1169+Assumptions!$B$7*U1169+Assumptions!$B$8*V1169+Assumptions!$B$9*Y1169</f>
        <v>0.387296</v>
      </c>
      <c r="AA1169" s="3" t="n">
        <v>0</v>
      </c>
    </row>
    <row r="1170" customFormat="false" ht="15" hidden="false" customHeight="false" outlineLevel="0" collapsed="false">
      <c r="A1170" s="3" t="s">
        <v>1355</v>
      </c>
      <c r="B1170" s="3" t="n">
        <v>265</v>
      </c>
      <c r="C1170" s="11" t="str">
        <f aca="false">IF(M1170&gt;=Assumptions!$B$17,"S+",IF(M1170&gt;=Assumptions!$B$18,"S",IF(M1170&gt;=Assumptions!$B$19,"A",IF(M1170&gt;=Assumptions!$B$20,"B",IF(M1170&gt;=Assumptions!$B$21,"C",IF(M1170&gt;=Assumptions!$B$22,"D","F"))))))</f>
        <v>F</v>
      </c>
      <c r="D1170" s="3" t="s">
        <v>197</v>
      </c>
      <c r="E1170" s="3" t="n">
        <v>3</v>
      </c>
      <c r="F1170" s="12" t="n">
        <v>0.4301</v>
      </c>
      <c r="G1170" s="12" t="n">
        <v>0.6</v>
      </c>
      <c r="H1170" s="12" t="n">
        <v>0.75</v>
      </c>
      <c r="I1170" s="12" t="n">
        <v>0.5654</v>
      </c>
      <c r="J1170" s="12" t="n">
        <v>0.2107</v>
      </c>
      <c r="K1170" s="12" t="n">
        <v>0.3947</v>
      </c>
      <c r="L1170" s="3" t="n">
        <v>5.82</v>
      </c>
      <c r="M1170" s="12" t="n">
        <f aca="false">Z1170-W1170</f>
        <v>-0.0991890000000001</v>
      </c>
      <c r="N1170" s="12" t="n">
        <f aca="false">IFERROR((Z1170-J1170)/L1170,"")</f>
        <v>0.0316170103092783</v>
      </c>
      <c r="O1170" s="3" t="n">
        <v>17</v>
      </c>
      <c r="P1170" s="13" t="b">
        <f aca="false">FALSE()</f>
        <v>0</v>
      </c>
      <c r="Q1170" s="3" t="s">
        <v>166</v>
      </c>
      <c r="R1170" s="12" t="n">
        <v>0.5161</v>
      </c>
      <c r="S1170" s="12" t="n">
        <v>0.2053</v>
      </c>
      <c r="T1170" s="3" t="n">
        <v>0.1797</v>
      </c>
      <c r="U1170" s="12" t="n">
        <v>0.534</v>
      </c>
      <c r="V1170" s="12" t="n">
        <v>0.408</v>
      </c>
      <c r="W1170" s="12" t="n">
        <v>0.4939</v>
      </c>
      <c r="X1170" s="3" t="n">
        <v>0.3331</v>
      </c>
      <c r="Y1170" s="3" t="n">
        <v>0.5659</v>
      </c>
      <c r="Z1170" s="14" t="n">
        <f aca="false">Assumptions!$B$3*R1170+Assumptions!$B$4*S1170+IF(AA1170=1,Assumptions!$B$11,Assumptions!$B$5)*X1170+IF(AA1170=1,Assumptions!$B$12,Assumptions!$B$6)*T1170+Assumptions!$B$7*U1170+Assumptions!$B$8*V1170+Assumptions!$B$9*Y1170</f>
        <v>0.394711</v>
      </c>
      <c r="AA1170" s="3" t="n">
        <v>0</v>
      </c>
    </row>
    <row r="1171" customFormat="false" ht="15" hidden="false" customHeight="false" outlineLevel="0" collapsed="false">
      <c r="A1171" s="3" t="s">
        <v>1356</v>
      </c>
      <c r="B1171" s="3" t="n">
        <v>215</v>
      </c>
      <c r="C1171" s="11" t="str">
        <f aca="false">IF(M1171&gt;=Assumptions!$B$17,"S+",IF(M1171&gt;=Assumptions!$B$18,"S",IF(M1171&gt;=Assumptions!$B$19,"A",IF(M1171&gt;=Assumptions!$B$20,"B",IF(M1171&gt;=Assumptions!$B$21,"C",IF(M1171&gt;=Assumptions!$B$22,"D","F"))))))</f>
        <v>F</v>
      </c>
      <c r="D1171" s="3" t="s">
        <v>228</v>
      </c>
      <c r="E1171" s="3" t="n">
        <v>1</v>
      </c>
      <c r="F1171" s="12" t="n">
        <v>0.4048</v>
      </c>
      <c r="G1171" s="12" t="n">
        <v>0.6</v>
      </c>
      <c r="H1171" s="12" t="n">
        <v>0.75</v>
      </c>
      <c r="I1171" s="12" t="n">
        <v>0.5675</v>
      </c>
      <c r="J1171" s="12" t="n">
        <v>0.2155</v>
      </c>
      <c r="K1171" s="12" t="n">
        <v>0.3805</v>
      </c>
      <c r="L1171" s="3" t="n">
        <v>5.58</v>
      </c>
      <c r="M1171" s="12" t="n">
        <f aca="false">Z1171-W1171</f>
        <v>-0.099174</v>
      </c>
      <c r="N1171" s="12" t="n">
        <f aca="false">IFERROR((Z1171-J1171)/L1171,"")</f>
        <v>0.0295745519713262</v>
      </c>
      <c r="O1171" s="3" t="n">
        <v>19</v>
      </c>
      <c r="P1171" s="13" t="b">
        <f aca="false">FALSE()</f>
        <v>0</v>
      </c>
      <c r="Q1171" s="3" t="s">
        <v>166</v>
      </c>
      <c r="R1171" s="12" t="n">
        <v>0.68</v>
      </c>
      <c r="S1171" s="12" t="n">
        <v>0.2359</v>
      </c>
      <c r="T1171" s="3" t="n">
        <v>0.1183</v>
      </c>
      <c r="U1171" s="12" t="n">
        <v>0.3036</v>
      </c>
      <c r="V1171" s="12" t="n">
        <v>0.4579</v>
      </c>
      <c r="W1171" s="12" t="n">
        <v>0.4797</v>
      </c>
      <c r="X1171" s="3" t="n">
        <v>0.1326</v>
      </c>
      <c r="Y1171" s="3" t="n">
        <v>0.522</v>
      </c>
      <c r="Z1171" s="14" t="n">
        <f aca="false">Assumptions!$B$3*R1171+Assumptions!$B$4*S1171+IF(AA1171=1,Assumptions!$B$11,Assumptions!$B$5)*X1171+IF(AA1171=1,Assumptions!$B$12,Assumptions!$B$6)*T1171+Assumptions!$B$7*U1171+Assumptions!$B$8*V1171+Assumptions!$B$9*Y1171</f>
        <v>0.380526</v>
      </c>
      <c r="AA1171" s="3" t="n">
        <v>0</v>
      </c>
    </row>
    <row r="1172" customFormat="false" ht="15" hidden="false" customHeight="false" outlineLevel="0" collapsed="false">
      <c r="A1172" s="3" t="s">
        <v>1357</v>
      </c>
      <c r="B1172" s="3" t="n">
        <v>310</v>
      </c>
      <c r="C1172" s="11" t="str">
        <f aca="false">IF(M1172&gt;=Assumptions!$B$17,"S+",IF(M1172&gt;=Assumptions!$B$18,"S",IF(M1172&gt;=Assumptions!$B$19,"A",IF(M1172&gt;=Assumptions!$B$20,"B",IF(M1172&gt;=Assumptions!$B$21,"C",IF(M1172&gt;=Assumptions!$B$22,"D","F"))))))</f>
        <v>F</v>
      </c>
      <c r="D1172" s="3" t="s">
        <v>218</v>
      </c>
      <c r="E1172" s="3" t="n">
        <v>1</v>
      </c>
      <c r="F1172" s="12" t="n">
        <v>0.6336</v>
      </c>
      <c r="G1172" s="12" t="n">
        <v>0.6</v>
      </c>
      <c r="H1172" s="12" t="n">
        <v>0.75</v>
      </c>
      <c r="I1172" s="12" t="n">
        <v>0.6407</v>
      </c>
      <c r="J1172" s="12" t="n">
        <v>0.269</v>
      </c>
      <c r="K1172" s="12" t="n">
        <v>0.425</v>
      </c>
      <c r="L1172" s="3" t="n">
        <v>5.63</v>
      </c>
      <c r="M1172" s="12" t="n">
        <f aca="false">Z1172-W1172</f>
        <v>-0.0998000000000001</v>
      </c>
      <c r="N1172" s="12" t="n">
        <f aca="false">IFERROR((Z1172-J1172)/L1172,"")</f>
        <v>0.027708703374778</v>
      </c>
      <c r="O1172" s="3" t="n">
        <v>19</v>
      </c>
      <c r="P1172" s="13" t="b">
        <f aca="false">FALSE()</f>
        <v>0</v>
      </c>
      <c r="Q1172" s="3" t="s">
        <v>166</v>
      </c>
      <c r="R1172" s="12" t="n">
        <v>0.7248</v>
      </c>
      <c r="S1172" s="12" t="n">
        <v>0.2108</v>
      </c>
      <c r="T1172" s="3" t="n">
        <v>0.3882</v>
      </c>
      <c r="U1172" s="12" t="n">
        <v>0.2874</v>
      </c>
      <c r="V1172" s="12" t="n">
        <v>0.4614</v>
      </c>
      <c r="W1172" s="12" t="n">
        <v>0.5248</v>
      </c>
      <c r="X1172" s="3" t="n">
        <v>0.1129</v>
      </c>
      <c r="Y1172" s="3" t="n">
        <v>0.6079</v>
      </c>
      <c r="Z1172" s="14" t="n">
        <f aca="false">Assumptions!$B$3*R1172+Assumptions!$B$4*S1172+IF(AA1172=1,Assumptions!$B$11,Assumptions!$B$5)*X1172+IF(AA1172=1,Assumptions!$B$12,Assumptions!$B$6)*T1172+Assumptions!$B$7*U1172+Assumptions!$B$8*V1172+Assumptions!$B$9*Y1172</f>
        <v>0.425</v>
      </c>
      <c r="AA1172" s="3" t="n">
        <v>0</v>
      </c>
    </row>
    <row r="1173" customFormat="false" ht="15" hidden="false" customHeight="false" outlineLevel="0" collapsed="false">
      <c r="A1173" s="3" t="s">
        <v>1358</v>
      </c>
      <c r="B1173" s="3" t="n">
        <v>345</v>
      </c>
      <c r="C1173" s="11" t="str">
        <f aca="false">IF(M1173&gt;=Assumptions!$B$17,"S+",IF(M1173&gt;=Assumptions!$B$18,"S",IF(M1173&gt;=Assumptions!$B$19,"A",IF(M1173&gt;=Assumptions!$B$20,"B",IF(M1173&gt;=Assumptions!$B$21,"C",IF(M1173&gt;=Assumptions!$B$22,"D","F"))))))</f>
        <v>F</v>
      </c>
      <c r="D1173" s="3" t="s">
        <v>228</v>
      </c>
      <c r="E1173" s="3" t="n">
        <v>1</v>
      </c>
      <c r="F1173" s="12" t="n">
        <v>0.6501</v>
      </c>
      <c r="G1173" s="12" t="n">
        <v>0.4</v>
      </c>
      <c r="H1173" s="12" t="n">
        <v>0.75</v>
      </c>
      <c r="I1173" s="12" t="n">
        <v>0.55</v>
      </c>
      <c r="J1173" s="12" t="n">
        <v>0.2091</v>
      </c>
      <c r="K1173" s="12" t="n">
        <v>0.4129</v>
      </c>
      <c r="L1173" s="3" t="n">
        <v>5.29</v>
      </c>
      <c r="M1173" s="12" t="n">
        <f aca="false">Z1173-W1173</f>
        <v>-0.100178</v>
      </c>
      <c r="N1173" s="12" t="n">
        <f aca="false">IFERROR((Z1173-J1173)/L1173,"")</f>
        <v>0.0385296786389414</v>
      </c>
      <c r="O1173" s="3" t="n">
        <v>19</v>
      </c>
      <c r="P1173" s="13" t="b">
        <f aca="false">FALSE()</f>
        <v>0</v>
      </c>
      <c r="Q1173" s="3" t="s">
        <v>166</v>
      </c>
      <c r="R1173" s="12" t="n">
        <v>0.7011</v>
      </c>
      <c r="S1173" s="12" t="n">
        <v>0.4017</v>
      </c>
      <c r="T1173" s="3" t="n">
        <v>0.1469</v>
      </c>
      <c r="U1173" s="12" t="n">
        <v>0.2308</v>
      </c>
      <c r="V1173" s="12" t="n">
        <v>0.4905</v>
      </c>
      <c r="W1173" s="12" t="n">
        <v>0.5131</v>
      </c>
      <c r="X1173" s="3" t="n">
        <v>0.1493</v>
      </c>
      <c r="Y1173" s="3" t="n">
        <v>0.5183</v>
      </c>
      <c r="Z1173" s="14" t="n">
        <f aca="false">Assumptions!$B$3*R1173+Assumptions!$B$4*S1173+IF(AA1173=1,Assumptions!$B$11,Assumptions!$B$5)*X1173+IF(AA1173=1,Assumptions!$B$12,Assumptions!$B$6)*T1173+Assumptions!$B$7*U1173+Assumptions!$B$8*V1173+Assumptions!$B$9*Y1173</f>
        <v>0.412922</v>
      </c>
      <c r="AA1173" s="3" t="n">
        <v>0</v>
      </c>
    </row>
    <row r="1174" customFormat="false" ht="15" hidden="false" customHeight="false" outlineLevel="0" collapsed="false">
      <c r="A1174" s="3" t="s">
        <v>1359</v>
      </c>
      <c r="B1174" s="3" t="n">
        <v>275</v>
      </c>
      <c r="C1174" s="11" t="str">
        <f aca="false">IF(M1174&gt;=Assumptions!$B$17,"S+",IF(M1174&gt;=Assumptions!$B$18,"S",IF(M1174&gt;=Assumptions!$B$19,"A",IF(M1174&gt;=Assumptions!$B$20,"B",IF(M1174&gt;=Assumptions!$B$21,"C",IF(M1174&gt;=Assumptions!$B$22,"D","F"))))))</f>
        <v>F</v>
      </c>
      <c r="D1174" s="3" t="s">
        <v>197</v>
      </c>
      <c r="E1174" s="3" t="n">
        <v>7</v>
      </c>
      <c r="F1174" s="12" t="n">
        <v>0.4399</v>
      </c>
      <c r="G1174" s="12" t="n">
        <v>0.8</v>
      </c>
      <c r="H1174" s="12" t="n">
        <v>0.75</v>
      </c>
      <c r="I1174" s="12" t="n">
        <v>0.6531</v>
      </c>
      <c r="J1174" s="12" t="n">
        <v>0.2617</v>
      </c>
      <c r="K1174" s="12" t="n">
        <v>0.3861</v>
      </c>
      <c r="L1174" s="3" t="n">
        <v>6</v>
      </c>
      <c r="M1174" s="12" t="n">
        <f aca="false">Z1174-W1174</f>
        <v>-0.100427</v>
      </c>
      <c r="N1174" s="12" t="n">
        <f aca="false">IFERROR((Z1174-J1174)/L1174,"")</f>
        <v>0.0207288333333333</v>
      </c>
      <c r="O1174" s="3" t="n">
        <v>13</v>
      </c>
      <c r="P1174" s="13" t="b">
        <f aca="false">FALSE()</f>
        <v>0</v>
      </c>
      <c r="Q1174" s="3" t="s">
        <v>166</v>
      </c>
      <c r="R1174" s="12" t="n">
        <v>0.5933</v>
      </c>
      <c r="S1174" s="12" t="n">
        <v>0.1719</v>
      </c>
      <c r="T1174" s="3" t="n">
        <v>0.0936</v>
      </c>
      <c r="U1174" s="12" t="n">
        <v>0.5385</v>
      </c>
      <c r="V1174" s="12" t="n">
        <v>0.45</v>
      </c>
      <c r="W1174" s="12" t="n">
        <v>0.4865</v>
      </c>
      <c r="X1174" s="3" t="n">
        <v>0.1623</v>
      </c>
      <c r="Y1174" s="3" t="n">
        <v>0.6548</v>
      </c>
      <c r="Z1174" s="14" t="n">
        <f aca="false">Assumptions!$B$3*R1174+Assumptions!$B$4*S1174+IF(AA1174=1,Assumptions!$B$11,Assumptions!$B$5)*X1174+IF(AA1174=1,Assumptions!$B$12,Assumptions!$B$6)*T1174+Assumptions!$B$7*U1174+Assumptions!$B$8*V1174+Assumptions!$B$9*Y1174</f>
        <v>0.386073</v>
      </c>
      <c r="AA1174" s="3" t="n">
        <v>0</v>
      </c>
    </row>
    <row r="1175" customFormat="false" ht="15" hidden="false" customHeight="false" outlineLevel="0" collapsed="false">
      <c r="A1175" s="3" t="s">
        <v>1360</v>
      </c>
      <c r="B1175" s="3" t="n">
        <v>280</v>
      </c>
      <c r="C1175" s="11" t="str">
        <f aca="false">IF(M1175&gt;=Assumptions!$B$17,"S+",IF(M1175&gt;=Assumptions!$B$18,"S",IF(M1175&gt;=Assumptions!$B$19,"A",IF(M1175&gt;=Assumptions!$B$20,"B",IF(M1175&gt;=Assumptions!$B$21,"C",IF(M1175&gt;=Assumptions!$B$22,"D","F"))))))</f>
        <v>F</v>
      </c>
      <c r="D1175" s="3" t="s">
        <v>190</v>
      </c>
      <c r="E1175" s="3" t="n">
        <v>1</v>
      </c>
      <c r="F1175" s="12" t="n">
        <v>0.6216</v>
      </c>
      <c r="G1175" s="12" t="n">
        <v>0.6</v>
      </c>
      <c r="H1175" s="12" t="n">
        <v>0.75</v>
      </c>
      <c r="I1175" s="12" t="n">
        <v>0.6382</v>
      </c>
      <c r="J1175" s="12" t="n">
        <v>0.2563</v>
      </c>
      <c r="K1175" s="12" t="n">
        <v>0.3991</v>
      </c>
      <c r="L1175" s="3" t="n">
        <v>5.66</v>
      </c>
      <c r="M1175" s="12" t="n">
        <f aca="false">Z1175-W1175</f>
        <v>-0.100852</v>
      </c>
      <c r="N1175" s="12" t="n">
        <f aca="false">IFERROR((Z1175-J1175)/L1175,"")</f>
        <v>0.0252204946996467</v>
      </c>
      <c r="O1175" s="3" t="n">
        <v>19</v>
      </c>
      <c r="P1175" s="13" t="b">
        <f aca="false">FALSE()</f>
        <v>0</v>
      </c>
      <c r="Q1175" s="3" t="s">
        <v>166</v>
      </c>
      <c r="R1175" s="12" t="n">
        <v>0.726</v>
      </c>
      <c r="S1175" s="12" t="n">
        <v>0.1378</v>
      </c>
      <c r="T1175" s="3" t="n">
        <v>0.3496</v>
      </c>
      <c r="U1175" s="12" t="n">
        <v>0.3279</v>
      </c>
      <c r="V1175" s="12" t="n">
        <v>0.3872</v>
      </c>
      <c r="W1175" s="12" t="n">
        <v>0.4999</v>
      </c>
      <c r="X1175" s="3" t="n">
        <v>0.0579</v>
      </c>
      <c r="Y1175" s="3" t="n">
        <v>0.6302</v>
      </c>
      <c r="Z1175" s="14" t="n">
        <f aca="false">Assumptions!$B$3*R1175+Assumptions!$B$4*S1175+IF(AA1175=1,Assumptions!$B$11,Assumptions!$B$5)*X1175+IF(AA1175=1,Assumptions!$B$12,Assumptions!$B$6)*T1175+Assumptions!$B$7*U1175+Assumptions!$B$8*V1175+Assumptions!$B$9*Y1175</f>
        <v>0.399048</v>
      </c>
      <c r="AA1175" s="3" t="n">
        <v>0</v>
      </c>
    </row>
    <row r="1176" customFormat="false" ht="15" hidden="false" customHeight="false" outlineLevel="0" collapsed="false">
      <c r="A1176" s="3" t="s">
        <v>1361</v>
      </c>
      <c r="B1176" s="3" t="n">
        <v>295</v>
      </c>
      <c r="C1176" s="11" t="str">
        <f aca="false">IF(M1176&gt;=Assumptions!$B$17,"S+",IF(M1176&gt;=Assumptions!$B$18,"S",IF(M1176&gt;=Assumptions!$B$19,"A",IF(M1176&gt;=Assumptions!$B$20,"B",IF(M1176&gt;=Assumptions!$B$21,"C",IF(M1176&gt;=Assumptions!$B$22,"D","F"))))))</f>
        <v>F</v>
      </c>
      <c r="D1176" s="3" t="s">
        <v>183</v>
      </c>
      <c r="E1176" s="3" t="n">
        <v>1</v>
      </c>
      <c r="F1176" s="12" t="n">
        <v>0.5794</v>
      </c>
      <c r="G1176" s="12" t="n">
        <v>0.64</v>
      </c>
      <c r="H1176" s="12" t="n">
        <v>0.4226</v>
      </c>
      <c r="I1176" s="12" t="n">
        <v>0.5687</v>
      </c>
      <c r="J1176" s="12" t="n">
        <v>0.2289</v>
      </c>
      <c r="K1176" s="12" t="n">
        <v>0.3822</v>
      </c>
      <c r="L1176" s="3" t="n">
        <v>6.58</v>
      </c>
      <c r="M1176" s="12" t="n">
        <f aca="false">Z1176-W1176</f>
        <v>-0.102922</v>
      </c>
      <c r="N1176" s="12" t="n">
        <f aca="false">IFERROR((Z1176-J1176)/L1176,"")</f>
        <v>0.0232945288753799</v>
      </c>
      <c r="O1176" s="3" t="n">
        <v>19</v>
      </c>
      <c r="P1176" s="13" t="b">
        <f aca="false">FALSE()</f>
        <v>0</v>
      </c>
      <c r="Q1176" s="3" t="s">
        <v>166</v>
      </c>
      <c r="R1176" s="12" t="n">
        <v>0.5385</v>
      </c>
      <c r="S1176" s="12" t="n">
        <v>0.4155</v>
      </c>
      <c r="T1176" s="3" t="n">
        <v>0.1221</v>
      </c>
      <c r="U1176" s="12" t="n">
        <v>0.2915</v>
      </c>
      <c r="V1176" s="12" t="n">
        <v>0.4497</v>
      </c>
      <c r="W1176" s="12" t="n">
        <v>0.4851</v>
      </c>
      <c r="X1176" s="3" t="n">
        <v>0.1838</v>
      </c>
      <c r="Y1176" s="3" t="n">
        <v>0.5223</v>
      </c>
      <c r="Z1176" s="14" t="n">
        <f aca="false">Assumptions!$B$3*R1176+Assumptions!$B$4*S1176+IF(AA1176=1,Assumptions!$B$11,Assumptions!$B$5)*X1176+IF(AA1176=1,Assumptions!$B$12,Assumptions!$B$6)*T1176+Assumptions!$B$7*U1176+Assumptions!$B$8*V1176+Assumptions!$B$9*Y1176</f>
        <v>0.382178</v>
      </c>
      <c r="AA1176" s="3" t="n">
        <v>1</v>
      </c>
    </row>
    <row r="1177" customFormat="false" ht="15" hidden="false" customHeight="false" outlineLevel="0" collapsed="false">
      <c r="A1177" s="3" t="s">
        <v>1362</v>
      </c>
      <c r="B1177" s="3" t="n">
        <v>242</v>
      </c>
      <c r="C1177" s="11" t="str">
        <f aca="false">IF(M1177&gt;=Assumptions!$B$17,"S+",IF(M1177&gt;=Assumptions!$B$18,"S",IF(M1177&gt;=Assumptions!$B$19,"A",IF(M1177&gt;=Assumptions!$B$20,"B",IF(M1177&gt;=Assumptions!$B$21,"C",IF(M1177&gt;=Assumptions!$B$22,"D","F"))))))</f>
        <v>F</v>
      </c>
      <c r="D1177" s="3" t="s">
        <v>173</v>
      </c>
      <c r="E1177" s="3" t="n">
        <v>2</v>
      </c>
      <c r="F1177" s="12" t="n">
        <v>0.129</v>
      </c>
      <c r="G1177" s="12" t="n">
        <v>0.3</v>
      </c>
      <c r="H1177" s="12" t="n">
        <v>0.75</v>
      </c>
      <c r="I1177" s="12" t="n">
        <v>0.3592</v>
      </c>
      <c r="J1177" s="12" t="n">
        <v>0.2265</v>
      </c>
      <c r="K1177" s="12" t="n">
        <v>0.3302</v>
      </c>
      <c r="L1177" s="3" t="n">
        <v>5.39</v>
      </c>
      <c r="M1177" s="12" t="n">
        <f aca="false">Z1177-W1177</f>
        <v>-0.103195</v>
      </c>
      <c r="N1177" s="12" t="n">
        <f aca="false">IFERROR((Z1177-J1177)/L1177,"")</f>
        <v>0.0192402597402597</v>
      </c>
      <c r="O1177" s="3" t="n">
        <v>18</v>
      </c>
      <c r="P1177" s="13" t="b">
        <f aca="false">FALSE()</f>
        <v>0</v>
      </c>
      <c r="Q1177" s="3" t="s">
        <v>166</v>
      </c>
      <c r="R1177" s="12" t="n">
        <v>0.5492</v>
      </c>
      <c r="S1177" s="12" t="n">
        <v>0.2652</v>
      </c>
      <c r="T1177" s="3" t="n">
        <v>0.1264</v>
      </c>
      <c r="U1177" s="12" t="n">
        <v>0.1367</v>
      </c>
      <c r="V1177" s="12" t="n">
        <v>0.4857</v>
      </c>
      <c r="W1177" s="12" t="n">
        <v>0.4334</v>
      </c>
      <c r="X1177" s="3" t="n">
        <v>0.173</v>
      </c>
      <c r="Y1177" s="3" t="n">
        <v>0.3396</v>
      </c>
      <c r="Z1177" s="14" t="n">
        <f aca="false">Assumptions!$B$3*R1177+Assumptions!$B$4*S1177+IF(AA1177=1,Assumptions!$B$11,Assumptions!$B$5)*X1177+IF(AA1177=1,Assumptions!$B$12,Assumptions!$B$6)*T1177+Assumptions!$B$7*U1177+Assumptions!$B$8*V1177+Assumptions!$B$9*Y1177</f>
        <v>0.330205</v>
      </c>
      <c r="AA1177" s="3" t="n">
        <v>1</v>
      </c>
    </row>
    <row r="1178" customFormat="false" ht="15" hidden="false" customHeight="false" outlineLevel="0" collapsed="false">
      <c r="A1178" s="3" t="s">
        <v>1363</v>
      </c>
      <c r="B1178" s="3" t="n">
        <v>330</v>
      </c>
      <c r="C1178" s="11" t="str">
        <f aca="false">IF(M1178&gt;=Assumptions!$B$17,"S+",IF(M1178&gt;=Assumptions!$B$18,"S",IF(M1178&gt;=Assumptions!$B$19,"A",IF(M1178&gt;=Assumptions!$B$20,"B",IF(M1178&gt;=Assumptions!$B$21,"C",IF(M1178&gt;=Assumptions!$B$22,"D","F"))))))</f>
        <v>F</v>
      </c>
      <c r="D1178" s="3" t="s">
        <v>253</v>
      </c>
      <c r="E1178" s="3" t="n">
        <v>1</v>
      </c>
      <c r="F1178" s="12" t="n">
        <v>0.7277</v>
      </c>
      <c r="G1178" s="12" t="n">
        <v>0.6</v>
      </c>
      <c r="H1178" s="12" t="n">
        <v>0.75</v>
      </c>
      <c r="I1178" s="12" t="n">
        <v>0.6709</v>
      </c>
      <c r="J1178" s="12" t="n">
        <v>0.3043</v>
      </c>
      <c r="K1178" s="12" t="n">
        <v>0.4249</v>
      </c>
      <c r="L1178" s="3" t="n">
        <v>5.39</v>
      </c>
      <c r="M1178" s="12" t="n">
        <f aca="false">Z1178-W1178</f>
        <v>-0.103574</v>
      </c>
      <c r="N1178" s="12" t="n">
        <f aca="false">IFERROR((Z1178-J1178)/L1178,"")</f>
        <v>0.0223795918367347</v>
      </c>
      <c r="O1178" s="3" t="n">
        <v>19</v>
      </c>
      <c r="P1178" s="13" t="b">
        <f aca="false">FALSE()</f>
        <v>0</v>
      </c>
      <c r="Q1178" s="3" t="s">
        <v>166</v>
      </c>
      <c r="R1178" s="12" t="n">
        <v>0.7318</v>
      </c>
      <c r="S1178" s="12" t="n">
        <v>0.2014</v>
      </c>
      <c r="T1178" s="3" t="n">
        <v>0.385</v>
      </c>
      <c r="U1178" s="12" t="n">
        <v>0.2105</v>
      </c>
      <c r="V1178" s="12" t="n">
        <v>0.4378</v>
      </c>
      <c r="W1178" s="12" t="n">
        <v>0.5285</v>
      </c>
      <c r="X1178" s="3" t="n">
        <v>0.1505</v>
      </c>
      <c r="Y1178" s="3" t="n">
        <v>0.6496</v>
      </c>
      <c r="Z1178" s="14" t="n">
        <f aca="false">Assumptions!$B$3*R1178+Assumptions!$B$4*S1178+IF(AA1178=1,Assumptions!$B$11,Assumptions!$B$5)*X1178+IF(AA1178=1,Assumptions!$B$12,Assumptions!$B$6)*T1178+Assumptions!$B$7*U1178+Assumptions!$B$8*V1178+Assumptions!$B$9*Y1178</f>
        <v>0.424926</v>
      </c>
      <c r="AA1178" s="3" t="n">
        <v>0</v>
      </c>
    </row>
    <row r="1179" customFormat="false" ht="15" hidden="false" customHeight="false" outlineLevel="0" collapsed="false">
      <c r="A1179" s="3" t="s">
        <v>1364</v>
      </c>
      <c r="B1179" s="3" t="n">
        <v>345</v>
      </c>
      <c r="C1179" s="11" t="str">
        <f aca="false">IF(M1179&gt;=Assumptions!$B$17,"S+",IF(M1179&gt;=Assumptions!$B$18,"S",IF(M1179&gt;=Assumptions!$B$19,"A",IF(M1179&gt;=Assumptions!$B$20,"B",IF(M1179&gt;=Assumptions!$B$21,"C",IF(M1179&gt;=Assumptions!$B$22,"D","F"))))))</f>
        <v>F</v>
      </c>
      <c r="D1179" s="3" t="s">
        <v>218</v>
      </c>
      <c r="E1179" s="3" t="n">
        <v>3</v>
      </c>
      <c r="F1179" s="12" t="n">
        <v>0.7479</v>
      </c>
      <c r="G1179" s="12" t="n">
        <v>0.4</v>
      </c>
      <c r="H1179" s="12" t="n">
        <v>0.75</v>
      </c>
      <c r="I1179" s="12" t="n">
        <v>0.5813</v>
      </c>
      <c r="J1179" s="12" t="n">
        <v>0.2764</v>
      </c>
      <c r="K1179" s="12" t="n">
        <v>0.4073</v>
      </c>
      <c r="L1179" s="3" t="n">
        <v>5.94</v>
      </c>
      <c r="M1179" s="12" t="n">
        <f aca="false">Z1179-W1179</f>
        <v>-0.103915</v>
      </c>
      <c r="N1179" s="12" t="n">
        <f aca="false">IFERROR((Z1179-J1179)/L1179,"")</f>
        <v>0.0220345117845118</v>
      </c>
      <c r="O1179" s="3" t="n">
        <v>17</v>
      </c>
      <c r="P1179" s="13" t="b">
        <f aca="false">FALSE()</f>
        <v>0</v>
      </c>
      <c r="Q1179" s="3" t="s">
        <v>166</v>
      </c>
      <c r="R1179" s="12" t="n">
        <v>0.8274</v>
      </c>
      <c r="S1179" s="12" t="n">
        <v>0.2875</v>
      </c>
      <c r="T1179" s="3" t="n">
        <v>0.0574</v>
      </c>
      <c r="U1179" s="12" t="n">
        <v>0.2896</v>
      </c>
      <c r="V1179" s="12" t="n">
        <v>0.292</v>
      </c>
      <c r="W1179" s="12" t="n">
        <v>0.5112</v>
      </c>
      <c r="X1179" s="3" t="n">
        <v>0.1503</v>
      </c>
      <c r="Y1179" s="3" t="n">
        <v>0.5702</v>
      </c>
      <c r="Z1179" s="14" t="n">
        <f aca="false">Assumptions!$B$3*R1179+Assumptions!$B$4*S1179+IF(AA1179=1,Assumptions!$B$11,Assumptions!$B$5)*X1179+IF(AA1179=1,Assumptions!$B$12,Assumptions!$B$6)*T1179+Assumptions!$B$7*U1179+Assumptions!$B$8*V1179+Assumptions!$B$9*Y1179</f>
        <v>0.407285</v>
      </c>
      <c r="AA1179" s="3" t="n">
        <v>0</v>
      </c>
    </row>
    <row r="1180" customFormat="false" ht="15" hidden="false" customHeight="false" outlineLevel="0" collapsed="false">
      <c r="A1180" s="3" t="s">
        <v>1365</v>
      </c>
      <c r="B1180" s="3" t="n">
        <v>330</v>
      </c>
      <c r="C1180" s="11" t="str">
        <f aca="false">IF(M1180&gt;=Assumptions!$B$17,"S+",IF(M1180&gt;=Assumptions!$B$18,"S",IF(M1180&gt;=Assumptions!$B$19,"A",IF(M1180&gt;=Assumptions!$B$20,"B",IF(M1180&gt;=Assumptions!$B$21,"C",IF(M1180&gt;=Assumptions!$B$22,"D","F"))))))</f>
        <v>F</v>
      </c>
      <c r="D1180" s="3" t="s">
        <v>253</v>
      </c>
      <c r="E1180" s="3" t="n">
        <v>1</v>
      </c>
      <c r="F1180" s="12" t="n">
        <v>0.4498</v>
      </c>
      <c r="G1180" s="12" t="n">
        <v>0.6</v>
      </c>
      <c r="H1180" s="12" t="n">
        <v>0.75</v>
      </c>
      <c r="I1180" s="12" t="n">
        <v>0.5819</v>
      </c>
      <c r="J1180" s="12" t="n">
        <v>0.2742</v>
      </c>
      <c r="K1180" s="12" t="n">
        <v>0.4272</v>
      </c>
      <c r="L1180" s="3" t="n">
        <v>5.61</v>
      </c>
      <c r="M1180" s="12" t="n">
        <f aca="false">Z1180-W1180</f>
        <v>-0.104124</v>
      </c>
      <c r="N1180" s="12" t="n">
        <f aca="false">IFERROR((Z1180-J1180)/L1180,"")</f>
        <v>0.027268449197861</v>
      </c>
      <c r="O1180" s="3" t="n">
        <v>19</v>
      </c>
      <c r="P1180" s="13" t="b">
        <f aca="false">FALSE()</f>
        <v>0</v>
      </c>
      <c r="Q1180" s="3" t="s">
        <v>166</v>
      </c>
      <c r="R1180" s="12" t="n">
        <v>0.5906</v>
      </c>
      <c r="S1180" s="12" t="n">
        <v>0.4393</v>
      </c>
      <c r="T1180" s="3" t="n">
        <v>0.2076</v>
      </c>
      <c r="U1180" s="12" t="n">
        <v>0.3644</v>
      </c>
      <c r="V1180" s="12" t="n">
        <v>0.4905</v>
      </c>
      <c r="W1180" s="12" t="n">
        <v>0.5313</v>
      </c>
      <c r="X1180" s="3" t="n">
        <v>0.2318</v>
      </c>
      <c r="Y1180" s="3" t="n">
        <v>0.5533</v>
      </c>
      <c r="Z1180" s="14" t="n">
        <f aca="false">Assumptions!$B$3*R1180+Assumptions!$B$4*S1180+IF(AA1180=1,Assumptions!$B$11,Assumptions!$B$5)*X1180+IF(AA1180=1,Assumptions!$B$12,Assumptions!$B$6)*T1180+Assumptions!$B$7*U1180+Assumptions!$B$8*V1180+Assumptions!$B$9*Y1180</f>
        <v>0.427176</v>
      </c>
      <c r="AA1180" s="3" t="n">
        <v>0</v>
      </c>
    </row>
    <row r="1181" customFormat="false" ht="15" hidden="false" customHeight="false" outlineLevel="0" collapsed="false">
      <c r="A1181" s="3" t="s">
        <v>1366</v>
      </c>
      <c r="B1181" s="3" t="n">
        <v>275</v>
      </c>
      <c r="C1181" s="11" t="str">
        <f aca="false">IF(M1181&gt;=Assumptions!$B$17,"S+",IF(M1181&gt;=Assumptions!$B$18,"S",IF(M1181&gt;=Assumptions!$B$19,"A",IF(M1181&gt;=Assumptions!$B$20,"B",IF(M1181&gt;=Assumptions!$B$21,"C",IF(M1181&gt;=Assumptions!$B$22,"D","F"))))))</f>
        <v>F</v>
      </c>
      <c r="D1181" s="3" t="s">
        <v>218</v>
      </c>
      <c r="E1181" s="3" t="n">
        <v>7</v>
      </c>
      <c r="F1181" s="12" t="n">
        <v>0.6084</v>
      </c>
      <c r="G1181" s="12" t="n">
        <v>0.6</v>
      </c>
      <c r="H1181" s="12" t="n">
        <v>0.75</v>
      </c>
      <c r="I1181" s="12" t="n">
        <v>0.6327</v>
      </c>
      <c r="J1181" s="12" t="n">
        <v>0.2889</v>
      </c>
      <c r="K1181" s="12" t="n">
        <v>0.4065</v>
      </c>
      <c r="L1181" s="3" t="n">
        <v>6</v>
      </c>
      <c r="M1181" s="12" t="n">
        <f aca="false">Z1181-W1181</f>
        <v>-0.104175</v>
      </c>
      <c r="N1181" s="12" t="n">
        <f aca="false">IFERROR((Z1181-J1181)/L1181,"")</f>
        <v>0.0196041666666667</v>
      </c>
      <c r="O1181" s="3" t="n">
        <v>13</v>
      </c>
      <c r="P1181" s="13" t="b">
        <f aca="false">FALSE()</f>
        <v>0</v>
      </c>
      <c r="Q1181" s="3" t="s">
        <v>166</v>
      </c>
      <c r="R1181" s="12" t="n">
        <v>0.702</v>
      </c>
      <c r="S1181" s="12" t="n">
        <v>0.0861</v>
      </c>
      <c r="T1181" s="3" t="n">
        <v>0.1854</v>
      </c>
      <c r="U1181" s="12" t="n">
        <v>0.5385</v>
      </c>
      <c r="V1181" s="12" t="n">
        <v>0.5126</v>
      </c>
      <c r="W1181" s="12" t="n">
        <v>0.5107</v>
      </c>
      <c r="X1181" s="3" t="n">
        <v>0.0946</v>
      </c>
      <c r="Y1181" s="3" t="n">
        <v>0.6347</v>
      </c>
      <c r="Z1181" s="14" t="n">
        <f aca="false">Assumptions!$B$3*R1181+Assumptions!$B$4*S1181+IF(AA1181=1,Assumptions!$B$11,Assumptions!$B$5)*X1181+IF(AA1181=1,Assumptions!$B$12,Assumptions!$B$6)*T1181+Assumptions!$B$7*U1181+Assumptions!$B$8*V1181+Assumptions!$B$9*Y1181</f>
        <v>0.406525</v>
      </c>
      <c r="AA1181" s="3" t="n">
        <v>0</v>
      </c>
    </row>
    <row r="1182" customFormat="false" ht="15" hidden="false" customHeight="false" outlineLevel="0" collapsed="false">
      <c r="A1182" s="3" t="s">
        <v>1367</v>
      </c>
      <c r="B1182" s="3" t="n">
        <v>320</v>
      </c>
      <c r="C1182" s="11" t="str">
        <f aca="false">IF(M1182&gt;=Assumptions!$B$17,"S+",IF(M1182&gt;=Assumptions!$B$18,"S",IF(M1182&gt;=Assumptions!$B$19,"A",IF(M1182&gt;=Assumptions!$B$20,"B",IF(M1182&gt;=Assumptions!$B$21,"C",IF(M1182&gt;=Assumptions!$B$22,"D","F"))))))</f>
        <v>F</v>
      </c>
      <c r="D1182" s="3" t="s">
        <v>218</v>
      </c>
      <c r="E1182" s="3" t="n">
        <v>1</v>
      </c>
      <c r="F1182" s="12" t="n">
        <v>0.6602</v>
      </c>
      <c r="G1182" s="12" t="n">
        <v>0.4</v>
      </c>
      <c r="H1182" s="12" t="n">
        <v>0.75</v>
      </c>
      <c r="I1182" s="12" t="n">
        <v>0.5533</v>
      </c>
      <c r="J1182" s="12" t="n">
        <v>0.2631</v>
      </c>
      <c r="K1182" s="12" t="n">
        <v>0.4021</v>
      </c>
      <c r="L1182" s="3" t="n">
        <v>5.37</v>
      </c>
      <c r="M1182" s="12" t="n">
        <f aca="false">Z1182-W1182</f>
        <v>-0.106449</v>
      </c>
      <c r="N1182" s="12" t="n">
        <f aca="false">IFERROR((Z1182-J1182)/L1182,"")</f>
        <v>0.0258940409683427</v>
      </c>
      <c r="O1182" s="3" t="n">
        <v>19</v>
      </c>
      <c r="P1182" s="13" t="b">
        <f aca="false">FALSE()</f>
        <v>0</v>
      </c>
      <c r="Q1182" s="3" t="s">
        <v>166</v>
      </c>
      <c r="R1182" s="12" t="n">
        <v>0.7328</v>
      </c>
      <c r="S1182" s="12" t="n">
        <v>0.2475</v>
      </c>
      <c r="T1182" s="3" t="n">
        <v>0.2669</v>
      </c>
      <c r="U1182" s="12" t="n">
        <v>0.2389</v>
      </c>
      <c r="V1182" s="12" t="n">
        <v>0.4102</v>
      </c>
      <c r="W1182" s="12" t="n">
        <v>0.5086</v>
      </c>
      <c r="X1182" s="3" t="n">
        <v>0.1548</v>
      </c>
      <c r="Y1182" s="3" t="n">
        <v>0.4869</v>
      </c>
      <c r="Z1182" s="14" t="n">
        <f aca="false">Assumptions!$B$3*R1182+Assumptions!$B$4*S1182+IF(AA1182=1,Assumptions!$B$11,Assumptions!$B$5)*X1182+IF(AA1182=1,Assumptions!$B$12,Assumptions!$B$6)*T1182+Assumptions!$B$7*U1182+Assumptions!$B$8*V1182+Assumptions!$B$9*Y1182</f>
        <v>0.402151</v>
      </c>
      <c r="AA1182" s="3" t="n">
        <v>0</v>
      </c>
    </row>
    <row r="1183" customFormat="false" ht="15" hidden="false" customHeight="false" outlineLevel="0" collapsed="false">
      <c r="A1183" s="3" t="s">
        <v>1368</v>
      </c>
      <c r="B1183" s="3" t="n">
        <v>300</v>
      </c>
      <c r="C1183" s="11" t="str">
        <f aca="false">IF(M1183&gt;=Assumptions!$B$17,"S+",IF(M1183&gt;=Assumptions!$B$18,"S",IF(M1183&gt;=Assumptions!$B$19,"A",IF(M1183&gt;=Assumptions!$B$20,"B",IF(M1183&gt;=Assumptions!$B$21,"C",IF(M1183&gt;=Assumptions!$B$22,"D","F"))))))</f>
        <v>F</v>
      </c>
      <c r="D1183" s="3" t="s">
        <v>218</v>
      </c>
      <c r="E1183" s="3" t="n">
        <v>1</v>
      </c>
      <c r="F1183" s="12" t="n">
        <v>0.544</v>
      </c>
      <c r="G1183" s="12" t="n">
        <v>0.8</v>
      </c>
      <c r="H1183" s="12" t="n">
        <v>0.75</v>
      </c>
      <c r="I1183" s="12" t="n">
        <v>0.7081</v>
      </c>
      <c r="J1183" s="12" t="n">
        <v>0.249</v>
      </c>
      <c r="K1183" s="12" t="n">
        <v>0.402</v>
      </c>
      <c r="L1183" s="3" t="n">
        <v>5.58</v>
      </c>
      <c r="M1183" s="12" t="n">
        <f aca="false">Z1183-W1183</f>
        <v>-0.106562</v>
      </c>
      <c r="N1183" s="12" t="n">
        <f aca="false">IFERROR((Z1183-J1183)/L1183,"")</f>
        <v>0.027426164874552</v>
      </c>
      <c r="O1183" s="3" t="n">
        <v>19</v>
      </c>
      <c r="P1183" s="13" t="b">
        <f aca="false">FALSE()</f>
        <v>0</v>
      </c>
      <c r="Q1183" s="3" t="s">
        <v>166</v>
      </c>
      <c r="R1183" s="12" t="n">
        <v>0.748</v>
      </c>
      <c r="S1183" s="12" t="n">
        <v>0.1721</v>
      </c>
      <c r="T1183" s="3" t="n">
        <v>0.1778</v>
      </c>
      <c r="U1183" s="12" t="n">
        <v>0.3401</v>
      </c>
      <c r="V1183" s="12" t="n">
        <v>0.3047</v>
      </c>
      <c r="W1183" s="12" t="n">
        <v>0.5086</v>
      </c>
      <c r="X1183" s="3" t="n">
        <v>0.152</v>
      </c>
      <c r="Y1183" s="3" t="n">
        <v>0.6856</v>
      </c>
      <c r="Z1183" s="14" t="n">
        <f aca="false">Assumptions!$B$3*R1183+Assumptions!$B$4*S1183+IF(AA1183=1,Assumptions!$B$11,Assumptions!$B$5)*X1183+IF(AA1183=1,Assumptions!$B$12,Assumptions!$B$6)*T1183+Assumptions!$B$7*U1183+Assumptions!$B$8*V1183+Assumptions!$B$9*Y1183</f>
        <v>0.402038</v>
      </c>
      <c r="AA1183" s="3" t="n">
        <v>0</v>
      </c>
    </row>
    <row r="1184" customFormat="false" ht="15" hidden="false" customHeight="false" outlineLevel="0" collapsed="false">
      <c r="A1184" s="3" t="s">
        <v>1369</v>
      </c>
      <c r="B1184" s="3" t="n">
        <v>250</v>
      </c>
      <c r="C1184" s="11" t="str">
        <f aca="false">IF(M1184&gt;=Assumptions!$B$17,"S+",IF(M1184&gt;=Assumptions!$B$18,"S",IF(M1184&gt;=Assumptions!$B$19,"A",IF(M1184&gt;=Assumptions!$B$20,"B",IF(M1184&gt;=Assumptions!$B$21,"C",IF(M1184&gt;=Assumptions!$B$22,"D","F"))))))</f>
        <v>F</v>
      </c>
      <c r="D1184" s="3" t="s">
        <v>253</v>
      </c>
      <c r="E1184" s="3" t="n">
        <v>3</v>
      </c>
      <c r="F1184" s="12" t="n">
        <v>0.7088</v>
      </c>
      <c r="G1184" s="12" t="n">
        <v>0.4</v>
      </c>
      <c r="H1184" s="12" t="n">
        <v>0.75</v>
      </c>
      <c r="I1184" s="12" t="n">
        <v>0.5688</v>
      </c>
      <c r="J1184" s="12" t="n">
        <v>0.2515</v>
      </c>
      <c r="K1184" s="12" t="n">
        <v>0.4192</v>
      </c>
      <c r="L1184" s="3" t="n">
        <v>5.62</v>
      </c>
      <c r="M1184" s="12" t="n">
        <f aca="false">Z1184-W1184</f>
        <v>-0.107184</v>
      </c>
      <c r="N1184" s="12" t="n">
        <f aca="false">IFERROR((Z1184-J1184)/L1184,"")</f>
        <v>0.0298427046263345</v>
      </c>
      <c r="O1184" s="3" t="n">
        <v>17</v>
      </c>
      <c r="P1184" s="13" t="b">
        <f aca="false">FALSE()</f>
        <v>0</v>
      </c>
      <c r="Q1184" s="3" t="s">
        <v>166</v>
      </c>
      <c r="R1184" s="12" t="n">
        <v>0.6659</v>
      </c>
      <c r="S1184" s="12" t="n">
        <v>0.2284</v>
      </c>
      <c r="T1184" s="3" t="n">
        <v>0.0588</v>
      </c>
      <c r="U1184" s="12" t="n">
        <v>0.3484</v>
      </c>
      <c r="V1184" s="12" t="n">
        <v>0.4718</v>
      </c>
      <c r="W1184" s="12" t="n">
        <v>0.5264</v>
      </c>
      <c r="X1184" s="3" t="n">
        <v>0.3773</v>
      </c>
      <c r="Y1184" s="3" t="n">
        <v>0.5766</v>
      </c>
      <c r="Z1184" s="14" t="n">
        <f aca="false">Assumptions!$B$3*R1184+Assumptions!$B$4*S1184+IF(AA1184=1,Assumptions!$B$11,Assumptions!$B$5)*X1184+IF(AA1184=1,Assumptions!$B$12,Assumptions!$B$6)*T1184+Assumptions!$B$7*U1184+Assumptions!$B$8*V1184+Assumptions!$B$9*Y1184</f>
        <v>0.419216</v>
      </c>
      <c r="AA1184" s="3" t="n">
        <v>0</v>
      </c>
    </row>
    <row r="1185" customFormat="false" ht="15" hidden="false" customHeight="false" outlineLevel="0" collapsed="false">
      <c r="A1185" s="3" t="s">
        <v>1370</v>
      </c>
      <c r="B1185" s="3" t="n">
        <v>308</v>
      </c>
      <c r="C1185" s="11" t="str">
        <f aca="false">IF(M1185&gt;=Assumptions!$B$17,"S+",IF(M1185&gt;=Assumptions!$B$18,"S",IF(M1185&gt;=Assumptions!$B$19,"A",IF(M1185&gt;=Assumptions!$B$20,"B",IF(M1185&gt;=Assumptions!$B$21,"C",IF(M1185&gt;=Assumptions!$B$22,"D","F"))))))</f>
        <v>F</v>
      </c>
      <c r="D1185" s="3" t="s">
        <v>253</v>
      </c>
      <c r="E1185" s="3" t="n">
        <v>1</v>
      </c>
      <c r="F1185" s="12" t="n">
        <v>0.5532</v>
      </c>
      <c r="G1185" s="12" t="n">
        <v>0.6</v>
      </c>
      <c r="H1185" s="12" t="n">
        <v>0.75</v>
      </c>
      <c r="I1185" s="12" t="n">
        <v>0.615</v>
      </c>
      <c r="J1185" s="12" t="n">
        <v>0.2872</v>
      </c>
      <c r="K1185" s="12" t="n">
        <v>0.4282</v>
      </c>
      <c r="L1185" s="3" t="n">
        <v>5.58</v>
      </c>
      <c r="M1185" s="12" t="n">
        <f aca="false">Z1185-W1185</f>
        <v>-0.10748</v>
      </c>
      <c r="N1185" s="12" t="n">
        <f aca="false">IFERROR((Z1185-J1185)/L1185,"")</f>
        <v>0.0252724014336917</v>
      </c>
      <c r="O1185" s="3" t="n">
        <v>19</v>
      </c>
      <c r="P1185" s="13" t="b">
        <f aca="false">FALSE()</f>
        <v>0</v>
      </c>
      <c r="Q1185" s="3" t="s">
        <v>166</v>
      </c>
      <c r="R1185" s="12" t="n">
        <v>0.6922</v>
      </c>
      <c r="S1185" s="12" t="n">
        <v>0.3147</v>
      </c>
      <c r="T1185" s="3" t="n">
        <v>0.2206</v>
      </c>
      <c r="U1185" s="12" t="n">
        <v>0.3684</v>
      </c>
      <c r="V1185" s="12" t="n">
        <v>0.4905</v>
      </c>
      <c r="W1185" s="12" t="n">
        <v>0.5357</v>
      </c>
      <c r="X1185" s="3" t="n">
        <v>0.1761</v>
      </c>
      <c r="Y1185" s="3" t="n">
        <v>0.556</v>
      </c>
      <c r="Z1185" s="14" t="n">
        <f aca="false">Assumptions!$B$3*R1185+Assumptions!$B$4*S1185+IF(AA1185=1,Assumptions!$B$11,Assumptions!$B$5)*X1185+IF(AA1185=1,Assumptions!$B$12,Assumptions!$B$6)*T1185+Assumptions!$B$7*U1185+Assumptions!$B$8*V1185+Assumptions!$B$9*Y1185</f>
        <v>0.42822</v>
      </c>
      <c r="AA1185" s="3" t="n">
        <v>0</v>
      </c>
    </row>
    <row r="1186" customFormat="false" ht="15" hidden="false" customHeight="false" outlineLevel="0" collapsed="false">
      <c r="A1186" s="3" t="s">
        <v>1371</v>
      </c>
      <c r="B1186" s="3" t="n">
        <v>250</v>
      </c>
      <c r="C1186" s="11" t="str">
        <f aca="false">IF(M1186&gt;=Assumptions!$B$17,"S+",IF(M1186&gt;=Assumptions!$B$18,"S",IF(M1186&gt;=Assumptions!$B$19,"A",IF(M1186&gt;=Assumptions!$B$20,"B",IF(M1186&gt;=Assumptions!$B$21,"C",IF(M1186&gt;=Assumptions!$B$22,"D","F"))))))</f>
        <v>F</v>
      </c>
      <c r="D1186" s="3" t="s">
        <v>218</v>
      </c>
      <c r="E1186" s="3" t="n">
        <v>2</v>
      </c>
      <c r="F1186" s="12" t="n">
        <v>0.5641</v>
      </c>
      <c r="G1186" s="12" t="n">
        <v>0.6</v>
      </c>
      <c r="H1186" s="12" t="n">
        <v>0.75</v>
      </c>
      <c r="I1186" s="12" t="n">
        <v>0.6185</v>
      </c>
      <c r="J1186" s="12" t="n">
        <v>0.28</v>
      </c>
      <c r="K1186" s="12" t="n">
        <v>0.4023</v>
      </c>
      <c r="L1186" s="3" t="n">
        <v>5.75</v>
      </c>
      <c r="M1186" s="12" t="n">
        <f aca="false">Z1186-W1186</f>
        <v>-0.107827</v>
      </c>
      <c r="N1186" s="12" t="n">
        <f aca="false">IFERROR((Z1186-J1186)/L1186,"")</f>
        <v>0.0212648695652174</v>
      </c>
      <c r="O1186" s="3" t="n">
        <v>18</v>
      </c>
      <c r="P1186" s="13" t="b">
        <f aca="false">FALSE()</f>
        <v>0</v>
      </c>
      <c r="Q1186" s="3" t="s">
        <v>166</v>
      </c>
      <c r="R1186" s="12" t="n">
        <v>0.6734</v>
      </c>
      <c r="S1186" s="12" t="n">
        <v>0.1953</v>
      </c>
      <c r="T1186" s="3" t="n">
        <v>0.1122</v>
      </c>
      <c r="U1186" s="12" t="n">
        <v>0.5171</v>
      </c>
      <c r="V1186" s="12" t="n">
        <v>0.4764</v>
      </c>
      <c r="W1186" s="12" t="n">
        <v>0.5101</v>
      </c>
      <c r="X1186" s="3" t="n">
        <v>0.1366</v>
      </c>
      <c r="Y1186" s="3" t="n">
        <v>0.5846</v>
      </c>
      <c r="Z1186" s="14" t="n">
        <f aca="false">Assumptions!$B$3*R1186+Assumptions!$B$4*S1186+IF(AA1186=1,Assumptions!$B$11,Assumptions!$B$5)*X1186+IF(AA1186=1,Assumptions!$B$12,Assumptions!$B$6)*T1186+Assumptions!$B$7*U1186+Assumptions!$B$8*V1186+Assumptions!$B$9*Y1186</f>
        <v>0.402273</v>
      </c>
      <c r="AA1186" s="3" t="n">
        <v>0</v>
      </c>
    </row>
    <row r="1187" customFormat="false" ht="15" hidden="false" customHeight="false" outlineLevel="0" collapsed="false">
      <c r="A1187" s="3" t="s">
        <v>1372</v>
      </c>
      <c r="B1187" s="3" t="n">
        <v>190</v>
      </c>
      <c r="C1187" s="11" t="str">
        <f aca="false">IF(M1187&gt;=Assumptions!$B$17,"S+",IF(M1187&gt;=Assumptions!$B$18,"S",IF(M1187&gt;=Assumptions!$B$19,"A",IF(M1187&gt;=Assumptions!$B$20,"B",IF(M1187&gt;=Assumptions!$B$21,"C",IF(M1187&gt;=Assumptions!$B$22,"D","F"))))))</f>
        <v>F</v>
      </c>
      <c r="D1187" s="3" t="s">
        <v>253</v>
      </c>
      <c r="E1187" s="3" t="n">
        <v>1</v>
      </c>
      <c r="F1187" s="12" t="n">
        <v>0.0484</v>
      </c>
      <c r="G1187" s="12" t="n">
        <v>1</v>
      </c>
      <c r="H1187" s="12" t="n">
        <v>0.75</v>
      </c>
      <c r="I1187" s="12" t="n">
        <v>0.6455</v>
      </c>
      <c r="J1187" s="12" t="n">
        <v>0.1594</v>
      </c>
      <c r="K1187" s="12" t="n">
        <v>0.4258</v>
      </c>
      <c r="L1187" s="3" t="n">
        <v>6.24</v>
      </c>
      <c r="M1187" s="12" t="n">
        <f aca="false">Z1187-W1187</f>
        <v>-0.108681</v>
      </c>
      <c r="N1187" s="12" t="n">
        <f aca="false">IFERROR((Z1187-J1187)/L1187,"")</f>
        <v>0.0426953525641026</v>
      </c>
      <c r="O1187" s="3" t="n">
        <v>19</v>
      </c>
      <c r="P1187" s="13" t="b">
        <f aca="false">FALSE()</f>
        <v>0</v>
      </c>
      <c r="Q1187" s="3" t="s">
        <v>166</v>
      </c>
      <c r="R1187" s="12" t="n">
        <v>0.7206</v>
      </c>
      <c r="S1187" s="12" t="n">
        <v>0.2223</v>
      </c>
      <c r="T1187" s="3" t="n">
        <v>0.1183</v>
      </c>
      <c r="U1187" s="12" t="n">
        <v>0.3846</v>
      </c>
      <c r="V1187" s="12" t="n">
        <v>0.5188</v>
      </c>
      <c r="W1187" s="12" t="n">
        <v>0.5345</v>
      </c>
      <c r="X1187" s="3" t="n">
        <v>0.2309</v>
      </c>
      <c r="Y1187" s="3" t="n">
        <v>0.5845</v>
      </c>
      <c r="Z1187" s="14" t="n">
        <f aca="false">Assumptions!$B$3*R1187+Assumptions!$B$4*S1187+IF(AA1187=1,Assumptions!$B$11,Assumptions!$B$5)*X1187+IF(AA1187=1,Assumptions!$B$12,Assumptions!$B$6)*T1187+Assumptions!$B$7*U1187+Assumptions!$B$8*V1187+Assumptions!$B$9*Y1187</f>
        <v>0.425819</v>
      </c>
      <c r="AA1187" s="3" t="n">
        <v>0</v>
      </c>
    </row>
    <row r="1188" customFormat="false" ht="15" hidden="false" customHeight="false" outlineLevel="0" collapsed="false">
      <c r="A1188" s="3" t="s">
        <v>1373</v>
      </c>
      <c r="B1188" s="3" t="n">
        <v>285</v>
      </c>
      <c r="C1188" s="11" t="str">
        <f aca="false">IF(M1188&gt;=Assumptions!$B$17,"S+",IF(M1188&gt;=Assumptions!$B$18,"S",IF(M1188&gt;=Assumptions!$B$19,"A",IF(M1188&gt;=Assumptions!$B$20,"B",IF(M1188&gt;=Assumptions!$B$21,"C",IF(M1188&gt;=Assumptions!$B$22,"D","F"))))))</f>
        <v>F</v>
      </c>
      <c r="D1188" s="3" t="s">
        <v>253</v>
      </c>
      <c r="E1188" s="3" t="n">
        <v>4</v>
      </c>
      <c r="F1188" s="12" t="n">
        <v>0.6414</v>
      </c>
      <c r="G1188" s="12" t="n">
        <v>0.4</v>
      </c>
      <c r="H1188" s="12" t="n">
        <v>0.75</v>
      </c>
      <c r="I1188" s="12" t="n">
        <v>0.5473</v>
      </c>
      <c r="J1188" s="12" t="n">
        <v>0.2046</v>
      </c>
      <c r="K1188" s="12" t="n">
        <v>0.4216</v>
      </c>
      <c r="L1188" s="3" t="n">
        <v>5.84</v>
      </c>
      <c r="M1188" s="12" t="n">
        <f aca="false">Z1188-W1188</f>
        <v>-0.108812</v>
      </c>
      <c r="N1188" s="12" t="n">
        <f aca="false">IFERROR((Z1188-J1188)/L1188,"")</f>
        <v>0.0371554794520548</v>
      </c>
      <c r="O1188" s="3" t="n">
        <v>16</v>
      </c>
      <c r="P1188" s="13" t="b">
        <f aca="false">FALSE()</f>
        <v>0</v>
      </c>
      <c r="Q1188" s="3" t="s">
        <v>166</v>
      </c>
      <c r="R1188" s="12" t="n">
        <v>0.6281</v>
      </c>
      <c r="S1188" s="12" t="n">
        <v>0.2345</v>
      </c>
      <c r="T1188" s="3" t="n">
        <v>0.138</v>
      </c>
      <c r="U1188" s="12" t="n">
        <v>0.4086</v>
      </c>
      <c r="V1188" s="12" t="n">
        <v>0.4651</v>
      </c>
      <c r="W1188" s="12" t="n">
        <v>0.5304</v>
      </c>
      <c r="X1188" s="3" t="n">
        <v>0.3701</v>
      </c>
      <c r="Y1188" s="3" t="n">
        <v>0.5531</v>
      </c>
      <c r="Z1188" s="14" t="n">
        <f aca="false">Assumptions!$B$3*R1188+Assumptions!$B$4*S1188+IF(AA1188=1,Assumptions!$B$11,Assumptions!$B$5)*X1188+IF(AA1188=1,Assumptions!$B$12,Assumptions!$B$6)*T1188+Assumptions!$B$7*U1188+Assumptions!$B$8*V1188+Assumptions!$B$9*Y1188</f>
        <v>0.421588</v>
      </c>
      <c r="AA1188" s="3" t="n">
        <v>0</v>
      </c>
    </row>
    <row r="1189" customFormat="false" ht="15" hidden="false" customHeight="false" outlineLevel="0" collapsed="false">
      <c r="A1189" s="3" t="s">
        <v>1374</v>
      </c>
      <c r="B1189" s="3" t="n">
        <v>254</v>
      </c>
      <c r="C1189" s="11" t="str">
        <f aca="false">IF(M1189&gt;=Assumptions!$B$17,"S+",IF(M1189&gt;=Assumptions!$B$18,"S",IF(M1189&gt;=Assumptions!$B$19,"A",IF(M1189&gt;=Assumptions!$B$20,"B",IF(M1189&gt;=Assumptions!$B$21,"C",IF(M1189&gt;=Assumptions!$B$22,"D","F"))))))</f>
        <v>F</v>
      </c>
      <c r="D1189" s="3" t="s">
        <v>183</v>
      </c>
      <c r="E1189" s="3" t="n">
        <v>1</v>
      </c>
      <c r="F1189" s="12" t="n">
        <v>0.4876</v>
      </c>
      <c r="G1189" s="12" t="n">
        <v>0.64</v>
      </c>
      <c r="H1189" s="12" t="n">
        <v>0.4762</v>
      </c>
      <c r="I1189" s="12" t="n">
        <v>0.5564</v>
      </c>
      <c r="J1189" s="12" t="n">
        <v>0.2416</v>
      </c>
      <c r="K1189" s="12" t="n">
        <v>0.3866</v>
      </c>
      <c r="L1189" s="3" t="n">
        <v>6.68</v>
      </c>
      <c r="M1189" s="12" t="n">
        <f aca="false">Z1189-W1189</f>
        <v>-0.109301</v>
      </c>
      <c r="N1189" s="12" t="n">
        <f aca="false">IFERROR((Z1189-J1189)/L1189,"")</f>
        <v>0.0217064371257485</v>
      </c>
      <c r="O1189" s="3" t="n">
        <v>19</v>
      </c>
      <c r="P1189" s="13" t="b">
        <f aca="false">FALSE()</f>
        <v>0</v>
      </c>
      <c r="Q1189" s="3" t="s">
        <v>166</v>
      </c>
      <c r="R1189" s="12" t="n">
        <v>0.5055</v>
      </c>
      <c r="S1189" s="12" t="n">
        <v>0.3738</v>
      </c>
      <c r="T1189" s="3" t="n">
        <v>0.137</v>
      </c>
      <c r="U1189" s="12" t="n">
        <v>0.247</v>
      </c>
      <c r="V1189" s="12" t="n">
        <v>0.4579</v>
      </c>
      <c r="W1189" s="12" t="n">
        <v>0.4959</v>
      </c>
      <c r="X1189" s="3" t="n">
        <v>0.2805</v>
      </c>
      <c r="Y1189" s="3" t="n">
        <v>0.5123</v>
      </c>
      <c r="Z1189" s="14" t="n">
        <f aca="false">Assumptions!$B$3*R1189+Assumptions!$B$4*S1189+IF(AA1189=1,Assumptions!$B$11,Assumptions!$B$5)*X1189+IF(AA1189=1,Assumptions!$B$12,Assumptions!$B$6)*T1189+Assumptions!$B$7*U1189+Assumptions!$B$8*V1189+Assumptions!$B$9*Y1189</f>
        <v>0.386599</v>
      </c>
      <c r="AA1189" s="3" t="n">
        <v>1</v>
      </c>
    </row>
    <row r="1190" customFormat="false" ht="15" hidden="false" customHeight="false" outlineLevel="0" collapsed="false">
      <c r="A1190" s="3" t="s">
        <v>1375</v>
      </c>
      <c r="B1190" s="3" t="n">
        <v>270</v>
      </c>
      <c r="C1190" s="11" t="str">
        <f aca="false">IF(M1190&gt;=Assumptions!$B$17,"S+",IF(M1190&gt;=Assumptions!$B$18,"S",IF(M1190&gt;=Assumptions!$B$19,"A",IF(M1190&gt;=Assumptions!$B$20,"B",IF(M1190&gt;=Assumptions!$B$21,"C",IF(M1190&gt;=Assumptions!$B$22,"D","F"))))))</f>
        <v>F</v>
      </c>
      <c r="D1190" s="3" t="s">
        <v>180</v>
      </c>
      <c r="E1190" s="3" t="n">
        <v>7</v>
      </c>
      <c r="F1190" s="12" t="n">
        <v>0.5281</v>
      </c>
      <c r="G1190" s="12" t="n">
        <v>0.45</v>
      </c>
      <c r="H1190" s="12" t="n">
        <v>0.5298</v>
      </c>
      <c r="I1190" s="12" t="n">
        <v>0.4816</v>
      </c>
      <c r="J1190" s="12" t="n">
        <v>0.2425</v>
      </c>
      <c r="K1190" s="12" t="n">
        <v>0.3869</v>
      </c>
      <c r="L1190" s="3" t="n">
        <v>6</v>
      </c>
      <c r="M1190" s="12" t="n">
        <f aca="false">Z1190-W1190</f>
        <v>-0.111561</v>
      </c>
      <c r="N1190" s="12" t="n">
        <f aca="false">IFERROR((Z1190-J1190)/L1190,"")</f>
        <v>0.0240731666666667</v>
      </c>
      <c r="O1190" s="3" t="n">
        <v>13</v>
      </c>
      <c r="P1190" s="13" t="b">
        <f aca="false">FALSE()</f>
        <v>0</v>
      </c>
      <c r="Q1190" s="3" t="s">
        <v>166</v>
      </c>
      <c r="R1190" s="12" t="n">
        <v>0.4401</v>
      </c>
      <c r="S1190" s="12" t="n">
        <v>0.3073</v>
      </c>
      <c r="T1190" s="3" t="n">
        <v>0.0554</v>
      </c>
      <c r="U1190" s="12" t="n">
        <v>0.3787</v>
      </c>
      <c r="V1190" s="12" t="n">
        <v>0.5366</v>
      </c>
      <c r="W1190" s="12" t="n">
        <v>0.4985</v>
      </c>
      <c r="X1190" s="3" t="n">
        <v>0.3289</v>
      </c>
      <c r="Y1190" s="3" t="n">
        <v>0.4837</v>
      </c>
      <c r="Z1190" s="14" t="n">
        <f aca="false">Assumptions!$B$3*R1190+Assumptions!$B$4*S1190+IF(AA1190=1,Assumptions!$B$11,Assumptions!$B$5)*X1190+IF(AA1190=1,Assumptions!$B$12,Assumptions!$B$6)*T1190+Assumptions!$B$7*U1190+Assumptions!$B$8*V1190+Assumptions!$B$9*Y1190</f>
        <v>0.386939</v>
      </c>
      <c r="AA1190" s="3" t="n">
        <v>1</v>
      </c>
    </row>
    <row r="1191" customFormat="false" ht="15" hidden="false" customHeight="false" outlineLevel="0" collapsed="false">
      <c r="A1191" s="3" t="s">
        <v>1376</v>
      </c>
      <c r="B1191" s="3" t="n">
        <v>306</v>
      </c>
      <c r="C1191" s="11" t="str">
        <f aca="false">IF(M1191&gt;=Assumptions!$B$17,"S+",IF(M1191&gt;=Assumptions!$B$18,"S",IF(M1191&gt;=Assumptions!$B$19,"A",IF(M1191&gt;=Assumptions!$B$20,"B",IF(M1191&gt;=Assumptions!$B$21,"C",IF(M1191&gt;=Assumptions!$B$22,"D","F"))))))</f>
        <v>F</v>
      </c>
      <c r="D1191" s="3" t="s">
        <v>186</v>
      </c>
      <c r="E1191" s="3" t="n">
        <v>1</v>
      </c>
      <c r="F1191" s="12" t="n">
        <v>0.465</v>
      </c>
      <c r="G1191" s="12" t="n">
        <v>0.6</v>
      </c>
      <c r="H1191" s="12" t="n">
        <v>0.75</v>
      </c>
      <c r="I1191" s="12" t="n">
        <v>0.6057</v>
      </c>
      <c r="J1191" s="12" t="n">
        <v>0.2587</v>
      </c>
      <c r="K1191" s="12" t="n">
        <v>0.3895</v>
      </c>
      <c r="L1191" s="3" t="n">
        <v>5.79</v>
      </c>
      <c r="M1191" s="12" t="n">
        <f aca="false">Z1191-W1191</f>
        <v>-0.111968</v>
      </c>
      <c r="N1191" s="12" t="n">
        <f aca="false">IFERROR((Z1191-J1191)/L1191,"")</f>
        <v>0.0225962003454231</v>
      </c>
      <c r="O1191" s="3" t="n">
        <v>19</v>
      </c>
      <c r="P1191" s="13" t="b">
        <f aca="false">FALSE()</f>
        <v>0</v>
      </c>
      <c r="Q1191" s="3" t="s">
        <v>166</v>
      </c>
      <c r="R1191" s="12" t="n">
        <v>0.6822</v>
      </c>
      <c r="S1191" s="12" t="n">
        <v>0.3153</v>
      </c>
      <c r="T1191" s="3" t="n">
        <v>0.1876</v>
      </c>
      <c r="U1191" s="12" t="n">
        <v>0.3401</v>
      </c>
      <c r="V1191" s="12" t="n">
        <v>0.3719</v>
      </c>
      <c r="W1191" s="12" t="n">
        <v>0.5015</v>
      </c>
      <c r="X1191" s="3" t="n">
        <v>0.1138</v>
      </c>
      <c r="Y1191" s="3" t="n">
        <v>0.5513</v>
      </c>
      <c r="Z1191" s="14" t="n">
        <f aca="false">Assumptions!$B$3*R1191+Assumptions!$B$4*S1191+IF(AA1191=1,Assumptions!$B$11,Assumptions!$B$5)*X1191+IF(AA1191=1,Assumptions!$B$12,Assumptions!$B$6)*T1191+Assumptions!$B$7*U1191+Assumptions!$B$8*V1191+Assumptions!$B$9*Y1191</f>
        <v>0.389532</v>
      </c>
      <c r="AA1191" s="3" t="n">
        <v>1</v>
      </c>
    </row>
    <row r="1192" customFormat="false" ht="15" hidden="false" customHeight="false" outlineLevel="0" collapsed="false">
      <c r="A1192" s="3" t="s">
        <v>1377</v>
      </c>
      <c r="B1192" s="3" t="n">
        <v>290</v>
      </c>
      <c r="C1192" s="11" t="str">
        <f aca="false">IF(M1192&gt;=Assumptions!$B$17,"S+",IF(M1192&gt;=Assumptions!$B$18,"S",IF(M1192&gt;=Assumptions!$B$19,"A",IF(M1192&gt;=Assumptions!$B$20,"B",IF(M1192&gt;=Assumptions!$B$21,"C",IF(M1192&gt;=Assumptions!$B$22,"D","F"))))))</f>
        <v>F</v>
      </c>
      <c r="D1192" s="3" t="s">
        <v>218</v>
      </c>
      <c r="E1192" s="3" t="n">
        <v>1</v>
      </c>
      <c r="F1192" s="12" t="n">
        <v>0.5843</v>
      </c>
      <c r="G1192" s="12" t="n">
        <v>0.6</v>
      </c>
      <c r="H1192" s="12" t="n">
        <v>0.75</v>
      </c>
      <c r="I1192" s="12" t="n">
        <v>0.625</v>
      </c>
      <c r="J1192" s="12" t="n">
        <v>0.2527</v>
      </c>
      <c r="K1192" s="12" t="n">
        <v>0.4128</v>
      </c>
      <c r="L1192" s="3" t="n">
        <v>5.63</v>
      </c>
      <c r="M1192" s="12" t="n">
        <f aca="false">Z1192-W1192</f>
        <v>-0.112029</v>
      </c>
      <c r="N1192" s="12" t="n">
        <f aca="false">IFERROR((Z1192-J1192)/L1192,"")</f>
        <v>0.0284495559502664</v>
      </c>
      <c r="O1192" s="3" t="n">
        <v>19</v>
      </c>
      <c r="P1192" s="13" t="b">
        <f aca="false">FALSE()</f>
        <v>0</v>
      </c>
      <c r="Q1192" s="3" t="s">
        <v>166</v>
      </c>
      <c r="R1192" s="12" t="n">
        <v>0.6513</v>
      </c>
      <c r="S1192" s="12" t="n">
        <v>0.3311</v>
      </c>
      <c r="T1192" s="3" t="n">
        <v>0.168</v>
      </c>
      <c r="U1192" s="12" t="n">
        <v>0.2955</v>
      </c>
      <c r="V1192" s="12" t="n">
        <v>0.5152</v>
      </c>
      <c r="W1192" s="12" t="n">
        <v>0.5249</v>
      </c>
      <c r="X1192" s="3" t="n">
        <v>0.1741</v>
      </c>
      <c r="Y1192" s="3" t="n">
        <v>0.5963</v>
      </c>
      <c r="Z1192" s="14" t="n">
        <f aca="false">Assumptions!$B$3*R1192+Assumptions!$B$4*S1192+IF(AA1192=1,Assumptions!$B$11,Assumptions!$B$5)*X1192+IF(AA1192=1,Assumptions!$B$12,Assumptions!$B$6)*T1192+Assumptions!$B$7*U1192+Assumptions!$B$8*V1192+Assumptions!$B$9*Y1192</f>
        <v>0.412871</v>
      </c>
      <c r="AA1192" s="3" t="n">
        <v>0</v>
      </c>
    </row>
    <row r="1193" customFormat="false" ht="15" hidden="false" customHeight="false" outlineLevel="0" collapsed="false">
      <c r="A1193" s="3" t="s">
        <v>1378</v>
      </c>
      <c r="B1193" s="3" t="n">
        <v>320</v>
      </c>
      <c r="C1193" s="11" t="str">
        <f aca="false">IF(M1193&gt;=Assumptions!$B$17,"S+",IF(M1193&gt;=Assumptions!$B$18,"S",IF(M1193&gt;=Assumptions!$B$19,"A",IF(M1193&gt;=Assumptions!$B$20,"B",IF(M1193&gt;=Assumptions!$B$21,"C",IF(M1193&gt;=Assumptions!$B$22,"D","F"))))))</f>
        <v>F</v>
      </c>
      <c r="D1193" s="3" t="s">
        <v>253</v>
      </c>
      <c r="E1193" s="3" t="n">
        <v>3</v>
      </c>
      <c r="F1193" s="12" t="n">
        <v>0.6524</v>
      </c>
      <c r="G1193" s="12" t="n">
        <v>0.6</v>
      </c>
      <c r="H1193" s="12" t="n">
        <v>0.75</v>
      </c>
      <c r="I1193" s="12" t="n">
        <v>0.6468</v>
      </c>
      <c r="J1193" s="12" t="n">
        <v>0.2534</v>
      </c>
      <c r="K1193" s="12" t="n">
        <v>0.4158</v>
      </c>
      <c r="L1193" s="3" t="n">
        <v>5.71</v>
      </c>
      <c r="M1193" s="12" t="n">
        <f aca="false">Z1193-W1193</f>
        <v>-0.112548</v>
      </c>
      <c r="N1193" s="12" t="n">
        <f aca="false">IFERROR((Z1193-J1193)/L1193,"")</f>
        <v>0.0284329246935201</v>
      </c>
      <c r="O1193" s="3" t="n">
        <v>17</v>
      </c>
      <c r="P1193" s="13" t="b">
        <f aca="false">FALSE()</f>
        <v>0</v>
      </c>
      <c r="Q1193" s="3" t="s">
        <v>166</v>
      </c>
      <c r="R1193" s="12" t="n">
        <v>0.7691</v>
      </c>
      <c r="S1193" s="12" t="n">
        <v>0.1571</v>
      </c>
      <c r="T1193" s="3" t="n">
        <v>0.3881</v>
      </c>
      <c r="U1193" s="12" t="n">
        <v>0.276</v>
      </c>
      <c r="V1193" s="12" t="n">
        <v>0.4299</v>
      </c>
      <c r="W1193" s="12" t="n">
        <v>0.5283</v>
      </c>
      <c r="X1193" s="3" t="n">
        <v>0.076</v>
      </c>
      <c r="Y1193" s="3" t="n">
        <v>0.586</v>
      </c>
      <c r="Z1193" s="14" t="n">
        <f aca="false">Assumptions!$B$3*R1193+Assumptions!$B$4*S1193+IF(AA1193=1,Assumptions!$B$11,Assumptions!$B$5)*X1193+IF(AA1193=1,Assumptions!$B$12,Assumptions!$B$6)*T1193+Assumptions!$B$7*U1193+Assumptions!$B$8*V1193+Assumptions!$B$9*Y1193</f>
        <v>0.415752</v>
      </c>
      <c r="AA1193" s="3" t="n">
        <v>0</v>
      </c>
    </row>
    <row r="1194" customFormat="false" ht="15" hidden="false" customHeight="false" outlineLevel="0" collapsed="false">
      <c r="A1194" s="3" t="s">
        <v>1379</v>
      </c>
      <c r="B1194" s="3" t="n">
        <v>310</v>
      </c>
      <c r="C1194" s="11" t="str">
        <f aca="false">IF(M1194&gt;=Assumptions!$B$17,"S+",IF(M1194&gt;=Assumptions!$B$18,"S",IF(M1194&gt;=Assumptions!$B$19,"A",IF(M1194&gt;=Assumptions!$B$20,"B",IF(M1194&gt;=Assumptions!$B$21,"C",IF(M1194&gt;=Assumptions!$B$22,"D","F"))))))</f>
        <v>F</v>
      </c>
      <c r="D1194" s="3" t="s">
        <v>218</v>
      </c>
      <c r="E1194" s="3" t="n">
        <v>1</v>
      </c>
      <c r="F1194" s="12" t="n">
        <v>0.4905</v>
      </c>
      <c r="G1194" s="12" t="n">
        <v>0.6</v>
      </c>
      <c r="H1194" s="12" t="n">
        <v>0.75</v>
      </c>
      <c r="I1194" s="12" t="n">
        <v>0.595</v>
      </c>
      <c r="J1194" s="12" t="n">
        <v>0.2648</v>
      </c>
      <c r="K1194" s="12" t="n">
        <v>0.406</v>
      </c>
      <c r="L1194" s="3" t="n">
        <v>5.61</v>
      </c>
      <c r="M1194" s="12" t="n">
        <f aca="false">Z1194-W1194</f>
        <v>-0.115727</v>
      </c>
      <c r="N1194" s="12" t="n">
        <f aca="false">IFERROR((Z1194-J1194)/L1194,"")</f>
        <v>0.0251645276292335</v>
      </c>
      <c r="O1194" s="3" t="n">
        <v>19</v>
      </c>
      <c r="P1194" s="13" t="b">
        <f aca="false">FALSE()</f>
        <v>0</v>
      </c>
      <c r="Q1194" s="3" t="s">
        <v>166</v>
      </c>
      <c r="R1194" s="12" t="n">
        <v>0.675</v>
      </c>
      <c r="S1194" s="12" t="n">
        <v>0.2094</v>
      </c>
      <c r="T1194" s="3" t="n">
        <v>0.3882</v>
      </c>
      <c r="U1194" s="12" t="n">
        <v>0.3441</v>
      </c>
      <c r="V1194" s="12" t="n">
        <v>0.4497</v>
      </c>
      <c r="W1194" s="12" t="n">
        <v>0.5217</v>
      </c>
      <c r="X1194" s="3" t="n">
        <v>0.0852</v>
      </c>
      <c r="Y1194" s="3" t="n">
        <v>0.5497</v>
      </c>
      <c r="Z1194" s="14" t="n">
        <f aca="false">Assumptions!$B$3*R1194+Assumptions!$B$4*S1194+IF(AA1194=1,Assumptions!$B$11,Assumptions!$B$5)*X1194+IF(AA1194=1,Assumptions!$B$12,Assumptions!$B$6)*T1194+Assumptions!$B$7*U1194+Assumptions!$B$8*V1194+Assumptions!$B$9*Y1194</f>
        <v>0.405973</v>
      </c>
      <c r="AA1194" s="3" t="n">
        <v>0</v>
      </c>
    </row>
    <row r="1195" customFormat="false" ht="15" hidden="false" customHeight="false" outlineLevel="0" collapsed="false">
      <c r="A1195" s="3" t="s">
        <v>1380</v>
      </c>
      <c r="B1195" s="3" t="n">
        <v>198</v>
      </c>
      <c r="C1195" s="11" t="str">
        <f aca="false">IF(M1195&gt;=Assumptions!$B$17,"S+",IF(M1195&gt;=Assumptions!$B$18,"S",IF(M1195&gt;=Assumptions!$B$19,"A",IF(M1195&gt;=Assumptions!$B$20,"B",IF(M1195&gt;=Assumptions!$B$21,"C",IF(M1195&gt;=Assumptions!$B$22,"D","F"))))))</f>
        <v>F</v>
      </c>
      <c r="D1195" s="3" t="s">
        <v>253</v>
      </c>
      <c r="E1195" s="3" t="n">
        <v>1</v>
      </c>
      <c r="F1195" s="12" t="n">
        <v>0.4911</v>
      </c>
      <c r="G1195" s="12" t="n">
        <v>0.6</v>
      </c>
      <c r="H1195" s="12" t="n">
        <v>0.75</v>
      </c>
      <c r="I1195" s="12" t="n">
        <v>0.5951</v>
      </c>
      <c r="J1195" s="12" t="n">
        <v>0.249</v>
      </c>
      <c r="K1195" s="12" t="n">
        <v>0.4194</v>
      </c>
      <c r="L1195" s="3" t="n">
        <v>5.5</v>
      </c>
      <c r="M1195" s="12" t="n">
        <f aca="false">Z1195-W1195</f>
        <v>-0.117975</v>
      </c>
      <c r="N1195" s="12" t="n">
        <f aca="false">IFERROR((Z1195-J1195)/L1195,"")</f>
        <v>0.0309863636363636</v>
      </c>
      <c r="O1195" s="3" t="n">
        <v>19</v>
      </c>
      <c r="P1195" s="13" t="b">
        <f aca="false">FALSE()</f>
        <v>0</v>
      </c>
      <c r="Q1195" s="3" t="s">
        <v>166</v>
      </c>
      <c r="R1195" s="12" t="n">
        <v>0.6219</v>
      </c>
      <c r="S1195" s="12" t="n">
        <v>0.1707</v>
      </c>
      <c r="T1195" s="3" t="n">
        <v>0.1953</v>
      </c>
      <c r="U1195" s="12" t="n">
        <v>0.6437</v>
      </c>
      <c r="V1195" s="12" t="n">
        <v>0.5202</v>
      </c>
      <c r="W1195" s="12" t="n">
        <v>0.5374</v>
      </c>
      <c r="X1195" s="3" t="n">
        <v>0.1973</v>
      </c>
      <c r="Y1195" s="3" t="n">
        <v>0.5553</v>
      </c>
      <c r="Z1195" s="14" t="n">
        <f aca="false">Assumptions!$B$3*R1195+Assumptions!$B$4*S1195+IF(AA1195=1,Assumptions!$B$11,Assumptions!$B$5)*X1195+IF(AA1195=1,Assumptions!$B$12,Assumptions!$B$6)*T1195+Assumptions!$B$7*U1195+Assumptions!$B$8*V1195+Assumptions!$B$9*Y1195</f>
        <v>0.419425</v>
      </c>
      <c r="AA1195" s="3" t="n">
        <v>0</v>
      </c>
    </row>
    <row r="1196" customFormat="false" ht="15" hidden="false" customHeight="false" outlineLevel="0" collapsed="false">
      <c r="A1196" s="3" t="s">
        <v>1381</v>
      </c>
      <c r="B1196" s="3" t="n">
        <v>280</v>
      </c>
      <c r="C1196" s="11" t="str">
        <f aca="false">IF(M1196&gt;=Assumptions!$B$17,"S+",IF(M1196&gt;=Assumptions!$B$18,"S",IF(M1196&gt;=Assumptions!$B$19,"A",IF(M1196&gt;=Assumptions!$B$20,"B",IF(M1196&gt;=Assumptions!$B$21,"C",IF(M1196&gt;=Assumptions!$B$22,"D","F"))))))</f>
        <v>F</v>
      </c>
      <c r="D1196" s="3" t="s">
        <v>253</v>
      </c>
      <c r="E1196" s="3" t="n">
        <v>1</v>
      </c>
      <c r="F1196" s="12" t="n">
        <v>0.696</v>
      </c>
      <c r="G1196" s="12" t="n">
        <v>0.6</v>
      </c>
      <c r="H1196" s="12" t="n">
        <v>0.75</v>
      </c>
      <c r="I1196" s="12" t="n">
        <v>0.6607</v>
      </c>
      <c r="J1196" s="12" t="n">
        <v>0.3003</v>
      </c>
      <c r="K1196" s="12" t="n">
        <v>0.3993</v>
      </c>
      <c r="L1196" s="3" t="n">
        <v>5.61</v>
      </c>
      <c r="M1196" s="12" t="n">
        <f aca="false">Z1196-W1196</f>
        <v>-0.118331</v>
      </c>
      <c r="N1196" s="12" t="n">
        <f aca="false">IFERROR((Z1196-J1196)/L1196,"")</f>
        <v>0.0176415329768271</v>
      </c>
      <c r="O1196" s="3" t="n">
        <v>19</v>
      </c>
      <c r="P1196" s="13" t="b">
        <f aca="false">FALSE()</f>
        <v>0</v>
      </c>
      <c r="Q1196" s="3" t="s">
        <v>166</v>
      </c>
      <c r="R1196" s="12" t="n">
        <v>0.5851</v>
      </c>
      <c r="S1196" s="12" t="n">
        <v>0.327</v>
      </c>
      <c r="T1196" s="3" t="n">
        <v>0.109</v>
      </c>
      <c r="U1196" s="12" t="n">
        <v>0.417</v>
      </c>
      <c r="V1196" s="12" t="n">
        <v>0.4497</v>
      </c>
      <c r="W1196" s="12" t="n">
        <v>0.5176</v>
      </c>
      <c r="X1196" s="3" t="n">
        <v>0.1976</v>
      </c>
      <c r="Y1196" s="3" t="n">
        <v>0.6223</v>
      </c>
      <c r="Z1196" s="14" t="n">
        <f aca="false">Assumptions!$B$3*R1196+Assumptions!$B$4*S1196+IF(AA1196=1,Assumptions!$B$11,Assumptions!$B$5)*X1196+IF(AA1196=1,Assumptions!$B$12,Assumptions!$B$6)*T1196+Assumptions!$B$7*U1196+Assumptions!$B$8*V1196+Assumptions!$B$9*Y1196</f>
        <v>0.399269</v>
      </c>
      <c r="AA1196" s="3" t="n">
        <v>0</v>
      </c>
    </row>
    <row r="1197" customFormat="false" ht="15" hidden="false" customHeight="false" outlineLevel="0" collapsed="false">
      <c r="A1197" s="3" t="s">
        <v>1382</v>
      </c>
      <c r="B1197" s="3" t="n">
        <v>220</v>
      </c>
      <c r="C1197" s="11" t="str">
        <f aca="false">IF(M1197&gt;=Assumptions!$B$17,"S+",IF(M1197&gt;=Assumptions!$B$18,"S",IF(M1197&gt;=Assumptions!$B$19,"A",IF(M1197&gt;=Assumptions!$B$20,"B",IF(M1197&gt;=Assumptions!$B$21,"C",IF(M1197&gt;=Assumptions!$B$22,"D","F"))))))</f>
        <v>F</v>
      </c>
      <c r="D1197" s="3" t="s">
        <v>190</v>
      </c>
      <c r="E1197" s="3" t="n">
        <v>1</v>
      </c>
      <c r="F1197" s="12" t="n">
        <v>0.1314</v>
      </c>
      <c r="G1197" s="12" t="n">
        <v>1</v>
      </c>
      <c r="H1197" s="12" t="n">
        <v>0.75</v>
      </c>
      <c r="I1197" s="12" t="n">
        <v>0.6199</v>
      </c>
      <c r="J1197" s="12" t="n">
        <v>0.2268</v>
      </c>
      <c r="K1197" s="12" t="n">
        <v>0.3791</v>
      </c>
      <c r="L1197" s="3" t="n">
        <v>5.66</v>
      </c>
      <c r="M1197" s="12" t="n">
        <f aca="false">Z1197-W1197</f>
        <v>-0.119165</v>
      </c>
      <c r="N1197" s="12" t="n">
        <f aca="false">IFERROR((Z1197-J1197)/L1197,"")</f>
        <v>0.0268966431095406</v>
      </c>
      <c r="O1197" s="3" t="n">
        <v>19</v>
      </c>
      <c r="P1197" s="13" t="b">
        <f aca="false">FALSE()</f>
        <v>0</v>
      </c>
      <c r="Q1197" s="3" t="s">
        <v>166</v>
      </c>
      <c r="R1197" s="12" t="n">
        <v>0.6559</v>
      </c>
      <c r="S1197" s="12" t="n">
        <v>0.1942</v>
      </c>
      <c r="T1197" s="3" t="n">
        <v>0.1361</v>
      </c>
      <c r="U1197" s="12" t="n">
        <v>0.4048</v>
      </c>
      <c r="V1197" s="12" t="n">
        <v>0.4861</v>
      </c>
      <c r="W1197" s="12" t="n">
        <v>0.4982</v>
      </c>
      <c r="X1197" s="3" t="n">
        <v>0.1403</v>
      </c>
      <c r="Y1197" s="3" t="n">
        <v>0.4664</v>
      </c>
      <c r="Z1197" s="14" t="n">
        <f aca="false">Assumptions!$B$3*R1197+Assumptions!$B$4*S1197+IF(AA1197=1,Assumptions!$B$11,Assumptions!$B$5)*X1197+IF(AA1197=1,Assumptions!$B$12,Assumptions!$B$6)*T1197+Assumptions!$B$7*U1197+Assumptions!$B$8*V1197+Assumptions!$B$9*Y1197</f>
        <v>0.379035</v>
      </c>
      <c r="AA1197" s="3" t="n">
        <v>0</v>
      </c>
    </row>
    <row r="1198" customFormat="false" ht="15" hidden="false" customHeight="false" outlineLevel="0" collapsed="false">
      <c r="A1198" s="3" t="s">
        <v>1383</v>
      </c>
      <c r="B1198" s="3" t="n">
        <v>310</v>
      </c>
      <c r="C1198" s="11" t="str">
        <f aca="false">IF(M1198&gt;=Assumptions!$B$17,"S+",IF(M1198&gt;=Assumptions!$B$18,"S",IF(M1198&gt;=Assumptions!$B$19,"A",IF(M1198&gt;=Assumptions!$B$20,"B",IF(M1198&gt;=Assumptions!$B$21,"C",IF(M1198&gt;=Assumptions!$B$22,"D","F"))))))</f>
        <v>F</v>
      </c>
      <c r="D1198" s="3" t="s">
        <v>253</v>
      </c>
      <c r="E1198" s="3" t="n">
        <v>1</v>
      </c>
      <c r="F1198" s="12" t="n">
        <v>0.6681</v>
      </c>
      <c r="G1198" s="12" t="n">
        <v>0.6</v>
      </c>
      <c r="H1198" s="12" t="n">
        <v>0.75</v>
      </c>
      <c r="I1198" s="12" t="n">
        <v>0.6518</v>
      </c>
      <c r="J1198" s="12" t="n">
        <v>0.2479</v>
      </c>
      <c r="K1198" s="12" t="n">
        <v>0.4056</v>
      </c>
      <c r="L1198" s="3" t="n">
        <v>5.66</v>
      </c>
      <c r="M1198" s="12" t="n">
        <f aca="false">Z1198-W1198</f>
        <v>-0.120142</v>
      </c>
      <c r="N1198" s="12" t="n">
        <f aca="false">IFERROR((Z1198-J1198)/L1198,"")</f>
        <v>0.0278547703180212</v>
      </c>
      <c r="O1198" s="3" t="n">
        <v>19</v>
      </c>
      <c r="P1198" s="13" t="b">
        <f aca="false">FALSE()</f>
        <v>0</v>
      </c>
      <c r="Q1198" s="3" t="s">
        <v>166</v>
      </c>
      <c r="R1198" s="12" t="n">
        <v>0.6285</v>
      </c>
      <c r="S1198" s="12" t="n">
        <v>0.275</v>
      </c>
      <c r="T1198" s="3" t="n">
        <v>0.2105</v>
      </c>
      <c r="U1198" s="12" t="n">
        <v>0.336</v>
      </c>
      <c r="V1198" s="12" t="n">
        <v>0.4614</v>
      </c>
      <c r="W1198" s="12" t="n">
        <v>0.5257</v>
      </c>
      <c r="X1198" s="3" t="n">
        <v>0.1694</v>
      </c>
      <c r="Y1198" s="3" t="n">
        <v>0.6418</v>
      </c>
      <c r="Z1198" s="14" t="n">
        <f aca="false">Assumptions!$B$3*R1198+Assumptions!$B$4*S1198+IF(AA1198=1,Assumptions!$B$11,Assumptions!$B$5)*X1198+IF(AA1198=1,Assumptions!$B$12,Assumptions!$B$6)*T1198+Assumptions!$B$7*U1198+Assumptions!$B$8*V1198+Assumptions!$B$9*Y1198</f>
        <v>0.405558</v>
      </c>
      <c r="AA1198" s="3" t="n">
        <v>0</v>
      </c>
    </row>
    <row r="1199" customFormat="false" ht="15" hidden="false" customHeight="false" outlineLevel="0" collapsed="false">
      <c r="A1199" s="3" t="s">
        <v>1384</v>
      </c>
      <c r="B1199" s="3" t="n">
        <v>250</v>
      </c>
      <c r="C1199" s="11" t="str">
        <f aca="false">IF(M1199&gt;=Assumptions!$B$17,"S+",IF(M1199&gt;=Assumptions!$B$18,"S",IF(M1199&gt;=Assumptions!$B$19,"A",IF(M1199&gt;=Assumptions!$B$20,"B",IF(M1199&gt;=Assumptions!$B$21,"C",IF(M1199&gt;=Assumptions!$B$22,"D","F"))))))</f>
        <v>F</v>
      </c>
      <c r="D1199" s="3" t="s">
        <v>183</v>
      </c>
      <c r="E1199" s="3" t="n">
        <v>1</v>
      </c>
      <c r="F1199" s="12" t="n">
        <v>0.4848</v>
      </c>
      <c r="G1199" s="12" t="n">
        <v>0.76</v>
      </c>
      <c r="H1199" s="12" t="n">
        <v>0.4762</v>
      </c>
      <c r="I1199" s="12" t="n">
        <v>0.612</v>
      </c>
      <c r="J1199" s="12" t="n">
        <v>0.2576</v>
      </c>
      <c r="K1199" s="12" t="n">
        <v>0.3875</v>
      </c>
      <c r="L1199" s="3" t="n">
        <v>6.63</v>
      </c>
      <c r="M1199" s="12" t="n">
        <f aca="false">Z1199-W1199</f>
        <v>-0.121304</v>
      </c>
      <c r="N1199" s="12" t="n">
        <f aca="false">IFERROR((Z1199-J1199)/L1199,"")</f>
        <v>0.0195921568627451</v>
      </c>
      <c r="O1199" s="3" t="n">
        <v>19</v>
      </c>
      <c r="P1199" s="13" t="b">
        <f aca="false">FALSE()</f>
        <v>0</v>
      </c>
      <c r="Q1199" s="3" t="s">
        <v>166</v>
      </c>
      <c r="R1199" s="12" t="n">
        <v>0.6438</v>
      </c>
      <c r="S1199" s="12" t="n">
        <v>0.2743</v>
      </c>
      <c r="T1199" s="3" t="n">
        <v>0.1259</v>
      </c>
      <c r="U1199" s="12" t="n">
        <v>0.3279</v>
      </c>
      <c r="V1199" s="12" t="n">
        <v>0.4579</v>
      </c>
      <c r="W1199" s="12" t="n">
        <v>0.5088</v>
      </c>
      <c r="X1199" s="3" t="n">
        <v>0.1587</v>
      </c>
      <c r="Y1199" s="3" t="n">
        <v>0.5268</v>
      </c>
      <c r="Z1199" s="14" t="n">
        <f aca="false">Assumptions!$B$3*R1199+Assumptions!$B$4*S1199+IF(AA1199=1,Assumptions!$B$11,Assumptions!$B$5)*X1199+IF(AA1199=1,Assumptions!$B$12,Assumptions!$B$6)*T1199+Assumptions!$B$7*U1199+Assumptions!$B$8*V1199+Assumptions!$B$9*Y1199</f>
        <v>0.387496</v>
      </c>
      <c r="AA1199" s="3" t="n">
        <v>1</v>
      </c>
    </row>
    <row r="1200" customFormat="false" ht="15" hidden="false" customHeight="false" outlineLevel="0" collapsed="false">
      <c r="A1200" s="3" t="s">
        <v>1385</v>
      </c>
      <c r="B1200" s="3" t="n">
        <v>294</v>
      </c>
      <c r="C1200" s="11" t="str">
        <f aca="false">IF(M1200&gt;=Assumptions!$B$17,"S+",IF(M1200&gt;=Assumptions!$B$18,"S",IF(M1200&gt;=Assumptions!$B$19,"A",IF(M1200&gt;=Assumptions!$B$20,"B",IF(M1200&gt;=Assumptions!$B$21,"C",IF(M1200&gt;=Assumptions!$B$22,"D","F"))))))</f>
        <v>F</v>
      </c>
      <c r="D1200" s="3" t="s">
        <v>183</v>
      </c>
      <c r="E1200" s="3" t="n">
        <v>1</v>
      </c>
      <c r="F1200" s="12" t="n">
        <v>0.2262</v>
      </c>
      <c r="G1200" s="12" t="n">
        <v>0.24</v>
      </c>
      <c r="H1200" s="12" t="n">
        <v>0.5476</v>
      </c>
      <c r="I1200" s="12" t="n">
        <v>0.313</v>
      </c>
      <c r="J1200" s="12" t="n">
        <v>0.2299</v>
      </c>
      <c r="K1200" s="12" t="n">
        <v>0.3442</v>
      </c>
      <c r="L1200" s="3" t="n">
        <v>6.55</v>
      </c>
      <c r="M1200" s="12" t="n">
        <f aca="false">Z1200-W1200</f>
        <v>-0.122561</v>
      </c>
      <c r="N1200" s="12" t="n">
        <f aca="false">IFERROR((Z1200-J1200)/L1200,"")</f>
        <v>0.0174563358778626</v>
      </c>
      <c r="O1200" s="3" t="n">
        <v>19</v>
      </c>
      <c r="P1200" s="13" t="b">
        <f aca="false">FALSE()</f>
        <v>0</v>
      </c>
      <c r="Q1200" s="3" t="s">
        <v>166</v>
      </c>
      <c r="R1200" s="12" t="n">
        <v>0.4792</v>
      </c>
      <c r="S1200" s="12" t="n">
        <v>0.455</v>
      </c>
      <c r="T1200" s="3" t="n">
        <v>0.1515</v>
      </c>
      <c r="U1200" s="12" t="n">
        <v>0.2429</v>
      </c>
      <c r="V1200" s="12" t="n">
        <v>0.4905</v>
      </c>
      <c r="W1200" s="12" t="n">
        <v>0.4668</v>
      </c>
      <c r="X1200" s="3" t="n">
        <v>0.1698</v>
      </c>
      <c r="Y1200" s="3" t="n">
        <v>0.2634</v>
      </c>
      <c r="Z1200" s="14" t="n">
        <f aca="false">Assumptions!$B$3*R1200+Assumptions!$B$4*S1200+IF(AA1200=1,Assumptions!$B$11,Assumptions!$B$5)*X1200+IF(AA1200=1,Assumptions!$B$12,Assumptions!$B$6)*T1200+Assumptions!$B$7*U1200+Assumptions!$B$8*V1200+Assumptions!$B$9*Y1200</f>
        <v>0.344239</v>
      </c>
      <c r="AA1200" s="3" t="n">
        <v>1</v>
      </c>
    </row>
    <row r="1201" customFormat="false" ht="15" hidden="false" customHeight="false" outlineLevel="0" collapsed="false">
      <c r="A1201" s="3" t="s">
        <v>1386</v>
      </c>
      <c r="B1201" s="3" t="n">
        <v>240</v>
      </c>
      <c r="C1201" s="11" t="str">
        <f aca="false">IF(M1201&gt;=Assumptions!$B$17,"S+",IF(M1201&gt;=Assumptions!$B$18,"S",IF(M1201&gt;=Assumptions!$B$19,"A",IF(M1201&gt;=Assumptions!$B$20,"B",IF(M1201&gt;=Assumptions!$B$21,"C",IF(M1201&gt;=Assumptions!$B$22,"D","F"))))))</f>
        <v>F</v>
      </c>
      <c r="D1201" s="3" t="s">
        <v>173</v>
      </c>
      <c r="E1201" s="3" t="n">
        <v>1</v>
      </c>
      <c r="F1201" s="12" t="n">
        <v>0.4881</v>
      </c>
      <c r="G1201" s="12" t="n">
        <v>0.45</v>
      </c>
      <c r="H1201" s="12" t="n">
        <v>0.75</v>
      </c>
      <c r="I1201" s="12" t="n">
        <v>0.5169</v>
      </c>
      <c r="J1201" s="12" t="n">
        <v>0.1786</v>
      </c>
      <c r="K1201" s="12" t="n">
        <v>0.3287</v>
      </c>
      <c r="L1201" s="3" t="n">
        <v>5.55</v>
      </c>
      <c r="M1201" s="12" t="n">
        <f aca="false">Z1201-W1201</f>
        <v>-0.122546</v>
      </c>
      <c r="N1201" s="12" t="n">
        <f aca="false">IFERROR((Z1201-J1201)/L1201,"")</f>
        <v>0.0270367567567568</v>
      </c>
      <c r="O1201" s="3" t="n">
        <v>19</v>
      </c>
      <c r="P1201" s="13" t="b">
        <f aca="false">FALSE()</f>
        <v>0</v>
      </c>
      <c r="Q1201" s="3" t="s">
        <v>166</v>
      </c>
      <c r="R1201" s="12" t="n">
        <v>0.5551</v>
      </c>
      <c r="S1201" s="12" t="n">
        <v>0.187</v>
      </c>
      <c r="T1201" s="3" t="n">
        <v>0.2724</v>
      </c>
      <c r="U1201" s="12" t="n">
        <v>0.2996</v>
      </c>
      <c r="V1201" s="12" t="n">
        <v>0.3528</v>
      </c>
      <c r="W1201" s="12" t="n">
        <v>0.4512</v>
      </c>
      <c r="X1201" s="3" t="n">
        <v>0.1311</v>
      </c>
      <c r="Y1201" s="3" t="n">
        <v>0.4515</v>
      </c>
      <c r="Z1201" s="14" t="n">
        <f aca="false">Assumptions!$B$3*R1201+Assumptions!$B$4*S1201+IF(AA1201=1,Assumptions!$B$11,Assumptions!$B$5)*X1201+IF(AA1201=1,Assumptions!$B$12,Assumptions!$B$6)*T1201+Assumptions!$B$7*U1201+Assumptions!$B$8*V1201+Assumptions!$B$9*Y1201</f>
        <v>0.328654</v>
      </c>
      <c r="AA1201" s="3" t="n">
        <v>1</v>
      </c>
    </row>
    <row r="1202" customFormat="false" ht="15" hidden="false" customHeight="false" outlineLevel="0" collapsed="false">
      <c r="A1202" s="3" t="s">
        <v>1387</v>
      </c>
      <c r="B1202" s="3" t="n">
        <v>304</v>
      </c>
      <c r="C1202" s="11" t="str">
        <f aca="false">IF(M1202&gt;=Assumptions!$B$17,"S+",IF(M1202&gt;=Assumptions!$B$18,"S",IF(M1202&gt;=Assumptions!$B$19,"A",IF(M1202&gt;=Assumptions!$B$20,"B",IF(M1202&gt;=Assumptions!$B$21,"C",IF(M1202&gt;=Assumptions!$B$22,"D","F"))))))</f>
        <v>F</v>
      </c>
      <c r="D1202" s="3" t="s">
        <v>218</v>
      </c>
      <c r="E1202" s="3" t="n">
        <v>3</v>
      </c>
      <c r="F1202" s="12" t="n">
        <v>0.6093</v>
      </c>
      <c r="G1202" s="12" t="n">
        <v>0.6</v>
      </c>
      <c r="H1202" s="12" t="n">
        <v>0.75</v>
      </c>
      <c r="I1202" s="12" t="n">
        <v>0.633</v>
      </c>
      <c r="J1202" s="12" t="n">
        <v>0.2758</v>
      </c>
      <c r="K1202" s="12" t="n">
        <v>0.397</v>
      </c>
      <c r="L1202" s="3" t="n">
        <v>5.94</v>
      </c>
      <c r="M1202" s="12" t="n">
        <f aca="false">Z1202-W1202</f>
        <v>-0.123191</v>
      </c>
      <c r="N1202" s="12" t="n">
        <f aca="false">IFERROR((Z1202-J1202)/L1202,"")</f>
        <v>0.0204055555555556</v>
      </c>
      <c r="O1202" s="3" t="n">
        <v>17</v>
      </c>
      <c r="P1202" s="13" t="b">
        <f aca="false">FALSE()</f>
        <v>0</v>
      </c>
      <c r="Q1202" s="3" t="s">
        <v>166</v>
      </c>
      <c r="R1202" s="12" t="n">
        <v>0.6259</v>
      </c>
      <c r="S1202" s="12" t="n">
        <v>0.3067</v>
      </c>
      <c r="T1202" s="3" t="n">
        <v>0.0764</v>
      </c>
      <c r="U1202" s="12" t="n">
        <v>0.4072</v>
      </c>
      <c r="V1202" s="12" t="n">
        <v>0.3802</v>
      </c>
      <c r="W1202" s="12" t="n">
        <v>0.5202</v>
      </c>
      <c r="X1202" s="3" t="n">
        <v>0.218</v>
      </c>
      <c r="Y1202" s="3" t="n">
        <v>0.6168</v>
      </c>
      <c r="Z1202" s="14" t="n">
        <f aca="false">Assumptions!$B$3*R1202+Assumptions!$B$4*S1202+IF(AA1202=1,Assumptions!$B$11,Assumptions!$B$5)*X1202+IF(AA1202=1,Assumptions!$B$12,Assumptions!$B$6)*T1202+Assumptions!$B$7*U1202+Assumptions!$B$8*V1202+Assumptions!$B$9*Y1202</f>
        <v>0.397009</v>
      </c>
      <c r="AA1202" s="3" t="n">
        <v>0</v>
      </c>
    </row>
    <row r="1203" customFormat="false" ht="15" hidden="false" customHeight="false" outlineLevel="0" collapsed="false">
      <c r="A1203" s="3" t="s">
        <v>1388</v>
      </c>
      <c r="B1203" s="3" t="n">
        <v>280</v>
      </c>
      <c r="C1203" s="11" t="str">
        <f aca="false">IF(M1203&gt;=Assumptions!$B$17,"S+",IF(M1203&gt;=Assumptions!$B$18,"S",IF(M1203&gt;=Assumptions!$B$19,"A",IF(M1203&gt;=Assumptions!$B$20,"B",IF(M1203&gt;=Assumptions!$B$21,"C",IF(M1203&gt;=Assumptions!$B$22,"D","F"))))))</f>
        <v>F</v>
      </c>
      <c r="D1203" s="3" t="s">
        <v>253</v>
      </c>
      <c r="E1203" s="3" t="n">
        <v>1</v>
      </c>
      <c r="F1203" s="12" t="n">
        <v>0.2546</v>
      </c>
      <c r="G1203" s="12" t="n">
        <v>1</v>
      </c>
      <c r="H1203" s="12" t="n">
        <v>0.75</v>
      </c>
      <c r="I1203" s="12" t="n">
        <v>0.7115</v>
      </c>
      <c r="J1203" s="12" t="n">
        <v>0.2377</v>
      </c>
      <c r="K1203" s="12" t="n">
        <v>0.4107</v>
      </c>
      <c r="L1203" s="3" t="n">
        <v>6.66</v>
      </c>
      <c r="M1203" s="12" t="n">
        <f aca="false">Z1203-W1203</f>
        <v>-0.123908</v>
      </c>
      <c r="N1203" s="12" t="n">
        <f aca="false">IFERROR((Z1203-J1203)/L1203,"")</f>
        <v>0.0259747747747748</v>
      </c>
      <c r="O1203" s="3" t="n">
        <v>19</v>
      </c>
      <c r="P1203" s="13" t="b">
        <f aca="false">FALSE()</f>
        <v>0</v>
      </c>
      <c r="Q1203" s="3" t="s">
        <v>166</v>
      </c>
      <c r="R1203" s="12" t="n">
        <v>0.5947</v>
      </c>
      <c r="S1203" s="12" t="n">
        <v>0.2453</v>
      </c>
      <c r="T1203" s="3" t="n">
        <v>0.4521</v>
      </c>
      <c r="U1203" s="12" t="n">
        <v>0.3846</v>
      </c>
      <c r="V1203" s="12" t="n">
        <v>0.4557</v>
      </c>
      <c r="W1203" s="12" t="n">
        <v>0.5346</v>
      </c>
      <c r="X1203" s="3" t="n">
        <v>0.0931</v>
      </c>
      <c r="Y1203" s="3" t="n">
        <v>0.6154</v>
      </c>
      <c r="Z1203" s="14" t="n">
        <f aca="false">Assumptions!$B$3*R1203+Assumptions!$B$4*S1203+IF(AA1203=1,Assumptions!$B$11,Assumptions!$B$5)*X1203+IF(AA1203=1,Assumptions!$B$12,Assumptions!$B$6)*T1203+Assumptions!$B$7*U1203+Assumptions!$B$8*V1203+Assumptions!$B$9*Y1203</f>
        <v>0.410692</v>
      </c>
      <c r="AA1203" s="3" t="n">
        <v>0</v>
      </c>
    </row>
    <row r="1204" customFormat="false" ht="15" hidden="false" customHeight="false" outlineLevel="0" collapsed="false">
      <c r="A1204" s="3" t="s">
        <v>1389</v>
      </c>
      <c r="B1204" s="3" t="n">
        <v>185</v>
      </c>
      <c r="C1204" s="11" t="str">
        <f aca="false">IF(M1204&gt;=Assumptions!$B$17,"S+",IF(M1204&gt;=Assumptions!$B$18,"S",IF(M1204&gt;=Assumptions!$B$19,"A",IF(M1204&gt;=Assumptions!$B$20,"B",IF(M1204&gt;=Assumptions!$B$21,"C",IF(M1204&gt;=Assumptions!$B$22,"D","F"))))))</f>
        <v>F</v>
      </c>
      <c r="D1204" s="3" t="s">
        <v>173</v>
      </c>
      <c r="E1204" s="3" t="n">
        <v>3</v>
      </c>
      <c r="F1204" s="12" t="n">
        <v>0.4601</v>
      </c>
      <c r="G1204" s="12" t="n">
        <v>0.45</v>
      </c>
      <c r="H1204" s="12" t="n">
        <v>0.75</v>
      </c>
      <c r="I1204" s="12" t="n">
        <v>0.5118</v>
      </c>
      <c r="J1204" s="12" t="n">
        <v>0.1593</v>
      </c>
      <c r="K1204" s="12" t="n">
        <v>0.309</v>
      </c>
      <c r="L1204" s="3" t="n">
        <v>5.71</v>
      </c>
      <c r="M1204" s="12" t="n">
        <f aca="false">Z1204-W1204</f>
        <v>-0.124605</v>
      </c>
      <c r="N1204" s="12" t="n">
        <f aca="false">IFERROR((Z1204-J1204)/L1204,"")</f>
        <v>0.0262162872154116</v>
      </c>
      <c r="O1204" s="3" t="n">
        <v>17</v>
      </c>
      <c r="P1204" s="13" t="b">
        <f aca="false">FALSE()</f>
        <v>0</v>
      </c>
      <c r="Q1204" s="3" t="s">
        <v>166</v>
      </c>
      <c r="R1204" s="12" t="n">
        <v>0.523</v>
      </c>
      <c r="S1204" s="12" t="n">
        <v>0.124</v>
      </c>
      <c r="T1204" s="3" t="n">
        <v>0.1408</v>
      </c>
      <c r="U1204" s="12" t="n">
        <v>0.3348</v>
      </c>
      <c r="V1204" s="12" t="n">
        <v>0.4913</v>
      </c>
      <c r="W1204" s="12" t="n">
        <v>0.4336</v>
      </c>
      <c r="X1204" s="3" t="n">
        <v>0.049</v>
      </c>
      <c r="Y1204" s="3" t="n">
        <v>0.495</v>
      </c>
      <c r="Z1204" s="14" t="n">
        <f aca="false">Assumptions!$B$3*R1204+Assumptions!$B$4*S1204+IF(AA1204=1,Assumptions!$B$11,Assumptions!$B$5)*X1204+IF(AA1204=1,Assumptions!$B$12,Assumptions!$B$6)*T1204+Assumptions!$B$7*U1204+Assumptions!$B$8*V1204+Assumptions!$B$9*Y1204</f>
        <v>0.308995</v>
      </c>
      <c r="AA1204" s="3" t="n">
        <v>1</v>
      </c>
    </row>
    <row r="1205" customFormat="false" ht="15" hidden="false" customHeight="false" outlineLevel="0" collapsed="false">
      <c r="A1205" s="3" t="s">
        <v>1390</v>
      </c>
      <c r="B1205" s="3" t="n">
        <v>240</v>
      </c>
      <c r="C1205" s="11" t="str">
        <f aca="false">IF(M1205&gt;=Assumptions!$B$17,"S+",IF(M1205&gt;=Assumptions!$B$18,"S",IF(M1205&gt;=Assumptions!$B$19,"A",IF(M1205&gt;=Assumptions!$B$20,"B",IF(M1205&gt;=Assumptions!$B$21,"C",IF(M1205&gt;=Assumptions!$B$22,"D","F"))))))</f>
        <v>F</v>
      </c>
      <c r="D1205" s="3" t="s">
        <v>228</v>
      </c>
      <c r="E1205" s="3" t="n">
        <v>1</v>
      </c>
      <c r="F1205" s="12" t="n">
        <v>0.5405</v>
      </c>
      <c r="G1205" s="12" t="n">
        <v>0.4</v>
      </c>
      <c r="H1205" s="12" t="n">
        <v>0.75</v>
      </c>
      <c r="I1205" s="12" t="n">
        <v>0.515</v>
      </c>
      <c r="J1205" s="12" t="n">
        <v>0.1971</v>
      </c>
      <c r="K1205" s="12" t="n">
        <v>0.3447</v>
      </c>
      <c r="L1205" s="3" t="n">
        <v>5.53</v>
      </c>
      <c r="M1205" s="12" t="n">
        <f aca="false">Z1205-W1205</f>
        <v>-0.125089</v>
      </c>
      <c r="N1205" s="12" t="n">
        <f aca="false">IFERROR((Z1205-J1205)/L1205,"")</f>
        <v>0.0266927667269439</v>
      </c>
      <c r="O1205" s="3" t="n">
        <v>19</v>
      </c>
      <c r="P1205" s="13" t="b">
        <f aca="false">FALSE()</f>
        <v>0</v>
      </c>
      <c r="Q1205" s="3" t="s">
        <v>166</v>
      </c>
      <c r="R1205" s="12" t="n">
        <v>0.5884</v>
      </c>
      <c r="S1205" s="12" t="n">
        <v>0.2798</v>
      </c>
      <c r="T1205" s="3" t="n">
        <v>0.1043</v>
      </c>
      <c r="U1205" s="12" t="n">
        <v>0.2146</v>
      </c>
      <c r="V1205" s="12" t="n">
        <v>0.4579</v>
      </c>
      <c r="W1205" s="12" t="n">
        <v>0.4698</v>
      </c>
      <c r="X1205" s="3" t="n">
        <v>0.1002</v>
      </c>
      <c r="Y1205" s="3" t="n">
        <v>0.4938</v>
      </c>
      <c r="Z1205" s="14" t="n">
        <f aca="false">Assumptions!$B$3*R1205+Assumptions!$B$4*S1205+IF(AA1205=1,Assumptions!$B$11,Assumptions!$B$5)*X1205+IF(AA1205=1,Assumptions!$B$12,Assumptions!$B$6)*T1205+Assumptions!$B$7*U1205+Assumptions!$B$8*V1205+Assumptions!$B$9*Y1205</f>
        <v>0.344711</v>
      </c>
      <c r="AA1205" s="3" t="n">
        <v>0</v>
      </c>
    </row>
    <row r="1206" customFormat="false" ht="15" hidden="false" customHeight="false" outlineLevel="0" collapsed="false">
      <c r="A1206" s="3" t="s">
        <v>1391</v>
      </c>
      <c r="B1206" s="3" t="n">
        <v>260</v>
      </c>
      <c r="C1206" s="11" t="str">
        <f aca="false">IF(M1206&gt;=Assumptions!$B$17,"S+",IF(M1206&gt;=Assumptions!$B$18,"S",IF(M1206&gt;=Assumptions!$B$19,"A",IF(M1206&gt;=Assumptions!$B$20,"B",IF(M1206&gt;=Assumptions!$B$21,"C",IF(M1206&gt;=Assumptions!$B$22,"D","F"))))))</f>
        <v>F</v>
      </c>
      <c r="D1206" s="3" t="s">
        <v>190</v>
      </c>
      <c r="E1206" s="3" t="n">
        <v>3</v>
      </c>
      <c r="F1206" s="12" t="n">
        <v>0.4649</v>
      </c>
      <c r="G1206" s="12" t="n">
        <v>0.6</v>
      </c>
      <c r="H1206" s="12" t="n">
        <v>0.75</v>
      </c>
      <c r="I1206" s="12" t="n">
        <v>0.5787</v>
      </c>
      <c r="J1206" s="12" t="n">
        <v>0.2076</v>
      </c>
      <c r="K1206" s="12" t="n">
        <v>0.3514</v>
      </c>
      <c r="L1206" s="3" t="n">
        <v>6.59</v>
      </c>
      <c r="M1206" s="12" t="n">
        <f aca="false">Z1206-W1206</f>
        <v>-0.125735</v>
      </c>
      <c r="N1206" s="12" t="n">
        <f aca="false">IFERROR((Z1206-J1206)/L1206,"")</f>
        <v>0.0218156297420334</v>
      </c>
      <c r="O1206" s="3" t="n">
        <v>17</v>
      </c>
      <c r="P1206" s="13" t="b">
        <f aca="false">FALSE()</f>
        <v>0</v>
      </c>
      <c r="Q1206" s="3" t="s">
        <v>166</v>
      </c>
      <c r="R1206" s="12" t="n">
        <v>0.5464</v>
      </c>
      <c r="S1206" s="12" t="n">
        <v>0.1592</v>
      </c>
      <c r="T1206" s="3" t="n">
        <v>0.2351</v>
      </c>
      <c r="U1206" s="12" t="n">
        <v>0.2263</v>
      </c>
      <c r="V1206" s="12" t="n">
        <v>0.4773</v>
      </c>
      <c r="W1206" s="12" t="n">
        <v>0.4771</v>
      </c>
      <c r="X1206" s="3" t="n">
        <v>0.1766</v>
      </c>
      <c r="Y1206" s="3" t="n">
        <v>0.5382</v>
      </c>
      <c r="Z1206" s="14" t="n">
        <f aca="false">Assumptions!$B$3*R1206+Assumptions!$B$4*S1206+IF(AA1206=1,Assumptions!$B$11,Assumptions!$B$5)*X1206+IF(AA1206=1,Assumptions!$B$12,Assumptions!$B$6)*T1206+Assumptions!$B$7*U1206+Assumptions!$B$8*V1206+Assumptions!$B$9*Y1206</f>
        <v>0.351365</v>
      </c>
      <c r="AA1206" s="3" t="n">
        <v>0</v>
      </c>
    </row>
    <row r="1207" customFormat="false" ht="15" hidden="false" customHeight="false" outlineLevel="0" collapsed="false">
      <c r="A1207" s="3" t="s">
        <v>1392</v>
      </c>
      <c r="B1207" s="3" t="n">
        <v>300</v>
      </c>
      <c r="C1207" s="11" t="str">
        <f aca="false">IF(M1207&gt;=Assumptions!$B$17,"S+",IF(M1207&gt;=Assumptions!$B$18,"S",IF(M1207&gt;=Assumptions!$B$19,"A",IF(M1207&gt;=Assumptions!$B$20,"B",IF(M1207&gt;=Assumptions!$B$21,"C",IF(M1207&gt;=Assumptions!$B$22,"D","F"))))))</f>
        <v>F</v>
      </c>
      <c r="D1207" s="3" t="s">
        <v>228</v>
      </c>
      <c r="E1207" s="3" t="n">
        <v>1</v>
      </c>
      <c r="F1207" s="12" t="n">
        <v>0.1816</v>
      </c>
      <c r="G1207" s="12" t="n">
        <v>0.2</v>
      </c>
      <c r="H1207" s="12" t="n">
        <v>0.75</v>
      </c>
      <c r="I1207" s="12" t="n">
        <v>0.3041</v>
      </c>
      <c r="J1207" s="12" t="n">
        <v>0.1872</v>
      </c>
      <c r="K1207" s="12" t="n">
        <v>0.2722</v>
      </c>
      <c r="L1207" s="3" t="n">
        <v>2.68</v>
      </c>
      <c r="M1207" s="12" t="n">
        <f aca="false">Z1207-W1207</f>
        <v>-0.12877</v>
      </c>
      <c r="N1207" s="12" t="n">
        <f aca="false">IFERROR((Z1207-J1207)/L1207,"")</f>
        <v>0.0317276119402985</v>
      </c>
      <c r="O1207" s="3" t="n">
        <v>19</v>
      </c>
      <c r="P1207" s="13" t="b">
        <f aca="false">FALSE()</f>
        <v>0</v>
      </c>
      <c r="Q1207" s="3" t="s">
        <v>166</v>
      </c>
      <c r="R1207" s="12" t="n">
        <v>0.4783</v>
      </c>
      <c r="S1207" s="12" t="n">
        <v>0.3512</v>
      </c>
      <c r="T1207" s="3" t="n">
        <v>0.1405</v>
      </c>
      <c r="U1207" s="12" t="n">
        <v>0</v>
      </c>
      <c r="V1207" s="12" t="n">
        <v>0.5176</v>
      </c>
      <c r="W1207" s="12" t="n">
        <v>0.401</v>
      </c>
      <c r="X1207" s="3" t="n">
        <v>0.0439</v>
      </c>
      <c r="Y1207" s="3" t="n">
        <v>0.221</v>
      </c>
      <c r="Z1207" s="14" t="n">
        <f aca="false">Assumptions!$B$3*R1207+Assumptions!$B$4*S1207+IF(AA1207=1,Assumptions!$B$11,Assumptions!$B$5)*X1207+IF(AA1207=1,Assumptions!$B$12,Assumptions!$B$6)*T1207+Assumptions!$B$7*U1207+Assumptions!$B$8*V1207+Assumptions!$B$9*Y1207</f>
        <v>0.27223</v>
      </c>
      <c r="AA1207" s="3" t="n">
        <v>1</v>
      </c>
    </row>
    <row r="1208" customFormat="false" ht="15" hidden="false" customHeight="false" outlineLevel="0" collapsed="false">
      <c r="A1208" s="3" t="s">
        <v>1393</v>
      </c>
      <c r="B1208" s="3" t="n">
        <v>270</v>
      </c>
      <c r="C1208" s="11" t="str">
        <f aca="false">IF(M1208&gt;=Assumptions!$B$17,"S+",IF(M1208&gt;=Assumptions!$B$18,"S",IF(M1208&gt;=Assumptions!$B$19,"A",IF(M1208&gt;=Assumptions!$B$20,"B",IF(M1208&gt;=Assumptions!$B$21,"C",IF(M1208&gt;=Assumptions!$B$22,"D","F"))))))</f>
        <v>F</v>
      </c>
      <c r="D1208" s="3" t="s">
        <v>173</v>
      </c>
      <c r="E1208" s="3" t="n">
        <v>1</v>
      </c>
      <c r="F1208" s="12" t="n">
        <v>0.4699</v>
      </c>
      <c r="G1208" s="12" t="n">
        <v>0.3</v>
      </c>
      <c r="H1208" s="12" t="n">
        <v>0.75</v>
      </c>
      <c r="I1208" s="12" t="n">
        <v>0.4206</v>
      </c>
      <c r="J1208" s="12" t="n">
        <v>0.1927</v>
      </c>
      <c r="K1208" s="12" t="n">
        <v>0.3394</v>
      </c>
      <c r="L1208" s="3" t="n">
        <v>5.24</v>
      </c>
      <c r="M1208" s="12" t="n">
        <f aca="false">Z1208-W1208</f>
        <v>-0.128918</v>
      </c>
      <c r="N1208" s="12" t="n">
        <f aca="false">IFERROR((Z1208-J1208)/L1208,"")</f>
        <v>0.027992748091603</v>
      </c>
      <c r="O1208" s="3" t="n">
        <v>19</v>
      </c>
      <c r="P1208" s="13" t="b">
        <f aca="false">FALSE()</f>
        <v>0</v>
      </c>
      <c r="Q1208" s="3" t="s">
        <v>166</v>
      </c>
      <c r="R1208" s="12" t="n">
        <v>0.4989</v>
      </c>
      <c r="S1208" s="12" t="n">
        <v>0.3903</v>
      </c>
      <c r="T1208" s="3" t="n">
        <v>0.225</v>
      </c>
      <c r="U1208" s="12" t="n">
        <v>0.1741</v>
      </c>
      <c r="V1208" s="12" t="n">
        <v>0.4579</v>
      </c>
      <c r="W1208" s="12" t="n">
        <v>0.4683</v>
      </c>
      <c r="X1208" s="3" t="n">
        <v>0.1731</v>
      </c>
      <c r="Y1208" s="3" t="n">
        <v>0.328</v>
      </c>
      <c r="Z1208" s="14" t="n">
        <f aca="false">Assumptions!$B$3*R1208+Assumptions!$B$4*S1208+IF(AA1208=1,Assumptions!$B$11,Assumptions!$B$5)*X1208+IF(AA1208=1,Assumptions!$B$12,Assumptions!$B$6)*T1208+Assumptions!$B$7*U1208+Assumptions!$B$8*V1208+Assumptions!$B$9*Y1208</f>
        <v>0.339382</v>
      </c>
      <c r="AA1208" s="3" t="n">
        <v>1</v>
      </c>
    </row>
    <row r="1209" customFormat="false" ht="15" hidden="false" customHeight="false" outlineLevel="0" collapsed="false">
      <c r="A1209" s="3" t="s">
        <v>1394</v>
      </c>
      <c r="B1209" s="3" t="n">
        <v>284</v>
      </c>
      <c r="C1209" s="11" t="str">
        <f aca="false">IF(M1209&gt;=Assumptions!$B$17,"S+",IF(M1209&gt;=Assumptions!$B$18,"S",IF(M1209&gt;=Assumptions!$B$19,"A",IF(M1209&gt;=Assumptions!$B$20,"B",IF(M1209&gt;=Assumptions!$B$21,"C",IF(M1209&gt;=Assumptions!$B$22,"D","F"))))))</f>
        <v>F</v>
      </c>
      <c r="D1209" s="3" t="s">
        <v>218</v>
      </c>
      <c r="E1209" s="3" t="n">
        <v>1</v>
      </c>
      <c r="F1209" s="12" t="n">
        <v>0.5738</v>
      </c>
      <c r="G1209" s="12" t="n">
        <v>0.4</v>
      </c>
      <c r="H1209" s="12" t="n">
        <v>0.75</v>
      </c>
      <c r="I1209" s="12" t="n">
        <v>0.5256</v>
      </c>
      <c r="J1209" s="12" t="n">
        <v>0.265</v>
      </c>
      <c r="K1209" s="12" t="n">
        <v>0.3937</v>
      </c>
      <c r="L1209" s="3" t="n">
        <v>6.39</v>
      </c>
      <c r="M1209" s="12" t="n">
        <f aca="false">Z1209-W1209</f>
        <v>-0.128989</v>
      </c>
      <c r="N1209" s="12" t="n">
        <f aca="false">IFERROR((Z1209-J1209)/L1209,"")</f>
        <v>0.0201425665101721</v>
      </c>
      <c r="O1209" s="3" t="n">
        <v>19</v>
      </c>
      <c r="P1209" s="13" t="b">
        <f aca="false">FALSE()</f>
        <v>0</v>
      </c>
      <c r="Q1209" s="3" t="s">
        <v>166</v>
      </c>
      <c r="R1209" s="12" t="n">
        <v>0.6253</v>
      </c>
      <c r="S1209" s="12" t="n">
        <v>0.309</v>
      </c>
      <c r="T1209" s="3" t="n">
        <v>0.1996</v>
      </c>
      <c r="U1209" s="12" t="n">
        <v>0.336</v>
      </c>
      <c r="V1209" s="12" t="n">
        <v>0.4905</v>
      </c>
      <c r="W1209" s="12" t="n">
        <v>0.5227</v>
      </c>
      <c r="X1209" s="3" t="n">
        <v>0.1541</v>
      </c>
      <c r="Y1209" s="3" t="n">
        <v>0.4862</v>
      </c>
      <c r="Z1209" s="14" t="n">
        <f aca="false">Assumptions!$B$3*R1209+Assumptions!$B$4*S1209+IF(AA1209=1,Assumptions!$B$11,Assumptions!$B$5)*X1209+IF(AA1209=1,Assumptions!$B$12,Assumptions!$B$6)*T1209+Assumptions!$B$7*U1209+Assumptions!$B$8*V1209+Assumptions!$B$9*Y1209</f>
        <v>0.393711</v>
      </c>
      <c r="AA1209" s="3" t="n">
        <v>0</v>
      </c>
    </row>
    <row r="1210" customFormat="false" ht="15" hidden="false" customHeight="false" outlineLevel="0" collapsed="false">
      <c r="A1210" s="3" t="s">
        <v>1395</v>
      </c>
      <c r="B1210" s="3" t="n">
        <v>270</v>
      </c>
      <c r="C1210" s="11" t="str">
        <f aca="false">IF(M1210&gt;=Assumptions!$B$17,"S+",IF(M1210&gt;=Assumptions!$B$18,"S",IF(M1210&gt;=Assumptions!$B$19,"A",IF(M1210&gt;=Assumptions!$B$20,"B",IF(M1210&gt;=Assumptions!$B$21,"C",IF(M1210&gt;=Assumptions!$B$22,"D","F"))))))</f>
        <v>F</v>
      </c>
      <c r="D1210" s="3" t="s">
        <v>203</v>
      </c>
      <c r="E1210" s="3" t="n">
        <v>1</v>
      </c>
      <c r="F1210" s="12" t="n">
        <v>0.632</v>
      </c>
      <c r="G1210" s="12" t="n">
        <v>0.4</v>
      </c>
      <c r="H1210" s="12" t="n">
        <v>0.75</v>
      </c>
      <c r="I1210" s="12" t="n">
        <v>0.5396</v>
      </c>
      <c r="J1210" s="12" t="n">
        <v>0.2286</v>
      </c>
      <c r="K1210" s="12" t="n">
        <v>0.3559</v>
      </c>
      <c r="L1210" s="3" t="n">
        <v>5.21</v>
      </c>
      <c r="M1210" s="12" t="n">
        <f aca="false">Z1210-W1210</f>
        <v>-0.129949</v>
      </c>
      <c r="N1210" s="12" t="n">
        <f aca="false">IFERROR((Z1210-J1210)/L1210,"")</f>
        <v>0.0244243761996161</v>
      </c>
      <c r="O1210" s="3" t="n">
        <v>19</v>
      </c>
      <c r="P1210" s="13" t="b">
        <f aca="false">FALSE()</f>
        <v>0</v>
      </c>
      <c r="Q1210" s="3" t="s">
        <v>166</v>
      </c>
      <c r="R1210" s="12" t="n">
        <v>0.4939</v>
      </c>
      <c r="S1210" s="12" t="n">
        <v>0.1867</v>
      </c>
      <c r="T1210" s="3" t="n">
        <v>0.4564</v>
      </c>
      <c r="U1210" s="12" t="n">
        <v>0.1903</v>
      </c>
      <c r="V1210" s="12" t="n">
        <v>0.5656</v>
      </c>
      <c r="W1210" s="12" t="n">
        <v>0.4858</v>
      </c>
      <c r="X1210" s="3" t="n">
        <v>0.0553</v>
      </c>
      <c r="Y1210" s="3" t="n">
        <v>0.5457</v>
      </c>
      <c r="Z1210" s="14" t="n">
        <f aca="false">Assumptions!$B$3*R1210+Assumptions!$B$4*S1210+IF(AA1210=1,Assumptions!$B$11,Assumptions!$B$5)*X1210+IF(AA1210=1,Assumptions!$B$12,Assumptions!$B$6)*T1210+Assumptions!$B$7*U1210+Assumptions!$B$8*V1210+Assumptions!$B$9*Y1210</f>
        <v>0.355851</v>
      </c>
      <c r="AA1210" s="3" t="n">
        <v>0</v>
      </c>
    </row>
    <row r="1211" customFormat="false" ht="15" hidden="false" customHeight="false" outlineLevel="0" collapsed="false">
      <c r="A1211" s="3" t="s">
        <v>1396</v>
      </c>
      <c r="B1211" s="3" t="n">
        <v>309</v>
      </c>
      <c r="C1211" s="11" t="str">
        <f aca="false">IF(M1211&gt;=Assumptions!$B$17,"S+",IF(M1211&gt;=Assumptions!$B$18,"S",IF(M1211&gt;=Assumptions!$B$19,"A",IF(M1211&gt;=Assumptions!$B$20,"B",IF(M1211&gt;=Assumptions!$B$21,"C",IF(M1211&gt;=Assumptions!$B$22,"D","F"))))))</f>
        <v>F</v>
      </c>
      <c r="D1211" s="3" t="s">
        <v>253</v>
      </c>
      <c r="E1211" s="3" t="n">
        <v>1</v>
      </c>
      <c r="F1211" s="12" t="n">
        <v>0.505</v>
      </c>
      <c r="G1211" s="12" t="n">
        <v>0.6</v>
      </c>
      <c r="H1211" s="12" t="n">
        <v>0.75</v>
      </c>
      <c r="I1211" s="12" t="n">
        <v>0.5996</v>
      </c>
      <c r="J1211" s="12" t="n">
        <v>0.2728</v>
      </c>
      <c r="K1211" s="12" t="n">
        <v>0.4004</v>
      </c>
      <c r="L1211" s="3" t="n">
        <v>5.39</v>
      </c>
      <c r="M1211" s="12" t="n">
        <f aca="false">Z1211-W1211</f>
        <v>-0.131297</v>
      </c>
      <c r="N1211" s="12" t="n">
        <f aca="false">IFERROR((Z1211-J1211)/L1211,"")</f>
        <v>0.023674025974026</v>
      </c>
      <c r="O1211" s="3" t="n">
        <v>19</v>
      </c>
      <c r="P1211" s="13" t="b">
        <f aca="false">FALSE()</f>
        <v>0</v>
      </c>
      <c r="Q1211" s="3" t="s">
        <v>166</v>
      </c>
      <c r="R1211" s="12" t="n">
        <v>0.6189</v>
      </c>
      <c r="S1211" s="12" t="n">
        <v>0.2745</v>
      </c>
      <c r="T1211" s="3" t="n">
        <v>0.3499</v>
      </c>
      <c r="U1211" s="12" t="n">
        <v>0.2105</v>
      </c>
      <c r="V1211" s="12" t="n">
        <v>0.4614</v>
      </c>
      <c r="W1211" s="12" t="n">
        <v>0.5317</v>
      </c>
      <c r="X1211" s="3" t="n">
        <v>0.1632</v>
      </c>
      <c r="Y1211" s="3" t="n">
        <v>0.5841</v>
      </c>
      <c r="Z1211" s="14" t="n">
        <f aca="false">Assumptions!$B$3*R1211+Assumptions!$B$4*S1211+IF(AA1211=1,Assumptions!$B$11,Assumptions!$B$5)*X1211+IF(AA1211=1,Assumptions!$B$12,Assumptions!$B$6)*T1211+Assumptions!$B$7*U1211+Assumptions!$B$8*V1211+Assumptions!$B$9*Y1211</f>
        <v>0.400403</v>
      </c>
      <c r="AA1211" s="3" t="n">
        <v>0</v>
      </c>
    </row>
    <row r="1212" customFormat="false" ht="15" hidden="false" customHeight="false" outlineLevel="0" collapsed="false">
      <c r="A1212" s="3" t="s">
        <v>1397</v>
      </c>
      <c r="B1212" s="3" t="n">
        <v>255</v>
      </c>
      <c r="C1212" s="11" t="str">
        <f aca="false">IF(M1212&gt;=Assumptions!$B$17,"S+",IF(M1212&gt;=Assumptions!$B$18,"S",IF(M1212&gt;=Assumptions!$B$19,"A",IF(M1212&gt;=Assumptions!$B$20,"B",IF(M1212&gt;=Assumptions!$B$21,"C",IF(M1212&gt;=Assumptions!$B$22,"D","F"))))))</f>
        <v>F</v>
      </c>
      <c r="D1212" s="3" t="s">
        <v>218</v>
      </c>
      <c r="E1212" s="3" t="n">
        <v>1</v>
      </c>
      <c r="F1212" s="12" t="n">
        <v>0.4685</v>
      </c>
      <c r="G1212" s="12" t="n">
        <v>0.8</v>
      </c>
      <c r="H1212" s="12" t="n">
        <v>0.75</v>
      </c>
      <c r="I1212" s="12" t="n">
        <v>0.6839</v>
      </c>
      <c r="J1212" s="12" t="n">
        <v>0.2577</v>
      </c>
      <c r="K1212" s="12" t="n">
        <v>0.3865</v>
      </c>
      <c r="L1212" s="3" t="n">
        <v>5.61</v>
      </c>
      <c r="M1212" s="12" t="n">
        <f aca="false">Z1212-W1212</f>
        <v>-0.131543</v>
      </c>
      <c r="N1212" s="12" t="n">
        <f aca="false">IFERROR((Z1212-J1212)/L1212,"")</f>
        <v>0.0229513368983957</v>
      </c>
      <c r="O1212" s="3" t="n">
        <v>19</v>
      </c>
      <c r="P1212" s="13" t="b">
        <f aca="false">FALSE()</f>
        <v>0</v>
      </c>
      <c r="Q1212" s="3" t="s">
        <v>166</v>
      </c>
      <c r="R1212" s="12" t="n">
        <v>0.6958</v>
      </c>
      <c r="S1212" s="12" t="n">
        <v>0.2212</v>
      </c>
      <c r="T1212" s="3" t="n">
        <v>0.2076</v>
      </c>
      <c r="U1212" s="12" t="n">
        <v>0.2105</v>
      </c>
      <c r="V1212" s="12" t="n">
        <v>0.4579</v>
      </c>
      <c r="W1212" s="12" t="n">
        <v>0.518</v>
      </c>
      <c r="X1212" s="3" t="n">
        <v>0.1218</v>
      </c>
      <c r="Y1212" s="3" t="n">
        <v>0.5655</v>
      </c>
      <c r="Z1212" s="14" t="n">
        <f aca="false">Assumptions!$B$3*R1212+Assumptions!$B$4*S1212+IF(AA1212=1,Assumptions!$B$11,Assumptions!$B$5)*X1212+IF(AA1212=1,Assumptions!$B$12,Assumptions!$B$6)*T1212+Assumptions!$B$7*U1212+Assumptions!$B$8*V1212+Assumptions!$B$9*Y1212</f>
        <v>0.386457</v>
      </c>
      <c r="AA1212" s="3" t="n">
        <v>0</v>
      </c>
    </row>
    <row r="1213" customFormat="false" ht="15" hidden="false" customHeight="false" outlineLevel="0" collapsed="false">
      <c r="A1213" s="3" t="s">
        <v>1398</v>
      </c>
      <c r="B1213" s="3" t="n">
        <v>315</v>
      </c>
      <c r="C1213" s="11" t="str">
        <f aca="false">IF(M1213&gt;=Assumptions!$B$17,"S+",IF(M1213&gt;=Assumptions!$B$18,"S",IF(M1213&gt;=Assumptions!$B$19,"A",IF(M1213&gt;=Assumptions!$B$20,"B",IF(M1213&gt;=Assumptions!$B$21,"C",IF(M1213&gt;=Assumptions!$B$22,"D","F"))))))</f>
        <v>F</v>
      </c>
      <c r="D1213" s="3" t="s">
        <v>218</v>
      </c>
      <c r="E1213" s="3" t="n">
        <v>1</v>
      </c>
      <c r="F1213" s="12" t="n">
        <v>0.6689</v>
      </c>
      <c r="G1213" s="12" t="n">
        <v>0.4</v>
      </c>
      <c r="H1213" s="12" t="n">
        <v>0.75</v>
      </c>
      <c r="I1213" s="12" t="n">
        <v>0.556</v>
      </c>
      <c r="J1213" s="12" t="n">
        <v>0.2393</v>
      </c>
      <c r="K1213" s="12" t="n">
        <v>0.3859</v>
      </c>
      <c r="L1213" s="3" t="n">
        <v>5.61</v>
      </c>
      <c r="M1213" s="12" t="n">
        <f aca="false">Z1213-W1213</f>
        <v>-0.134134</v>
      </c>
      <c r="N1213" s="12" t="n">
        <f aca="false">IFERROR((Z1213-J1213)/L1213,"")</f>
        <v>0.0261258467023173</v>
      </c>
      <c r="O1213" s="3" t="n">
        <v>19</v>
      </c>
      <c r="P1213" s="13" t="b">
        <f aca="false">FALSE()</f>
        <v>0</v>
      </c>
      <c r="Q1213" s="3" t="s">
        <v>166</v>
      </c>
      <c r="R1213" s="12" t="n">
        <v>0.6815</v>
      </c>
      <c r="S1213" s="12" t="n">
        <v>0.2819</v>
      </c>
      <c r="T1213" s="3" t="n">
        <v>0.3113</v>
      </c>
      <c r="U1213" s="12" t="n">
        <v>0.1984</v>
      </c>
      <c r="V1213" s="12" t="n">
        <v>0.4707</v>
      </c>
      <c r="W1213" s="12" t="n">
        <v>0.52</v>
      </c>
      <c r="X1213" s="3" t="n">
        <v>0.0918</v>
      </c>
      <c r="Y1213" s="3" t="n">
        <v>0.4273</v>
      </c>
      <c r="Z1213" s="14" t="n">
        <f aca="false">Assumptions!$B$3*R1213+Assumptions!$B$4*S1213+IF(AA1213=1,Assumptions!$B$11,Assumptions!$B$5)*X1213+IF(AA1213=1,Assumptions!$B$12,Assumptions!$B$6)*T1213+Assumptions!$B$7*U1213+Assumptions!$B$8*V1213+Assumptions!$B$9*Y1213</f>
        <v>0.385866</v>
      </c>
      <c r="AA1213" s="3" t="n">
        <v>0</v>
      </c>
    </row>
    <row r="1214" customFormat="false" ht="15" hidden="false" customHeight="false" outlineLevel="0" collapsed="false">
      <c r="A1214" s="3" t="s">
        <v>1399</v>
      </c>
      <c r="B1214" s="3" t="n">
        <v>220</v>
      </c>
      <c r="C1214" s="11" t="str">
        <f aca="false">IF(M1214&gt;=Assumptions!$B$17,"S+",IF(M1214&gt;=Assumptions!$B$18,"S",IF(M1214&gt;=Assumptions!$B$19,"A",IF(M1214&gt;=Assumptions!$B$20,"B",IF(M1214&gt;=Assumptions!$B$21,"C",IF(M1214&gt;=Assumptions!$B$22,"D","F"))))))</f>
        <v>F</v>
      </c>
      <c r="D1214" s="3" t="s">
        <v>190</v>
      </c>
      <c r="E1214" s="3" t="n">
        <v>1</v>
      </c>
      <c r="F1214" s="12" t="n">
        <v>0.4643</v>
      </c>
      <c r="G1214" s="12" t="n">
        <v>0.8</v>
      </c>
      <c r="H1214" s="12" t="n">
        <v>0.75</v>
      </c>
      <c r="I1214" s="12" t="n">
        <v>0.6624</v>
      </c>
      <c r="J1214" s="12" t="n">
        <v>0.2338</v>
      </c>
      <c r="K1214" s="12" t="n">
        <v>0.3623</v>
      </c>
      <c r="L1214" s="3" t="n">
        <v>6.45</v>
      </c>
      <c r="M1214" s="12" t="n">
        <f aca="false">Z1214-W1214</f>
        <v>-0.138954</v>
      </c>
      <c r="N1214" s="12" t="n">
        <f aca="false">IFERROR((Z1214-J1214)/L1214,"")</f>
        <v>0.0199141085271318</v>
      </c>
      <c r="O1214" s="3" t="n">
        <v>19</v>
      </c>
      <c r="P1214" s="13" t="b">
        <f aca="false">FALSE()</f>
        <v>0</v>
      </c>
      <c r="Q1214" s="3" t="s">
        <v>166</v>
      </c>
      <c r="R1214" s="12" t="n">
        <v>0.6633</v>
      </c>
      <c r="S1214" s="12" t="n">
        <v>0.1673</v>
      </c>
      <c r="T1214" s="3" t="n">
        <v>0.1544</v>
      </c>
      <c r="U1214" s="12" t="n">
        <v>0.2389</v>
      </c>
      <c r="V1214" s="12" t="n">
        <v>0.4557</v>
      </c>
      <c r="W1214" s="12" t="n">
        <v>0.5012</v>
      </c>
      <c r="X1214" s="3" t="n">
        <v>0.0663</v>
      </c>
      <c r="Y1214" s="3" t="n">
        <v>0.6154</v>
      </c>
      <c r="Z1214" s="14" t="n">
        <f aca="false">Assumptions!$B$3*R1214+Assumptions!$B$4*S1214+IF(AA1214=1,Assumptions!$B$11,Assumptions!$B$5)*X1214+IF(AA1214=1,Assumptions!$B$12,Assumptions!$B$6)*T1214+Assumptions!$B$7*U1214+Assumptions!$B$8*V1214+Assumptions!$B$9*Y1214</f>
        <v>0.362246</v>
      </c>
      <c r="AA1214" s="3" t="n">
        <v>0</v>
      </c>
    </row>
    <row r="1215" customFormat="false" ht="15" hidden="false" customHeight="false" outlineLevel="0" collapsed="false">
      <c r="A1215" s="3" t="s">
        <v>1400</v>
      </c>
      <c r="B1215" s="3" t="n">
        <v>384</v>
      </c>
      <c r="C1215" s="11" t="str">
        <f aca="false">IF(M1215&gt;=Assumptions!$B$17,"S+",IF(M1215&gt;=Assumptions!$B$18,"S",IF(M1215&gt;=Assumptions!$B$19,"A",IF(M1215&gt;=Assumptions!$B$20,"B",IF(M1215&gt;=Assumptions!$B$21,"C",IF(M1215&gt;=Assumptions!$B$22,"D","F"))))))</f>
        <v>F</v>
      </c>
      <c r="D1215" s="3" t="s">
        <v>203</v>
      </c>
      <c r="E1215" s="3" t="n">
        <v>4</v>
      </c>
      <c r="F1215" s="12" t="n">
        <v>0.7255</v>
      </c>
      <c r="G1215" s="12" t="n">
        <v>0</v>
      </c>
      <c r="H1215" s="12" t="n">
        <v>0.75</v>
      </c>
      <c r="I1215" s="12" t="n">
        <v>0.3676</v>
      </c>
      <c r="J1215" s="12" t="n">
        <v>0.2632</v>
      </c>
      <c r="K1215" s="12" t="n">
        <v>0.3295</v>
      </c>
      <c r="L1215" s="3" t="n">
        <v>2.44</v>
      </c>
      <c r="M1215" s="12" t="n">
        <f aca="false">Z1215-W1215</f>
        <v>-0.143588</v>
      </c>
      <c r="N1215" s="12" t="n">
        <f aca="false">IFERROR((Z1215-J1215)/L1215,"")</f>
        <v>0.0271770491803279</v>
      </c>
      <c r="O1215" s="3" t="n">
        <v>16</v>
      </c>
      <c r="P1215" s="13" t="b">
        <f aca="false">FALSE()</f>
        <v>0</v>
      </c>
      <c r="Q1215" s="3" t="s">
        <v>201</v>
      </c>
      <c r="R1215" s="12" t="n">
        <v>0.5805</v>
      </c>
      <c r="S1215" s="12" t="n">
        <v>0.2147</v>
      </c>
      <c r="T1215" s="3" t="n">
        <v>0.4611</v>
      </c>
      <c r="U1215" s="12" t="n">
        <v>0</v>
      </c>
      <c r="V1215" s="12" t="n">
        <v>0.4651</v>
      </c>
      <c r="W1215" s="12" t="n">
        <v>0.4731</v>
      </c>
      <c r="X1215" s="3" t="n">
        <v>0.0174</v>
      </c>
      <c r="Y1215" s="3" t="n">
        <v>0.371</v>
      </c>
      <c r="Z1215" s="14" t="n">
        <f aca="false">Assumptions!$B$3*R1215+Assumptions!$B$4*S1215+IF(AA1215=1,Assumptions!$B$11,Assumptions!$B$5)*X1215+IF(AA1215=1,Assumptions!$B$12,Assumptions!$B$6)*T1215+Assumptions!$B$7*U1215+Assumptions!$B$8*V1215+Assumptions!$B$9*Y1215</f>
        <v>0.329512</v>
      </c>
      <c r="AA1215" s="3" t="n">
        <v>0</v>
      </c>
    </row>
    <row r="1216" customFormat="false" ht="15" hidden="false" customHeight="false" outlineLevel="0" collapsed="false">
      <c r="A1216" s="3" t="s">
        <v>1401</v>
      </c>
      <c r="B1216" s="3" t="n">
        <v>384</v>
      </c>
      <c r="C1216" s="11" t="str">
        <f aca="false">IF(M1216&gt;=Assumptions!$B$17,"S+",IF(M1216&gt;=Assumptions!$B$18,"S",IF(M1216&gt;=Assumptions!$B$19,"A",IF(M1216&gt;=Assumptions!$B$20,"B",IF(M1216&gt;=Assumptions!$B$21,"C",IF(M1216&gt;=Assumptions!$B$22,"D","F"))))))</f>
        <v>F</v>
      </c>
      <c r="D1216" s="3" t="s">
        <v>203</v>
      </c>
      <c r="E1216" s="3" t="n">
        <v>4</v>
      </c>
      <c r="F1216" s="12" t="n">
        <v>0.7255</v>
      </c>
      <c r="G1216" s="12" t="n">
        <v>0</v>
      </c>
      <c r="H1216" s="12" t="n">
        <v>0.75</v>
      </c>
      <c r="I1216" s="12" t="n">
        <v>0.3676</v>
      </c>
      <c r="J1216" s="12" t="n">
        <v>0.2632</v>
      </c>
      <c r="K1216" s="12" t="n">
        <v>0.3295</v>
      </c>
      <c r="L1216" s="3" t="n">
        <v>2.44</v>
      </c>
      <c r="M1216" s="12" t="n">
        <f aca="false">Z1216-W1216</f>
        <v>-0.143588</v>
      </c>
      <c r="N1216" s="12" t="n">
        <f aca="false">IFERROR((Z1216-J1216)/L1216,"")</f>
        <v>0.0271770491803279</v>
      </c>
      <c r="O1216" s="3" t="n">
        <v>16</v>
      </c>
      <c r="P1216" s="13" t="b">
        <f aca="false">FALSE()</f>
        <v>0</v>
      </c>
      <c r="Q1216" s="3" t="s">
        <v>201</v>
      </c>
      <c r="R1216" s="12" t="n">
        <v>0.5805</v>
      </c>
      <c r="S1216" s="12" t="n">
        <v>0.2147</v>
      </c>
      <c r="T1216" s="3" t="n">
        <v>0.4611</v>
      </c>
      <c r="U1216" s="12" t="n">
        <v>0</v>
      </c>
      <c r="V1216" s="12" t="n">
        <v>0.4651</v>
      </c>
      <c r="W1216" s="12" t="n">
        <v>0.4731</v>
      </c>
      <c r="X1216" s="3" t="n">
        <v>0.0174</v>
      </c>
      <c r="Y1216" s="3" t="n">
        <v>0.371</v>
      </c>
      <c r="Z1216" s="14" t="n">
        <f aca="false">Assumptions!$B$3*R1216+Assumptions!$B$4*S1216+IF(AA1216=1,Assumptions!$B$11,Assumptions!$B$5)*X1216+IF(AA1216=1,Assumptions!$B$12,Assumptions!$B$6)*T1216+Assumptions!$B$7*U1216+Assumptions!$B$8*V1216+Assumptions!$B$9*Y1216</f>
        <v>0.329512</v>
      </c>
      <c r="AA1216" s="3" t="n">
        <v>0</v>
      </c>
    </row>
    <row r="1217" customFormat="false" ht="15" hidden="false" customHeight="false" outlineLevel="0" collapsed="false">
      <c r="A1217" s="3" t="s">
        <v>1402</v>
      </c>
      <c r="B1217" s="3" t="n">
        <v>384</v>
      </c>
      <c r="C1217" s="11" t="str">
        <f aca="false">IF(M1217&gt;=Assumptions!$B$17,"S+",IF(M1217&gt;=Assumptions!$B$18,"S",IF(M1217&gt;=Assumptions!$B$19,"A",IF(M1217&gt;=Assumptions!$B$20,"B",IF(M1217&gt;=Assumptions!$B$21,"C",IF(M1217&gt;=Assumptions!$B$22,"D","F"))))))</f>
        <v>F</v>
      </c>
      <c r="D1217" s="3" t="s">
        <v>203</v>
      </c>
      <c r="E1217" s="3" t="n">
        <v>4</v>
      </c>
      <c r="F1217" s="12" t="n">
        <v>0.7255</v>
      </c>
      <c r="G1217" s="12" t="n">
        <v>0</v>
      </c>
      <c r="H1217" s="12" t="n">
        <v>0.75</v>
      </c>
      <c r="I1217" s="12" t="n">
        <v>0.3676</v>
      </c>
      <c r="J1217" s="12" t="n">
        <v>0.2632</v>
      </c>
      <c r="K1217" s="12" t="n">
        <v>0.3295</v>
      </c>
      <c r="L1217" s="3" t="n">
        <v>2.44</v>
      </c>
      <c r="M1217" s="12" t="n">
        <f aca="false">Z1217-W1217</f>
        <v>-0.143588</v>
      </c>
      <c r="N1217" s="12" t="n">
        <f aca="false">IFERROR((Z1217-J1217)/L1217,"")</f>
        <v>0.0271770491803279</v>
      </c>
      <c r="O1217" s="3" t="n">
        <v>16</v>
      </c>
      <c r="P1217" s="13" t="b">
        <f aca="false">FALSE()</f>
        <v>0</v>
      </c>
      <c r="Q1217" s="3" t="s">
        <v>201</v>
      </c>
      <c r="R1217" s="12" t="n">
        <v>0.5805</v>
      </c>
      <c r="S1217" s="12" t="n">
        <v>0.2147</v>
      </c>
      <c r="T1217" s="3" t="n">
        <v>0.4611</v>
      </c>
      <c r="U1217" s="12" t="n">
        <v>0</v>
      </c>
      <c r="V1217" s="12" t="n">
        <v>0.4651</v>
      </c>
      <c r="W1217" s="12" t="n">
        <v>0.4731</v>
      </c>
      <c r="X1217" s="3" t="n">
        <v>0.0174</v>
      </c>
      <c r="Y1217" s="3" t="n">
        <v>0.371</v>
      </c>
      <c r="Z1217" s="14" t="n">
        <f aca="false">Assumptions!$B$3*R1217+Assumptions!$B$4*S1217+IF(AA1217=1,Assumptions!$B$11,Assumptions!$B$5)*X1217+IF(AA1217=1,Assumptions!$B$12,Assumptions!$B$6)*T1217+Assumptions!$B$7*U1217+Assumptions!$B$8*V1217+Assumptions!$B$9*Y1217</f>
        <v>0.329512</v>
      </c>
      <c r="AA1217" s="3" t="n">
        <v>0</v>
      </c>
    </row>
    <row r="1218" customFormat="false" ht="15" hidden="false" customHeight="false" outlineLevel="0" collapsed="false">
      <c r="A1218" s="3" t="s">
        <v>1403</v>
      </c>
      <c r="B1218" s="3" t="n">
        <v>384</v>
      </c>
      <c r="C1218" s="11" t="str">
        <f aca="false">IF(M1218&gt;=Assumptions!$B$17,"S+",IF(M1218&gt;=Assumptions!$B$18,"S",IF(M1218&gt;=Assumptions!$B$19,"A",IF(M1218&gt;=Assumptions!$B$20,"B",IF(M1218&gt;=Assumptions!$B$21,"C",IF(M1218&gt;=Assumptions!$B$22,"D","F"))))))</f>
        <v>F</v>
      </c>
      <c r="D1218" s="3" t="s">
        <v>203</v>
      </c>
      <c r="E1218" s="3" t="n">
        <v>4</v>
      </c>
      <c r="F1218" s="12" t="n">
        <v>0.7255</v>
      </c>
      <c r="G1218" s="12" t="n">
        <v>0</v>
      </c>
      <c r="H1218" s="12" t="n">
        <v>0.75</v>
      </c>
      <c r="I1218" s="12" t="n">
        <v>0.3676</v>
      </c>
      <c r="J1218" s="12" t="n">
        <v>0.2632</v>
      </c>
      <c r="K1218" s="12" t="n">
        <v>0.3295</v>
      </c>
      <c r="L1218" s="3" t="n">
        <v>2.44</v>
      </c>
      <c r="M1218" s="12" t="n">
        <f aca="false">Z1218-W1218</f>
        <v>-0.143588</v>
      </c>
      <c r="N1218" s="12" t="n">
        <f aca="false">IFERROR((Z1218-J1218)/L1218,"")</f>
        <v>0.0271770491803279</v>
      </c>
      <c r="O1218" s="3" t="n">
        <v>16</v>
      </c>
      <c r="P1218" s="13" t="b">
        <f aca="false">FALSE()</f>
        <v>0</v>
      </c>
      <c r="Q1218" s="3" t="s">
        <v>201</v>
      </c>
      <c r="R1218" s="12" t="n">
        <v>0.5805</v>
      </c>
      <c r="S1218" s="12" t="n">
        <v>0.2147</v>
      </c>
      <c r="T1218" s="3" t="n">
        <v>0.4611</v>
      </c>
      <c r="U1218" s="12" t="n">
        <v>0</v>
      </c>
      <c r="V1218" s="12" t="n">
        <v>0.4651</v>
      </c>
      <c r="W1218" s="12" t="n">
        <v>0.4731</v>
      </c>
      <c r="X1218" s="3" t="n">
        <v>0.0174</v>
      </c>
      <c r="Y1218" s="3" t="n">
        <v>0.371</v>
      </c>
      <c r="Z1218" s="14" t="n">
        <f aca="false">Assumptions!$B$3*R1218+Assumptions!$B$4*S1218+IF(AA1218=1,Assumptions!$B$11,Assumptions!$B$5)*X1218+IF(AA1218=1,Assumptions!$B$12,Assumptions!$B$6)*T1218+Assumptions!$B$7*U1218+Assumptions!$B$8*V1218+Assumptions!$B$9*Y1218</f>
        <v>0.329512</v>
      </c>
      <c r="AA1218" s="3" t="n">
        <v>0</v>
      </c>
    </row>
    <row r="1219" customFormat="false" ht="15" hidden="false" customHeight="false" outlineLevel="0" collapsed="false">
      <c r="A1219" s="3" t="s">
        <v>1404</v>
      </c>
      <c r="B1219" s="3" t="n">
        <v>384</v>
      </c>
      <c r="C1219" s="11" t="str">
        <f aca="false">IF(M1219&gt;=Assumptions!$B$17,"S+",IF(M1219&gt;=Assumptions!$B$18,"S",IF(M1219&gt;=Assumptions!$B$19,"A",IF(M1219&gt;=Assumptions!$B$20,"B",IF(M1219&gt;=Assumptions!$B$21,"C",IF(M1219&gt;=Assumptions!$B$22,"D","F"))))))</f>
        <v>F</v>
      </c>
      <c r="D1219" s="3" t="s">
        <v>203</v>
      </c>
      <c r="E1219" s="3" t="n">
        <v>4</v>
      </c>
      <c r="F1219" s="12" t="n">
        <v>0.7255</v>
      </c>
      <c r="G1219" s="12" t="n">
        <v>0</v>
      </c>
      <c r="H1219" s="12" t="n">
        <v>0.75</v>
      </c>
      <c r="I1219" s="12" t="n">
        <v>0.3676</v>
      </c>
      <c r="J1219" s="12" t="n">
        <v>0.2632</v>
      </c>
      <c r="K1219" s="12" t="n">
        <v>0.3295</v>
      </c>
      <c r="L1219" s="3" t="n">
        <v>2.44</v>
      </c>
      <c r="M1219" s="12" t="n">
        <f aca="false">Z1219-W1219</f>
        <v>-0.143588</v>
      </c>
      <c r="N1219" s="12" t="n">
        <f aca="false">IFERROR((Z1219-J1219)/L1219,"")</f>
        <v>0.0271770491803279</v>
      </c>
      <c r="O1219" s="3" t="n">
        <v>16</v>
      </c>
      <c r="P1219" s="13" t="b">
        <f aca="false">FALSE()</f>
        <v>0</v>
      </c>
      <c r="Q1219" s="3" t="s">
        <v>201</v>
      </c>
      <c r="R1219" s="12" t="n">
        <v>0.5805</v>
      </c>
      <c r="S1219" s="12" t="n">
        <v>0.2147</v>
      </c>
      <c r="T1219" s="3" t="n">
        <v>0.4611</v>
      </c>
      <c r="U1219" s="12" t="n">
        <v>0</v>
      </c>
      <c r="V1219" s="12" t="n">
        <v>0.4651</v>
      </c>
      <c r="W1219" s="12" t="n">
        <v>0.4731</v>
      </c>
      <c r="X1219" s="3" t="n">
        <v>0.0174</v>
      </c>
      <c r="Y1219" s="3" t="n">
        <v>0.371</v>
      </c>
      <c r="Z1219" s="14" t="n">
        <f aca="false">Assumptions!$B$3*R1219+Assumptions!$B$4*S1219+IF(AA1219=1,Assumptions!$B$11,Assumptions!$B$5)*X1219+IF(AA1219=1,Assumptions!$B$12,Assumptions!$B$6)*T1219+Assumptions!$B$7*U1219+Assumptions!$B$8*V1219+Assumptions!$B$9*Y1219</f>
        <v>0.329512</v>
      </c>
      <c r="AA1219" s="3" t="n">
        <v>0</v>
      </c>
    </row>
    <row r="1220" customFormat="false" ht="15" hidden="false" customHeight="false" outlineLevel="0" collapsed="false">
      <c r="A1220" s="3" t="s">
        <v>1405</v>
      </c>
      <c r="B1220" s="3" t="n">
        <v>384</v>
      </c>
      <c r="C1220" s="11" t="str">
        <f aca="false">IF(M1220&gt;=Assumptions!$B$17,"S+",IF(M1220&gt;=Assumptions!$B$18,"S",IF(M1220&gt;=Assumptions!$B$19,"A",IF(M1220&gt;=Assumptions!$B$20,"B",IF(M1220&gt;=Assumptions!$B$21,"C",IF(M1220&gt;=Assumptions!$B$22,"D","F"))))))</f>
        <v>F</v>
      </c>
      <c r="D1220" s="3" t="s">
        <v>203</v>
      </c>
      <c r="E1220" s="3" t="n">
        <v>4</v>
      </c>
      <c r="F1220" s="12" t="n">
        <v>0.7255</v>
      </c>
      <c r="G1220" s="12" t="n">
        <v>0</v>
      </c>
      <c r="H1220" s="12" t="n">
        <v>0.75</v>
      </c>
      <c r="I1220" s="12" t="n">
        <v>0.3676</v>
      </c>
      <c r="J1220" s="12" t="n">
        <v>0.2632</v>
      </c>
      <c r="K1220" s="12" t="n">
        <v>0.3295</v>
      </c>
      <c r="L1220" s="3" t="n">
        <v>2.44</v>
      </c>
      <c r="M1220" s="12" t="n">
        <f aca="false">Z1220-W1220</f>
        <v>-0.143588</v>
      </c>
      <c r="N1220" s="12" t="n">
        <f aca="false">IFERROR((Z1220-J1220)/L1220,"")</f>
        <v>0.0271770491803279</v>
      </c>
      <c r="O1220" s="3" t="n">
        <v>16</v>
      </c>
      <c r="P1220" s="13" t="b">
        <f aca="false">FALSE()</f>
        <v>0</v>
      </c>
      <c r="Q1220" s="3" t="s">
        <v>201</v>
      </c>
      <c r="R1220" s="12" t="n">
        <v>0.5805</v>
      </c>
      <c r="S1220" s="12" t="n">
        <v>0.2147</v>
      </c>
      <c r="T1220" s="3" t="n">
        <v>0.4611</v>
      </c>
      <c r="U1220" s="12" t="n">
        <v>0</v>
      </c>
      <c r="V1220" s="12" t="n">
        <v>0.4651</v>
      </c>
      <c r="W1220" s="12" t="n">
        <v>0.4731</v>
      </c>
      <c r="X1220" s="3" t="n">
        <v>0.0174</v>
      </c>
      <c r="Y1220" s="3" t="n">
        <v>0.371</v>
      </c>
      <c r="Z1220" s="14" t="n">
        <f aca="false">Assumptions!$B$3*R1220+Assumptions!$B$4*S1220+IF(AA1220=1,Assumptions!$B$11,Assumptions!$B$5)*X1220+IF(AA1220=1,Assumptions!$B$12,Assumptions!$B$6)*T1220+Assumptions!$B$7*U1220+Assumptions!$B$8*V1220+Assumptions!$B$9*Y1220</f>
        <v>0.329512</v>
      </c>
      <c r="AA1220" s="3" t="n">
        <v>0</v>
      </c>
    </row>
    <row r="1221" customFormat="false" ht="15" hidden="false" customHeight="false" outlineLevel="0" collapsed="false">
      <c r="A1221" s="3" t="s">
        <v>1406</v>
      </c>
      <c r="B1221" s="3" t="n">
        <v>384</v>
      </c>
      <c r="C1221" s="11" t="str">
        <f aca="false">IF(M1221&gt;=Assumptions!$B$17,"S+",IF(M1221&gt;=Assumptions!$B$18,"S",IF(M1221&gt;=Assumptions!$B$19,"A",IF(M1221&gt;=Assumptions!$B$20,"B",IF(M1221&gt;=Assumptions!$B$21,"C",IF(M1221&gt;=Assumptions!$B$22,"D","F"))))))</f>
        <v>F</v>
      </c>
      <c r="D1221" s="3" t="s">
        <v>203</v>
      </c>
      <c r="E1221" s="3" t="n">
        <v>4</v>
      </c>
      <c r="F1221" s="12" t="n">
        <v>0.7255</v>
      </c>
      <c r="G1221" s="12" t="n">
        <v>0</v>
      </c>
      <c r="H1221" s="12" t="n">
        <v>0.75</v>
      </c>
      <c r="I1221" s="12" t="n">
        <v>0.3676</v>
      </c>
      <c r="J1221" s="12" t="n">
        <v>0.2632</v>
      </c>
      <c r="K1221" s="12" t="n">
        <v>0.3295</v>
      </c>
      <c r="L1221" s="3" t="n">
        <v>2.44</v>
      </c>
      <c r="M1221" s="12" t="n">
        <f aca="false">Z1221-W1221</f>
        <v>-0.143588</v>
      </c>
      <c r="N1221" s="12" t="n">
        <f aca="false">IFERROR((Z1221-J1221)/L1221,"")</f>
        <v>0.0271770491803279</v>
      </c>
      <c r="O1221" s="3" t="n">
        <v>16</v>
      </c>
      <c r="P1221" s="13" t="b">
        <f aca="false">FALSE()</f>
        <v>0</v>
      </c>
      <c r="Q1221" s="3" t="s">
        <v>201</v>
      </c>
      <c r="R1221" s="12" t="n">
        <v>0.5805</v>
      </c>
      <c r="S1221" s="12" t="n">
        <v>0.2147</v>
      </c>
      <c r="T1221" s="3" t="n">
        <v>0.4611</v>
      </c>
      <c r="U1221" s="12" t="n">
        <v>0</v>
      </c>
      <c r="V1221" s="12" t="n">
        <v>0.4651</v>
      </c>
      <c r="W1221" s="12" t="n">
        <v>0.4731</v>
      </c>
      <c r="X1221" s="3" t="n">
        <v>0.0174</v>
      </c>
      <c r="Y1221" s="3" t="n">
        <v>0.371</v>
      </c>
      <c r="Z1221" s="14" t="n">
        <f aca="false">Assumptions!$B$3*R1221+Assumptions!$B$4*S1221+IF(AA1221=1,Assumptions!$B$11,Assumptions!$B$5)*X1221+IF(AA1221=1,Assumptions!$B$12,Assumptions!$B$6)*T1221+Assumptions!$B$7*U1221+Assumptions!$B$8*V1221+Assumptions!$B$9*Y1221</f>
        <v>0.329512</v>
      </c>
      <c r="AA1221" s="3" t="n">
        <v>0</v>
      </c>
    </row>
    <row r="1222" customFormat="false" ht="15" hidden="false" customHeight="false" outlineLevel="0" collapsed="false">
      <c r="A1222" s="3" t="s">
        <v>1407</v>
      </c>
      <c r="B1222" s="3" t="n">
        <v>384</v>
      </c>
      <c r="C1222" s="11" t="str">
        <f aca="false">IF(M1222&gt;=Assumptions!$B$17,"S+",IF(M1222&gt;=Assumptions!$B$18,"S",IF(M1222&gt;=Assumptions!$B$19,"A",IF(M1222&gt;=Assumptions!$B$20,"B",IF(M1222&gt;=Assumptions!$B$21,"C",IF(M1222&gt;=Assumptions!$B$22,"D","F"))))))</f>
        <v>F</v>
      </c>
      <c r="D1222" s="3" t="s">
        <v>203</v>
      </c>
      <c r="E1222" s="3" t="n">
        <v>4</v>
      </c>
      <c r="F1222" s="12" t="n">
        <v>0.7255</v>
      </c>
      <c r="G1222" s="12" t="n">
        <v>0</v>
      </c>
      <c r="H1222" s="12" t="n">
        <v>0.75</v>
      </c>
      <c r="I1222" s="12" t="n">
        <v>0.3676</v>
      </c>
      <c r="J1222" s="12" t="n">
        <v>0.2632</v>
      </c>
      <c r="K1222" s="12" t="n">
        <v>0.3295</v>
      </c>
      <c r="L1222" s="3" t="n">
        <v>2.44</v>
      </c>
      <c r="M1222" s="12" t="n">
        <f aca="false">Z1222-W1222</f>
        <v>-0.143588</v>
      </c>
      <c r="N1222" s="12" t="n">
        <f aca="false">IFERROR((Z1222-J1222)/L1222,"")</f>
        <v>0.0271770491803279</v>
      </c>
      <c r="O1222" s="3" t="n">
        <v>16</v>
      </c>
      <c r="P1222" s="13" t="b">
        <f aca="false">FALSE()</f>
        <v>0</v>
      </c>
      <c r="Q1222" s="3" t="s">
        <v>166</v>
      </c>
      <c r="R1222" s="12" t="n">
        <v>0.5805</v>
      </c>
      <c r="S1222" s="12" t="n">
        <v>0.2147</v>
      </c>
      <c r="T1222" s="3" t="n">
        <v>0.4611</v>
      </c>
      <c r="U1222" s="12" t="n">
        <v>0</v>
      </c>
      <c r="V1222" s="12" t="n">
        <v>0.4651</v>
      </c>
      <c r="W1222" s="12" t="n">
        <v>0.4731</v>
      </c>
      <c r="X1222" s="3" t="n">
        <v>0.0174</v>
      </c>
      <c r="Y1222" s="3" t="n">
        <v>0.371</v>
      </c>
      <c r="Z1222" s="14" t="n">
        <f aca="false">Assumptions!$B$3*R1222+Assumptions!$B$4*S1222+IF(AA1222=1,Assumptions!$B$11,Assumptions!$B$5)*X1222+IF(AA1222=1,Assumptions!$B$12,Assumptions!$B$6)*T1222+Assumptions!$B$7*U1222+Assumptions!$B$8*V1222+Assumptions!$B$9*Y1222</f>
        <v>0.329512</v>
      </c>
      <c r="AA1222" s="3" t="n">
        <v>0</v>
      </c>
    </row>
    <row r="1223" customFormat="false" ht="15" hidden="false" customHeight="false" outlineLevel="0" collapsed="false">
      <c r="A1223" s="3" t="s">
        <v>1408</v>
      </c>
      <c r="B1223" s="3" t="n">
        <v>384</v>
      </c>
      <c r="C1223" s="11" t="str">
        <f aca="false">IF(M1223&gt;=Assumptions!$B$17,"S+",IF(M1223&gt;=Assumptions!$B$18,"S",IF(M1223&gt;=Assumptions!$B$19,"A",IF(M1223&gt;=Assumptions!$B$20,"B",IF(M1223&gt;=Assumptions!$B$21,"C",IF(M1223&gt;=Assumptions!$B$22,"D","F"))))))</f>
        <v>F</v>
      </c>
      <c r="D1223" s="3" t="s">
        <v>203</v>
      </c>
      <c r="E1223" s="3" t="n">
        <v>4</v>
      </c>
      <c r="F1223" s="12" t="n">
        <v>0.7255</v>
      </c>
      <c r="G1223" s="12" t="n">
        <v>0</v>
      </c>
      <c r="H1223" s="12" t="n">
        <v>0.75</v>
      </c>
      <c r="I1223" s="12" t="n">
        <v>0.3676</v>
      </c>
      <c r="J1223" s="12" t="n">
        <v>0.2632</v>
      </c>
      <c r="K1223" s="12" t="n">
        <v>0.3295</v>
      </c>
      <c r="L1223" s="3" t="n">
        <v>2.44</v>
      </c>
      <c r="M1223" s="12" t="n">
        <f aca="false">Z1223-W1223</f>
        <v>-0.143588</v>
      </c>
      <c r="N1223" s="12" t="n">
        <f aca="false">IFERROR((Z1223-J1223)/L1223,"")</f>
        <v>0.0271770491803279</v>
      </c>
      <c r="O1223" s="3" t="n">
        <v>16</v>
      </c>
      <c r="P1223" s="13" t="b">
        <f aca="false">FALSE()</f>
        <v>0</v>
      </c>
      <c r="Q1223" s="3" t="s">
        <v>201</v>
      </c>
      <c r="R1223" s="12" t="n">
        <v>0.5805</v>
      </c>
      <c r="S1223" s="12" t="n">
        <v>0.2147</v>
      </c>
      <c r="T1223" s="3" t="n">
        <v>0.4611</v>
      </c>
      <c r="U1223" s="12" t="n">
        <v>0</v>
      </c>
      <c r="V1223" s="12" t="n">
        <v>0.4651</v>
      </c>
      <c r="W1223" s="12" t="n">
        <v>0.4731</v>
      </c>
      <c r="X1223" s="3" t="n">
        <v>0.0174</v>
      </c>
      <c r="Y1223" s="3" t="n">
        <v>0.371</v>
      </c>
      <c r="Z1223" s="14" t="n">
        <f aca="false">Assumptions!$B$3*R1223+Assumptions!$B$4*S1223+IF(AA1223=1,Assumptions!$B$11,Assumptions!$B$5)*X1223+IF(AA1223=1,Assumptions!$B$12,Assumptions!$B$6)*T1223+Assumptions!$B$7*U1223+Assumptions!$B$8*V1223+Assumptions!$B$9*Y1223</f>
        <v>0.329512</v>
      </c>
      <c r="AA1223" s="3" t="n">
        <v>0</v>
      </c>
    </row>
    <row r="1224" customFormat="false" ht="15" hidden="false" customHeight="false" outlineLevel="0" collapsed="false">
      <c r="A1224" s="3" t="s">
        <v>1409</v>
      </c>
      <c r="B1224" s="3" t="n">
        <v>384</v>
      </c>
      <c r="C1224" s="11" t="str">
        <f aca="false">IF(M1224&gt;=Assumptions!$B$17,"S+",IF(M1224&gt;=Assumptions!$B$18,"S",IF(M1224&gt;=Assumptions!$B$19,"A",IF(M1224&gt;=Assumptions!$B$20,"B",IF(M1224&gt;=Assumptions!$B$21,"C",IF(M1224&gt;=Assumptions!$B$22,"D","F"))))))</f>
        <v>F</v>
      </c>
      <c r="D1224" s="3" t="s">
        <v>203</v>
      </c>
      <c r="E1224" s="3" t="n">
        <v>4</v>
      </c>
      <c r="F1224" s="12" t="n">
        <v>0.7255</v>
      </c>
      <c r="G1224" s="12" t="n">
        <v>0</v>
      </c>
      <c r="H1224" s="12" t="n">
        <v>0.75</v>
      </c>
      <c r="I1224" s="12" t="n">
        <v>0.3676</v>
      </c>
      <c r="J1224" s="12" t="n">
        <v>0.2632</v>
      </c>
      <c r="K1224" s="12" t="n">
        <v>0.3295</v>
      </c>
      <c r="L1224" s="3" t="n">
        <v>2.44</v>
      </c>
      <c r="M1224" s="12" t="n">
        <f aca="false">Z1224-W1224</f>
        <v>-0.143588</v>
      </c>
      <c r="N1224" s="12" t="n">
        <f aca="false">IFERROR((Z1224-J1224)/L1224,"")</f>
        <v>0.0271770491803279</v>
      </c>
      <c r="O1224" s="3" t="n">
        <v>16</v>
      </c>
      <c r="P1224" s="13" t="b">
        <f aca="false">FALSE()</f>
        <v>0</v>
      </c>
      <c r="Q1224" s="3" t="s">
        <v>201</v>
      </c>
      <c r="R1224" s="12" t="n">
        <v>0.5805</v>
      </c>
      <c r="S1224" s="12" t="n">
        <v>0.2147</v>
      </c>
      <c r="T1224" s="3" t="n">
        <v>0.4611</v>
      </c>
      <c r="U1224" s="12" t="n">
        <v>0</v>
      </c>
      <c r="V1224" s="12" t="n">
        <v>0.4651</v>
      </c>
      <c r="W1224" s="12" t="n">
        <v>0.4731</v>
      </c>
      <c r="X1224" s="3" t="n">
        <v>0.0174</v>
      </c>
      <c r="Y1224" s="3" t="n">
        <v>0.371</v>
      </c>
      <c r="Z1224" s="14" t="n">
        <f aca="false">Assumptions!$B$3*R1224+Assumptions!$B$4*S1224+IF(AA1224=1,Assumptions!$B$11,Assumptions!$B$5)*X1224+IF(AA1224=1,Assumptions!$B$12,Assumptions!$B$6)*T1224+Assumptions!$B$7*U1224+Assumptions!$B$8*V1224+Assumptions!$B$9*Y1224</f>
        <v>0.329512</v>
      </c>
      <c r="AA1224" s="3" t="n">
        <v>0</v>
      </c>
    </row>
    <row r="1225" customFormat="false" ht="15" hidden="false" customHeight="false" outlineLevel="0" collapsed="false">
      <c r="A1225" s="3" t="s">
        <v>1410</v>
      </c>
      <c r="B1225" s="3" t="n">
        <v>384</v>
      </c>
      <c r="C1225" s="11" t="str">
        <f aca="false">IF(M1225&gt;=Assumptions!$B$17,"S+",IF(M1225&gt;=Assumptions!$B$18,"S",IF(M1225&gt;=Assumptions!$B$19,"A",IF(M1225&gt;=Assumptions!$B$20,"B",IF(M1225&gt;=Assumptions!$B$21,"C",IF(M1225&gt;=Assumptions!$B$22,"D","F"))))))</f>
        <v>F</v>
      </c>
      <c r="D1225" s="3" t="s">
        <v>203</v>
      </c>
      <c r="E1225" s="3" t="n">
        <v>4</v>
      </c>
      <c r="F1225" s="12" t="n">
        <v>0.7255</v>
      </c>
      <c r="G1225" s="12" t="n">
        <v>0</v>
      </c>
      <c r="H1225" s="12" t="n">
        <v>0.75</v>
      </c>
      <c r="I1225" s="12" t="n">
        <v>0.3676</v>
      </c>
      <c r="J1225" s="12" t="n">
        <v>0.2632</v>
      </c>
      <c r="K1225" s="12" t="n">
        <v>0.3295</v>
      </c>
      <c r="L1225" s="3" t="n">
        <v>2.44</v>
      </c>
      <c r="M1225" s="12" t="n">
        <f aca="false">Z1225-W1225</f>
        <v>-0.143588</v>
      </c>
      <c r="N1225" s="12" t="n">
        <f aca="false">IFERROR((Z1225-J1225)/L1225,"")</f>
        <v>0.0271770491803279</v>
      </c>
      <c r="O1225" s="3" t="n">
        <v>16</v>
      </c>
      <c r="P1225" s="13" t="b">
        <f aca="false">FALSE()</f>
        <v>0</v>
      </c>
      <c r="Q1225" s="3" t="s">
        <v>201</v>
      </c>
      <c r="R1225" s="12" t="n">
        <v>0.5805</v>
      </c>
      <c r="S1225" s="12" t="n">
        <v>0.2147</v>
      </c>
      <c r="T1225" s="3" t="n">
        <v>0.4611</v>
      </c>
      <c r="U1225" s="12" t="n">
        <v>0</v>
      </c>
      <c r="V1225" s="12" t="n">
        <v>0.4651</v>
      </c>
      <c r="W1225" s="12" t="n">
        <v>0.4731</v>
      </c>
      <c r="X1225" s="3" t="n">
        <v>0.0174</v>
      </c>
      <c r="Y1225" s="3" t="n">
        <v>0.371</v>
      </c>
      <c r="Z1225" s="14" t="n">
        <f aca="false">Assumptions!$B$3*R1225+Assumptions!$B$4*S1225+IF(AA1225=1,Assumptions!$B$11,Assumptions!$B$5)*X1225+IF(AA1225=1,Assumptions!$B$12,Assumptions!$B$6)*T1225+Assumptions!$B$7*U1225+Assumptions!$B$8*V1225+Assumptions!$B$9*Y1225</f>
        <v>0.329512</v>
      </c>
      <c r="AA1225" s="3" t="n">
        <v>0</v>
      </c>
    </row>
    <row r="1226" customFormat="false" ht="15" hidden="false" customHeight="false" outlineLevel="0" collapsed="false">
      <c r="A1226" s="3" t="s">
        <v>1411</v>
      </c>
      <c r="B1226" s="3" t="n">
        <v>384</v>
      </c>
      <c r="C1226" s="11" t="str">
        <f aca="false">IF(M1226&gt;=Assumptions!$B$17,"S+",IF(M1226&gt;=Assumptions!$B$18,"S",IF(M1226&gt;=Assumptions!$B$19,"A",IF(M1226&gt;=Assumptions!$B$20,"B",IF(M1226&gt;=Assumptions!$B$21,"C",IF(M1226&gt;=Assumptions!$B$22,"D","F"))))))</f>
        <v>F</v>
      </c>
      <c r="D1226" s="3" t="s">
        <v>203</v>
      </c>
      <c r="E1226" s="3" t="n">
        <v>4</v>
      </c>
      <c r="F1226" s="12" t="n">
        <v>0.7255</v>
      </c>
      <c r="G1226" s="12" t="n">
        <v>0</v>
      </c>
      <c r="H1226" s="12" t="n">
        <v>0.75</v>
      </c>
      <c r="I1226" s="12" t="n">
        <v>0.3676</v>
      </c>
      <c r="J1226" s="12" t="n">
        <v>0.2632</v>
      </c>
      <c r="K1226" s="12" t="n">
        <v>0.3295</v>
      </c>
      <c r="L1226" s="3" t="n">
        <v>2.44</v>
      </c>
      <c r="M1226" s="12" t="n">
        <f aca="false">Z1226-W1226</f>
        <v>-0.143588</v>
      </c>
      <c r="N1226" s="12" t="n">
        <f aca="false">IFERROR((Z1226-J1226)/L1226,"")</f>
        <v>0.0271770491803279</v>
      </c>
      <c r="O1226" s="3" t="n">
        <v>16</v>
      </c>
      <c r="P1226" s="13" t="b">
        <f aca="false">FALSE()</f>
        <v>0</v>
      </c>
      <c r="Q1226" s="3" t="s">
        <v>201</v>
      </c>
      <c r="R1226" s="12" t="n">
        <v>0.5805</v>
      </c>
      <c r="S1226" s="12" t="n">
        <v>0.2147</v>
      </c>
      <c r="T1226" s="3" t="n">
        <v>0.4611</v>
      </c>
      <c r="U1226" s="12" t="n">
        <v>0</v>
      </c>
      <c r="V1226" s="12" t="n">
        <v>0.4651</v>
      </c>
      <c r="W1226" s="12" t="n">
        <v>0.4731</v>
      </c>
      <c r="X1226" s="3" t="n">
        <v>0.0174</v>
      </c>
      <c r="Y1226" s="3" t="n">
        <v>0.371</v>
      </c>
      <c r="Z1226" s="14" t="n">
        <f aca="false">Assumptions!$B$3*R1226+Assumptions!$B$4*S1226+IF(AA1226=1,Assumptions!$B$11,Assumptions!$B$5)*X1226+IF(AA1226=1,Assumptions!$B$12,Assumptions!$B$6)*T1226+Assumptions!$B$7*U1226+Assumptions!$B$8*V1226+Assumptions!$B$9*Y1226</f>
        <v>0.329512</v>
      </c>
      <c r="AA1226" s="3" t="n">
        <v>0</v>
      </c>
    </row>
    <row r="1227" customFormat="false" ht="15" hidden="false" customHeight="false" outlineLevel="0" collapsed="false">
      <c r="A1227" s="3" t="s">
        <v>1412</v>
      </c>
      <c r="B1227" s="3" t="n">
        <v>384</v>
      </c>
      <c r="C1227" s="11" t="str">
        <f aca="false">IF(M1227&gt;=Assumptions!$B$17,"S+",IF(M1227&gt;=Assumptions!$B$18,"S",IF(M1227&gt;=Assumptions!$B$19,"A",IF(M1227&gt;=Assumptions!$B$20,"B",IF(M1227&gt;=Assumptions!$B$21,"C",IF(M1227&gt;=Assumptions!$B$22,"D","F"))))))</f>
        <v>F</v>
      </c>
      <c r="D1227" s="3" t="s">
        <v>203</v>
      </c>
      <c r="E1227" s="3" t="n">
        <v>4</v>
      </c>
      <c r="F1227" s="12" t="n">
        <v>0.7255</v>
      </c>
      <c r="G1227" s="12" t="n">
        <v>0</v>
      </c>
      <c r="H1227" s="12" t="n">
        <v>0.75</v>
      </c>
      <c r="I1227" s="12" t="n">
        <v>0.3676</v>
      </c>
      <c r="J1227" s="12" t="n">
        <v>0.2632</v>
      </c>
      <c r="K1227" s="12" t="n">
        <v>0.3295</v>
      </c>
      <c r="L1227" s="3" t="n">
        <v>2.44</v>
      </c>
      <c r="M1227" s="12" t="n">
        <f aca="false">Z1227-W1227</f>
        <v>-0.143588</v>
      </c>
      <c r="N1227" s="12" t="n">
        <f aca="false">IFERROR((Z1227-J1227)/L1227,"")</f>
        <v>0.0271770491803279</v>
      </c>
      <c r="O1227" s="3" t="n">
        <v>16</v>
      </c>
      <c r="P1227" s="13" t="b">
        <f aca="false">FALSE()</f>
        <v>0</v>
      </c>
      <c r="Q1227" s="3" t="s">
        <v>201</v>
      </c>
      <c r="R1227" s="12" t="n">
        <v>0.5805</v>
      </c>
      <c r="S1227" s="12" t="n">
        <v>0.2147</v>
      </c>
      <c r="T1227" s="3" t="n">
        <v>0.4611</v>
      </c>
      <c r="U1227" s="12" t="n">
        <v>0</v>
      </c>
      <c r="V1227" s="12" t="n">
        <v>0.4651</v>
      </c>
      <c r="W1227" s="12" t="n">
        <v>0.4731</v>
      </c>
      <c r="X1227" s="3" t="n">
        <v>0.0174</v>
      </c>
      <c r="Y1227" s="3" t="n">
        <v>0.371</v>
      </c>
      <c r="Z1227" s="14" t="n">
        <f aca="false">Assumptions!$B$3*R1227+Assumptions!$B$4*S1227+IF(AA1227=1,Assumptions!$B$11,Assumptions!$B$5)*X1227+IF(AA1227=1,Assumptions!$B$12,Assumptions!$B$6)*T1227+Assumptions!$B$7*U1227+Assumptions!$B$8*V1227+Assumptions!$B$9*Y1227</f>
        <v>0.329512</v>
      </c>
      <c r="AA1227" s="3" t="n">
        <v>0</v>
      </c>
    </row>
    <row r="1228" customFormat="false" ht="15" hidden="false" customHeight="false" outlineLevel="0" collapsed="false">
      <c r="A1228" s="3" t="s">
        <v>1413</v>
      </c>
      <c r="B1228" s="3" t="n">
        <v>384</v>
      </c>
      <c r="C1228" s="11" t="str">
        <f aca="false">IF(M1228&gt;=Assumptions!$B$17,"S+",IF(M1228&gt;=Assumptions!$B$18,"S",IF(M1228&gt;=Assumptions!$B$19,"A",IF(M1228&gt;=Assumptions!$B$20,"B",IF(M1228&gt;=Assumptions!$B$21,"C",IF(M1228&gt;=Assumptions!$B$22,"D","F"))))))</f>
        <v>F</v>
      </c>
      <c r="D1228" s="3" t="s">
        <v>203</v>
      </c>
      <c r="E1228" s="3" t="n">
        <v>4</v>
      </c>
      <c r="F1228" s="12" t="n">
        <v>0.7255</v>
      </c>
      <c r="G1228" s="12" t="n">
        <v>0</v>
      </c>
      <c r="H1228" s="12" t="n">
        <v>0.75</v>
      </c>
      <c r="I1228" s="12" t="n">
        <v>0.3676</v>
      </c>
      <c r="J1228" s="12" t="n">
        <v>0.2632</v>
      </c>
      <c r="K1228" s="12" t="n">
        <v>0.3295</v>
      </c>
      <c r="L1228" s="3" t="n">
        <v>2.44</v>
      </c>
      <c r="M1228" s="12" t="n">
        <f aca="false">Z1228-W1228</f>
        <v>-0.143588</v>
      </c>
      <c r="N1228" s="12" t="n">
        <f aca="false">IFERROR((Z1228-J1228)/L1228,"")</f>
        <v>0.0271770491803279</v>
      </c>
      <c r="O1228" s="3" t="n">
        <v>16</v>
      </c>
      <c r="P1228" s="13" t="b">
        <f aca="false">FALSE()</f>
        <v>0</v>
      </c>
      <c r="Q1228" s="3" t="s">
        <v>201</v>
      </c>
      <c r="R1228" s="12" t="n">
        <v>0.5805</v>
      </c>
      <c r="S1228" s="12" t="n">
        <v>0.2147</v>
      </c>
      <c r="T1228" s="3" t="n">
        <v>0.4611</v>
      </c>
      <c r="U1228" s="12" t="n">
        <v>0</v>
      </c>
      <c r="V1228" s="12" t="n">
        <v>0.4651</v>
      </c>
      <c r="W1228" s="12" t="n">
        <v>0.4731</v>
      </c>
      <c r="X1228" s="3" t="n">
        <v>0.0174</v>
      </c>
      <c r="Y1228" s="3" t="n">
        <v>0.371</v>
      </c>
      <c r="Z1228" s="14" t="n">
        <f aca="false">Assumptions!$B$3*R1228+Assumptions!$B$4*S1228+IF(AA1228=1,Assumptions!$B$11,Assumptions!$B$5)*X1228+IF(AA1228=1,Assumptions!$B$12,Assumptions!$B$6)*T1228+Assumptions!$B$7*U1228+Assumptions!$B$8*V1228+Assumptions!$B$9*Y1228</f>
        <v>0.329512</v>
      </c>
      <c r="AA1228" s="3" t="n">
        <v>0</v>
      </c>
    </row>
    <row r="1229" customFormat="false" ht="15" hidden="false" customHeight="false" outlineLevel="0" collapsed="false">
      <c r="A1229" s="3" t="s">
        <v>1414</v>
      </c>
      <c r="B1229" s="3" t="n">
        <v>384</v>
      </c>
      <c r="C1229" s="11" t="str">
        <f aca="false">IF(M1229&gt;=Assumptions!$B$17,"S+",IF(M1229&gt;=Assumptions!$B$18,"S",IF(M1229&gt;=Assumptions!$B$19,"A",IF(M1229&gt;=Assumptions!$B$20,"B",IF(M1229&gt;=Assumptions!$B$21,"C",IF(M1229&gt;=Assumptions!$B$22,"D","F"))))))</f>
        <v>F</v>
      </c>
      <c r="D1229" s="3" t="s">
        <v>203</v>
      </c>
      <c r="E1229" s="3" t="n">
        <v>4</v>
      </c>
      <c r="F1229" s="12" t="n">
        <v>0.7255</v>
      </c>
      <c r="G1229" s="12" t="n">
        <v>0</v>
      </c>
      <c r="H1229" s="12" t="n">
        <v>0.75</v>
      </c>
      <c r="I1229" s="12" t="n">
        <v>0.3676</v>
      </c>
      <c r="J1229" s="12" t="n">
        <v>0.2632</v>
      </c>
      <c r="K1229" s="12" t="n">
        <v>0.3295</v>
      </c>
      <c r="L1229" s="3" t="n">
        <v>2.44</v>
      </c>
      <c r="M1229" s="12" t="n">
        <f aca="false">Z1229-W1229</f>
        <v>-0.143588</v>
      </c>
      <c r="N1229" s="12" t="n">
        <f aca="false">IFERROR((Z1229-J1229)/L1229,"")</f>
        <v>0.0271770491803279</v>
      </c>
      <c r="O1229" s="3" t="n">
        <v>16</v>
      </c>
      <c r="P1229" s="13" t="b">
        <f aca="false">FALSE()</f>
        <v>0</v>
      </c>
      <c r="Q1229" s="3" t="s">
        <v>201</v>
      </c>
      <c r="R1229" s="12" t="n">
        <v>0.5805</v>
      </c>
      <c r="S1229" s="12" t="n">
        <v>0.2147</v>
      </c>
      <c r="T1229" s="3" t="n">
        <v>0.4611</v>
      </c>
      <c r="U1229" s="12" t="n">
        <v>0</v>
      </c>
      <c r="V1229" s="12" t="n">
        <v>0.4651</v>
      </c>
      <c r="W1229" s="12" t="n">
        <v>0.4731</v>
      </c>
      <c r="X1229" s="3" t="n">
        <v>0.0174</v>
      </c>
      <c r="Y1229" s="3" t="n">
        <v>0.371</v>
      </c>
      <c r="Z1229" s="14" t="n">
        <f aca="false">Assumptions!$B$3*R1229+Assumptions!$B$4*S1229+IF(AA1229=1,Assumptions!$B$11,Assumptions!$B$5)*X1229+IF(AA1229=1,Assumptions!$B$12,Assumptions!$B$6)*T1229+Assumptions!$B$7*U1229+Assumptions!$B$8*V1229+Assumptions!$B$9*Y1229</f>
        <v>0.329512</v>
      </c>
      <c r="AA1229" s="3" t="n">
        <v>0</v>
      </c>
    </row>
    <row r="1230" customFormat="false" ht="15" hidden="false" customHeight="false" outlineLevel="0" collapsed="false">
      <c r="A1230" s="3" t="s">
        <v>1415</v>
      </c>
      <c r="B1230" s="3" t="n">
        <v>384</v>
      </c>
      <c r="C1230" s="11" t="str">
        <f aca="false">IF(M1230&gt;=Assumptions!$B$17,"S+",IF(M1230&gt;=Assumptions!$B$18,"S",IF(M1230&gt;=Assumptions!$B$19,"A",IF(M1230&gt;=Assumptions!$B$20,"B",IF(M1230&gt;=Assumptions!$B$21,"C",IF(M1230&gt;=Assumptions!$B$22,"D","F"))))))</f>
        <v>F</v>
      </c>
      <c r="D1230" s="3" t="s">
        <v>203</v>
      </c>
      <c r="E1230" s="3" t="n">
        <v>4</v>
      </c>
      <c r="F1230" s="12" t="n">
        <v>0.7255</v>
      </c>
      <c r="G1230" s="12" t="n">
        <v>0</v>
      </c>
      <c r="H1230" s="12" t="n">
        <v>0.75</v>
      </c>
      <c r="I1230" s="12" t="n">
        <v>0.3676</v>
      </c>
      <c r="J1230" s="12" t="n">
        <v>0.2632</v>
      </c>
      <c r="K1230" s="12" t="n">
        <v>0.3295</v>
      </c>
      <c r="L1230" s="3" t="n">
        <v>2.44</v>
      </c>
      <c r="M1230" s="12" t="n">
        <f aca="false">Z1230-W1230</f>
        <v>-0.143588</v>
      </c>
      <c r="N1230" s="12" t="n">
        <f aca="false">IFERROR((Z1230-J1230)/L1230,"")</f>
        <v>0.0271770491803279</v>
      </c>
      <c r="O1230" s="3" t="n">
        <v>16</v>
      </c>
      <c r="P1230" s="13" t="b">
        <f aca="false">FALSE()</f>
        <v>0</v>
      </c>
      <c r="Q1230" s="3" t="s">
        <v>201</v>
      </c>
      <c r="R1230" s="12" t="n">
        <v>0.5805</v>
      </c>
      <c r="S1230" s="12" t="n">
        <v>0.2147</v>
      </c>
      <c r="T1230" s="3" t="n">
        <v>0.4611</v>
      </c>
      <c r="U1230" s="12" t="n">
        <v>0</v>
      </c>
      <c r="V1230" s="12" t="n">
        <v>0.4651</v>
      </c>
      <c r="W1230" s="12" t="n">
        <v>0.4731</v>
      </c>
      <c r="X1230" s="3" t="n">
        <v>0.0174</v>
      </c>
      <c r="Y1230" s="3" t="n">
        <v>0.371</v>
      </c>
      <c r="Z1230" s="14" t="n">
        <f aca="false">Assumptions!$B$3*R1230+Assumptions!$B$4*S1230+IF(AA1230=1,Assumptions!$B$11,Assumptions!$B$5)*X1230+IF(AA1230=1,Assumptions!$B$12,Assumptions!$B$6)*T1230+Assumptions!$B$7*U1230+Assumptions!$B$8*V1230+Assumptions!$B$9*Y1230</f>
        <v>0.329512</v>
      </c>
      <c r="AA1230" s="3" t="n">
        <v>0</v>
      </c>
    </row>
    <row r="1231" customFormat="false" ht="15" hidden="false" customHeight="false" outlineLevel="0" collapsed="false">
      <c r="A1231" s="3" t="s">
        <v>1416</v>
      </c>
      <c r="B1231" s="3" t="n">
        <v>384</v>
      </c>
      <c r="C1231" s="11" t="str">
        <f aca="false">IF(M1231&gt;=Assumptions!$B$17,"S+",IF(M1231&gt;=Assumptions!$B$18,"S",IF(M1231&gt;=Assumptions!$B$19,"A",IF(M1231&gt;=Assumptions!$B$20,"B",IF(M1231&gt;=Assumptions!$B$21,"C",IF(M1231&gt;=Assumptions!$B$22,"D","F"))))))</f>
        <v>F</v>
      </c>
      <c r="D1231" s="3" t="s">
        <v>203</v>
      </c>
      <c r="E1231" s="3" t="n">
        <v>4</v>
      </c>
      <c r="F1231" s="12" t="n">
        <v>0.7255</v>
      </c>
      <c r="G1231" s="12" t="n">
        <v>0</v>
      </c>
      <c r="H1231" s="12" t="n">
        <v>0.75</v>
      </c>
      <c r="I1231" s="12" t="n">
        <v>0.3676</v>
      </c>
      <c r="J1231" s="12" t="n">
        <v>0.2632</v>
      </c>
      <c r="K1231" s="12" t="n">
        <v>0.3295</v>
      </c>
      <c r="L1231" s="3" t="n">
        <v>2.44</v>
      </c>
      <c r="M1231" s="12" t="n">
        <f aca="false">Z1231-W1231</f>
        <v>-0.143588</v>
      </c>
      <c r="N1231" s="12" t="n">
        <f aca="false">IFERROR((Z1231-J1231)/L1231,"")</f>
        <v>0.0271770491803279</v>
      </c>
      <c r="O1231" s="3" t="n">
        <v>16</v>
      </c>
      <c r="P1231" s="13" t="b">
        <f aca="false">FALSE()</f>
        <v>0</v>
      </c>
      <c r="Q1231" s="3" t="s">
        <v>201</v>
      </c>
      <c r="R1231" s="12" t="n">
        <v>0.5805</v>
      </c>
      <c r="S1231" s="12" t="n">
        <v>0.2147</v>
      </c>
      <c r="T1231" s="3" t="n">
        <v>0.4611</v>
      </c>
      <c r="U1231" s="12" t="n">
        <v>0</v>
      </c>
      <c r="V1231" s="12" t="n">
        <v>0.4651</v>
      </c>
      <c r="W1231" s="12" t="n">
        <v>0.4731</v>
      </c>
      <c r="X1231" s="3" t="n">
        <v>0.0174</v>
      </c>
      <c r="Y1231" s="3" t="n">
        <v>0.371</v>
      </c>
      <c r="Z1231" s="14" t="n">
        <f aca="false">Assumptions!$B$3*R1231+Assumptions!$B$4*S1231+IF(AA1231=1,Assumptions!$B$11,Assumptions!$B$5)*X1231+IF(AA1231=1,Assumptions!$B$12,Assumptions!$B$6)*T1231+Assumptions!$B$7*U1231+Assumptions!$B$8*V1231+Assumptions!$B$9*Y1231</f>
        <v>0.329512</v>
      </c>
      <c r="AA1231" s="3" t="n">
        <v>0</v>
      </c>
    </row>
    <row r="1232" customFormat="false" ht="15" hidden="false" customHeight="false" outlineLevel="0" collapsed="false">
      <c r="A1232" s="3" t="s">
        <v>1417</v>
      </c>
      <c r="B1232" s="3" t="n">
        <v>384</v>
      </c>
      <c r="C1232" s="11" t="str">
        <f aca="false">IF(M1232&gt;=Assumptions!$B$17,"S+",IF(M1232&gt;=Assumptions!$B$18,"S",IF(M1232&gt;=Assumptions!$B$19,"A",IF(M1232&gt;=Assumptions!$B$20,"B",IF(M1232&gt;=Assumptions!$B$21,"C",IF(M1232&gt;=Assumptions!$B$22,"D","F"))))))</f>
        <v>F</v>
      </c>
      <c r="D1232" s="3" t="s">
        <v>203</v>
      </c>
      <c r="E1232" s="3" t="n">
        <v>4</v>
      </c>
      <c r="F1232" s="12" t="n">
        <v>0.7255</v>
      </c>
      <c r="G1232" s="12" t="n">
        <v>0</v>
      </c>
      <c r="H1232" s="12" t="n">
        <v>0.75</v>
      </c>
      <c r="I1232" s="12" t="n">
        <v>0.3676</v>
      </c>
      <c r="J1232" s="12" t="n">
        <v>0.2632</v>
      </c>
      <c r="K1232" s="12" t="n">
        <v>0.3295</v>
      </c>
      <c r="L1232" s="3" t="n">
        <v>2.44</v>
      </c>
      <c r="M1232" s="12" t="n">
        <f aca="false">Z1232-W1232</f>
        <v>-0.143588</v>
      </c>
      <c r="N1232" s="12" t="n">
        <f aca="false">IFERROR((Z1232-J1232)/L1232,"")</f>
        <v>0.0271770491803279</v>
      </c>
      <c r="O1232" s="3" t="n">
        <v>16</v>
      </c>
      <c r="P1232" s="13" t="b">
        <f aca="false">FALSE()</f>
        <v>0</v>
      </c>
      <c r="Q1232" s="3" t="s">
        <v>201</v>
      </c>
      <c r="R1232" s="12" t="n">
        <v>0.5805</v>
      </c>
      <c r="S1232" s="12" t="n">
        <v>0.2147</v>
      </c>
      <c r="T1232" s="3" t="n">
        <v>0.4611</v>
      </c>
      <c r="U1232" s="12" t="n">
        <v>0</v>
      </c>
      <c r="V1232" s="12" t="n">
        <v>0.4651</v>
      </c>
      <c r="W1232" s="12" t="n">
        <v>0.4731</v>
      </c>
      <c r="X1232" s="3" t="n">
        <v>0.0174</v>
      </c>
      <c r="Y1232" s="3" t="n">
        <v>0.371</v>
      </c>
      <c r="Z1232" s="14" t="n">
        <f aca="false">Assumptions!$B$3*R1232+Assumptions!$B$4*S1232+IF(AA1232=1,Assumptions!$B$11,Assumptions!$B$5)*X1232+IF(AA1232=1,Assumptions!$B$12,Assumptions!$B$6)*T1232+Assumptions!$B$7*U1232+Assumptions!$B$8*V1232+Assumptions!$B$9*Y1232</f>
        <v>0.329512</v>
      </c>
      <c r="AA1232" s="3" t="n">
        <v>0</v>
      </c>
    </row>
    <row r="1233" customFormat="false" ht="15" hidden="false" customHeight="false" outlineLevel="0" collapsed="false">
      <c r="A1233" s="3" t="s">
        <v>1418</v>
      </c>
      <c r="B1233" s="3" t="n">
        <v>384</v>
      </c>
      <c r="C1233" s="11" t="str">
        <f aca="false">IF(M1233&gt;=Assumptions!$B$17,"S+",IF(M1233&gt;=Assumptions!$B$18,"S",IF(M1233&gt;=Assumptions!$B$19,"A",IF(M1233&gt;=Assumptions!$B$20,"B",IF(M1233&gt;=Assumptions!$B$21,"C",IF(M1233&gt;=Assumptions!$B$22,"D","F"))))))</f>
        <v>F</v>
      </c>
      <c r="D1233" s="3" t="s">
        <v>203</v>
      </c>
      <c r="E1233" s="3" t="n">
        <v>4</v>
      </c>
      <c r="F1233" s="12" t="n">
        <v>0.7255</v>
      </c>
      <c r="G1233" s="12" t="n">
        <v>0</v>
      </c>
      <c r="H1233" s="12" t="n">
        <v>0.75</v>
      </c>
      <c r="I1233" s="12" t="n">
        <v>0.3676</v>
      </c>
      <c r="J1233" s="12" t="n">
        <v>0.2632</v>
      </c>
      <c r="K1233" s="12" t="n">
        <v>0.3295</v>
      </c>
      <c r="L1233" s="3" t="n">
        <v>2.44</v>
      </c>
      <c r="M1233" s="12" t="n">
        <f aca="false">Z1233-W1233</f>
        <v>-0.143588</v>
      </c>
      <c r="N1233" s="12" t="n">
        <f aca="false">IFERROR((Z1233-J1233)/L1233,"")</f>
        <v>0.0271770491803279</v>
      </c>
      <c r="O1233" s="3" t="n">
        <v>16</v>
      </c>
      <c r="P1233" s="13" t="b">
        <f aca="false">FALSE()</f>
        <v>0</v>
      </c>
      <c r="Q1233" s="3" t="s">
        <v>201</v>
      </c>
      <c r="R1233" s="12" t="n">
        <v>0.5805</v>
      </c>
      <c r="S1233" s="12" t="n">
        <v>0.2147</v>
      </c>
      <c r="T1233" s="3" t="n">
        <v>0.4611</v>
      </c>
      <c r="U1233" s="12" t="n">
        <v>0</v>
      </c>
      <c r="V1233" s="12" t="n">
        <v>0.4651</v>
      </c>
      <c r="W1233" s="12" t="n">
        <v>0.4731</v>
      </c>
      <c r="X1233" s="3" t="n">
        <v>0.0174</v>
      </c>
      <c r="Y1233" s="3" t="n">
        <v>0.371</v>
      </c>
      <c r="Z1233" s="14" t="n">
        <f aca="false">Assumptions!$B$3*R1233+Assumptions!$B$4*S1233+IF(AA1233=1,Assumptions!$B$11,Assumptions!$B$5)*X1233+IF(AA1233=1,Assumptions!$B$12,Assumptions!$B$6)*T1233+Assumptions!$B$7*U1233+Assumptions!$B$8*V1233+Assumptions!$B$9*Y1233</f>
        <v>0.329512</v>
      </c>
      <c r="AA1233" s="3" t="n">
        <v>0</v>
      </c>
    </row>
    <row r="1234" customFormat="false" ht="15" hidden="false" customHeight="false" outlineLevel="0" collapsed="false">
      <c r="A1234" s="3" t="s">
        <v>1419</v>
      </c>
      <c r="B1234" s="3" t="n">
        <v>384</v>
      </c>
      <c r="C1234" s="11" t="str">
        <f aca="false">IF(M1234&gt;=Assumptions!$B$17,"S+",IF(M1234&gt;=Assumptions!$B$18,"S",IF(M1234&gt;=Assumptions!$B$19,"A",IF(M1234&gt;=Assumptions!$B$20,"B",IF(M1234&gt;=Assumptions!$B$21,"C",IF(M1234&gt;=Assumptions!$B$22,"D","F"))))))</f>
        <v>F</v>
      </c>
      <c r="D1234" s="3" t="s">
        <v>203</v>
      </c>
      <c r="E1234" s="3" t="n">
        <v>4</v>
      </c>
      <c r="F1234" s="12" t="n">
        <v>0.7255</v>
      </c>
      <c r="G1234" s="12" t="n">
        <v>0</v>
      </c>
      <c r="H1234" s="12" t="n">
        <v>0.75</v>
      </c>
      <c r="I1234" s="12" t="n">
        <v>0.3676</v>
      </c>
      <c r="J1234" s="12" t="n">
        <v>0.2632</v>
      </c>
      <c r="K1234" s="12" t="n">
        <v>0.3295</v>
      </c>
      <c r="L1234" s="3" t="n">
        <v>2.44</v>
      </c>
      <c r="M1234" s="12" t="n">
        <f aca="false">Z1234-W1234</f>
        <v>-0.143588</v>
      </c>
      <c r="N1234" s="12" t="n">
        <f aca="false">IFERROR((Z1234-J1234)/L1234,"")</f>
        <v>0.0271770491803279</v>
      </c>
      <c r="O1234" s="3" t="n">
        <v>16</v>
      </c>
      <c r="P1234" s="13" t="b">
        <f aca="false">FALSE()</f>
        <v>0</v>
      </c>
      <c r="Q1234" s="3" t="s">
        <v>201</v>
      </c>
      <c r="R1234" s="12" t="n">
        <v>0.5805</v>
      </c>
      <c r="S1234" s="12" t="n">
        <v>0.2147</v>
      </c>
      <c r="T1234" s="3" t="n">
        <v>0.4611</v>
      </c>
      <c r="U1234" s="12" t="n">
        <v>0</v>
      </c>
      <c r="V1234" s="12" t="n">
        <v>0.4651</v>
      </c>
      <c r="W1234" s="12" t="n">
        <v>0.4731</v>
      </c>
      <c r="X1234" s="3" t="n">
        <v>0.0174</v>
      </c>
      <c r="Y1234" s="3" t="n">
        <v>0.371</v>
      </c>
      <c r="Z1234" s="14" t="n">
        <f aca="false">Assumptions!$B$3*R1234+Assumptions!$B$4*S1234+IF(AA1234=1,Assumptions!$B$11,Assumptions!$B$5)*X1234+IF(AA1234=1,Assumptions!$B$12,Assumptions!$B$6)*T1234+Assumptions!$B$7*U1234+Assumptions!$B$8*V1234+Assumptions!$B$9*Y1234</f>
        <v>0.329512</v>
      </c>
      <c r="AA1234" s="3" t="n">
        <v>0</v>
      </c>
    </row>
    <row r="1235" customFormat="false" ht="15" hidden="false" customHeight="false" outlineLevel="0" collapsed="false">
      <c r="A1235" s="3" t="s">
        <v>1420</v>
      </c>
      <c r="B1235" s="3" t="n">
        <v>384</v>
      </c>
      <c r="C1235" s="11" t="str">
        <f aca="false">IF(M1235&gt;=Assumptions!$B$17,"S+",IF(M1235&gt;=Assumptions!$B$18,"S",IF(M1235&gt;=Assumptions!$B$19,"A",IF(M1235&gt;=Assumptions!$B$20,"B",IF(M1235&gt;=Assumptions!$B$21,"C",IF(M1235&gt;=Assumptions!$B$22,"D","F"))))))</f>
        <v>F</v>
      </c>
      <c r="D1235" s="3" t="s">
        <v>203</v>
      </c>
      <c r="E1235" s="3" t="n">
        <v>4</v>
      </c>
      <c r="F1235" s="12" t="n">
        <v>0.7255</v>
      </c>
      <c r="G1235" s="12" t="n">
        <v>0</v>
      </c>
      <c r="H1235" s="12" t="n">
        <v>0.75</v>
      </c>
      <c r="I1235" s="12" t="n">
        <v>0.3676</v>
      </c>
      <c r="J1235" s="12" t="n">
        <v>0.2632</v>
      </c>
      <c r="K1235" s="12" t="n">
        <v>0.3295</v>
      </c>
      <c r="L1235" s="3" t="n">
        <v>2.44</v>
      </c>
      <c r="M1235" s="12" t="n">
        <f aca="false">Z1235-W1235</f>
        <v>-0.143588</v>
      </c>
      <c r="N1235" s="12" t="n">
        <f aca="false">IFERROR((Z1235-J1235)/L1235,"")</f>
        <v>0.0271770491803279</v>
      </c>
      <c r="O1235" s="3" t="n">
        <v>16</v>
      </c>
      <c r="P1235" s="13" t="b">
        <f aca="false">FALSE()</f>
        <v>0</v>
      </c>
      <c r="Q1235" s="3" t="s">
        <v>201</v>
      </c>
      <c r="R1235" s="12" t="n">
        <v>0.5805</v>
      </c>
      <c r="S1235" s="12" t="n">
        <v>0.2147</v>
      </c>
      <c r="T1235" s="3" t="n">
        <v>0.4611</v>
      </c>
      <c r="U1235" s="12" t="n">
        <v>0</v>
      </c>
      <c r="V1235" s="12" t="n">
        <v>0.4651</v>
      </c>
      <c r="W1235" s="12" t="n">
        <v>0.4731</v>
      </c>
      <c r="X1235" s="3" t="n">
        <v>0.0174</v>
      </c>
      <c r="Y1235" s="3" t="n">
        <v>0.371</v>
      </c>
      <c r="Z1235" s="14" t="n">
        <f aca="false">Assumptions!$B$3*R1235+Assumptions!$B$4*S1235+IF(AA1235=1,Assumptions!$B$11,Assumptions!$B$5)*X1235+IF(AA1235=1,Assumptions!$B$12,Assumptions!$B$6)*T1235+Assumptions!$B$7*U1235+Assumptions!$B$8*V1235+Assumptions!$B$9*Y1235</f>
        <v>0.329512</v>
      </c>
      <c r="AA1235" s="3" t="n">
        <v>0</v>
      </c>
    </row>
    <row r="1236" customFormat="false" ht="15" hidden="false" customHeight="false" outlineLevel="0" collapsed="false">
      <c r="A1236" s="3" t="s">
        <v>1421</v>
      </c>
      <c r="B1236" s="3" t="n">
        <v>384</v>
      </c>
      <c r="C1236" s="11" t="str">
        <f aca="false">IF(M1236&gt;=Assumptions!$B$17,"S+",IF(M1236&gt;=Assumptions!$B$18,"S",IF(M1236&gt;=Assumptions!$B$19,"A",IF(M1236&gt;=Assumptions!$B$20,"B",IF(M1236&gt;=Assumptions!$B$21,"C",IF(M1236&gt;=Assumptions!$B$22,"D","F"))))))</f>
        <v>F</v>
      </c>
      <c r="D1236" s="3" t="s">
        <v>203</v>
      </c>
      <c r="E1236" s="3" t="n">
        <v>4</v>
      </c>
      <c r="F1236" s="12" t="n">
        <v>0.7255</v>
      </c>
      <c r="G1236" s="12" t="n">
        <v>0</v>
      </c>
      <c r="H1236" s="12" t="n">
        <v>0.75</v>
      </c>
      <c r="I1236" s="12" t="n">
        <v>0.3676</v>
      </c>
      <c r="J1236" s="12" t="n">
        <v>0.2632</v>
      </c>
      <c r="K1236" s="12" t="n">
        <v>0.3295</v>
      </c>
      <c r="L1236" s="3" t="n">
        <v>2.44</v>
      </c>
      <c r="M1236" s="12" t="n">
        <f aca="false">Z1236-W1236</f>
        <v>-0.143588</v>
      </c>
      <c r="N1236" s="12" t="n">
        <f aca="false">IFERROR((Z1236-J1236)/L1236,"")</f>
        <v>0.0271770491803279</v>
      </c>
      <c r="O1236" s="3" t="n">
        <v>16</v>
      </c>
      <c r="P1236" s="13" t="b">
        <f aca="false">FALSE()</f>
        <v>0</v>
      </c>
      <c r="Q1236" s="3" t="s">
        <v>201</v>
      </c>
      <c r="R1236" s="12" t="n">
        <v>0.5805</v>
      </c>
      <c r="S1236" s="12" t="n">
        <v>0.2147</v>
      </c>
      <c r="T1236" s="3" t="n">
        <v>0.4611</v>
      </c>
      <c r="U1236" s="12" t="n">
        <v>0</v>
      </c>
      <c r="V1236" s="12" t="n">
        <v>0.4651</v>
      </c>
      <c r="W1236" s="12" t="n">
        <v>0.4731</v>
      </c>
      <c r="X1236" s="3" t="n">
        <v>0.0174</v>
      </c>
      <c r="Y1236" s="3" t="n">
        <v>0.371</v>
      </c>
      <c r="Z1236" s="14" t="n">
        <f aca="false">Assumptions!$B$3*R1236+Assumptions!$B$4*S1236+IF(AA1236=1,Assumptions!$B$11,Assumptions!$B$5)*X1236+IF(AA1236=1,Assumptions!$B$12,Assumptions!$B$6)*T1236+Assumptions!$B$7*U1236+Assumptions!$B$8*V1236+Assumptions!$B$9*Y1236</f>
        <v>0.329512</v>
      </c>
      <c r="AA1236" s="3" t="n">
        <v>0</v>
      </c>
    </row>
    <row r="1237" customFormat="false" ht="15" hidden="false" customHeight="false" outlineLevel="0" collapsed="false">
      <c r="A1237" s="3" t="s">
        <v>1422</v>
      </c>
      <c r="B1237" s="3" t="n">
        <v>384</v>
      </c>
      <c r="C1237" s="11" t="str">
        <f aca="false">IF(M1237&gt;=Assumptions!$B$17,"S+",IF(M1237&gt;=Assumptions!$B$18,"S",IF(M1237&gt;=Assumptions!$B$19,"A",IF(M1237&gt;=Assumptions!$B$20,"B",IF(M1237&gt;=Assumptions!$B$21,"C",IF(M1237&gt;=Assumptions!$B$22,"D","F"))))))</f>
        <v>F</v>
      </c>
      <c r="D1237" s="3" t="s">
        <v>203</v>
      </c>
      <c r="E1237" s="3" t="n">
        <v>4</v>
      </c>
      <c r="F1237" s="12" t="n">
        <v>0.7255</v>
      </c>
      <c r="G1237" s="12" t="n">
        <v>0</v>
      </c>
      <c r="H1237" s="12" t="n">
        <v>0.75</v>
      </c>
      <c r="I1237" s="12" t="n">
        <v>0.3676</v>
      </c>
      <c r="J1237" s="12" t="n">
        <v>0.2632</v>
      </c>
      <c r="K1237" s="12" t="n">
        <v>0.3295</v>
      </c>
      <c r="L1237" s="3" t="n">
        <v>2.44</v>
      </c>
      <c r="M1237" s="12" t="n">
        <f aca="false">Z1237-W1237</f>
        <v>-0.143588</v>
      </c>
      <c r="N1237" s="12" t="n">
        <f aca="false">IFERROR((Z1237-J1237)/L1237,"")</f>
        <v>0.0271770491803279</v>
      </c>
      <c r="O1237" s="3" t="n">
        <v>16</v>
      </c>
      <c r="P1237" s="13" t="b">
        <f aca="false">FALSE()</f>
        <v>0</v>
      </c>
      <c r="Q1237" s="3" t="s">
        <v>201</v>
      </c>
      <c r="R1237" s="12" t="n">
        <v>0.5805</v>
      </c>
      <c r="S1237" s="12" t="n">
        <v>0.2147</v>
      </c>
      <c r="T1237" s="3" t="n">
        <v>0.4611</v>
      </c>
      <c r="U1237" s="12" t="n">
        <v>0</v>
      </c>
      <c r="V1237" s="12" t="n">
        <v>0.4651</v>
      </c>
      <c r="W1237" s="12" t="n">
        <v>0.4731</v>
      </c>
      <c r="X1237" s="3" t="n">
        <v>0.0174</v>
      </c>
      <c r="Y1237" s="3" t="n">
        <v>0.371</v>
      </c>
      <c r="Z1237" s="14" t="n">
        <f aca="false">Assumptions!$B$3*R1237+Assumptions!$B$4*S1237+IF(AA1237=1,Assumptions!$B$11,Assumptions!$B$5)*X1237+IF(AA1237=1,Assumptions!$B$12,Assumptions!$B$6)*T1237+Assumptions!$B$7*U1237+Assumptions!$B$8*V1237+Assumptions!$B$9*Y1237</f>
        <v>0.329512</v>
      </c>
      <c r="AA1237" s="3" t="n">
        <v>0</v>
      </c>
    </row>
    <row r="1238" customFormat="false" ht="15" hidden="false" customHeight="false" outlineLevel="0" collapsed="false">
      <c r="A1238" s="3" t="s">
        <v>1423</v>
      </c>
      <c r="B1238" s="3" t="n">
        <v>384</v>
      </c>
      <c r="C1238" s="11" t="str">
        <f aca="false">IF(M1238&gt;=Assumptions!$B$17,"S+",IF(M1238&gt;=Assumptions!$B$18,"S",IF(M1238&gt;=Assumptions!$B$19,"A",IF(M1238&gt;=Assumptions!$B$20,"B",IF(M1238&gt;=Assumptions!$B$21,"C",IF(M1238&gt;=Assumptions!$B$22,"D","F"))))))</f>
        <v>F</v>
      </c>
      <c r="D1238" s="3" t="s">
        <v>203</v>
      </c>
      <c r="E1238" s="3" t="n">
        <v>4</v>
      </c>
      <c r="F1238" s="12" t="n">
        <v>0.7255</v>
      </c>
      <c r="G1238" s="12" t="n">
        <v>0</v>
      </c>
      <c r="H1238" s="12" t="n">
        <v>0.75</v>
      </c>
      <c r="I1238" s="12" t="n">
        <v>0.3676</v>
      </c>
      <c r="J1238" s="12" t="n">
        <v>0.2632</v>
      </c>
      <c r="K1238" s="12" t="n">
        <v>0.3295</v>
      </c>
      <c r="L1238" s="3" t="n">
        <v>2.44</v>
      </c>
      <c r="M1238" s="12" t="n">
        <f aca="false">Z1238-W1238</f>
        <v>-0.143588</v>
      </c>
      <c r="N1238" s="12" t="n">
        <f aca="false">IFERROR((Z1238-J1238)/L1238,"")</f>
        <v>0.0271770491803279</v>
      </c>
      <c r="O1238" s="3" t="n">
        <v>16</v>
      </c>
      <c r="P1238" s="13" t="b">
        <f aca="false">FALSE()</f>
        <v>0</v>
      </c>
      <c r="Q1238" s="3" t="s">
        <v>201</v>
      </c>
      <c r="R1238" s="12" t="n">
        <v>0.5805</v>
      </c>
      <c r="S1238" s="12" t="n">
        <v>0.2147</v>
      </c>
      <c r="T1238" s="3" t="n">
        <v>0.4611</v>
      </c>
      <c r="U1238" s="12" t="n">
        <v>0</v>
      </c>
      <c r="V1238" s="12" t="n">
        <v>0.4651</v>
      </c>
      <c r="W1238" s="12" t="n">
        <v>0.4731</v>
      </c>
      <c r="X1238" s="3" t="n">
        <v>0.0174</v>
      </c>
      <c r="Y1238" s="3" t="n">
        <v>0.371</v>
      </c>
      <c r="Z1238" s="14" t="n">
        <f aca="false">Assumptions!$B$3*R1238+Assumptions!$B$4*S1238+IF(AA1238=1,Assumptions!$B$11,Assumptions!$B$5)*X1238+IF(AA1238=1,Assumptions!$B$12,Assumptions!$B$6)*T1238+Assumptions!$B$7*U1238+Assumptions!$B$8*V1238+Assumptions!$B$9*Y1238</f>
        <v>0.329512</v>
      </c>
      <c r="AA1238" s="3" t="n">
        <v>0</v>
      </c>
    </row>
    <row r="1239" customFormat="false" ht="15" hidden="false" customHeight="false" outlineLevel="0" collapsed="false">
      <c r="A1239" s="3" t="s">
        <v>1424</v>
      </c>
      <c r="B1239" s="3" t="n">
        <v>384</v>
      </c>
      <c r="C1239" s="11" t="str">
        <f aca="false">IF(M1239&gt;=Assumptions!$B$17,"S+",IF(M1239&gt;=Assumptions!$B$18,"S",IF(M1239&gt;=Assumptions!$B$19,"A",IF(M1239&gt;=Assumptions!$B$20,"B",IF(M1239&gt;=Assumptions!$B$21,"C",IF(M1239&gt;=Assumptions!$B$22,"D","F"))))))</f>
        <v>F</v>
      </c>
      <c r="D1239" s="3" t="s">
        <v>203</v>
      </c>
      <c r="E1239" s="3" t="n">
        <v>4</v>
      </c>
      <c r="F1239" s="12" t="n">
        <v>0.7255</v>
      </c>
      <c r="G1239" s="12" t="n">
        <v>0</v>
      </c>
      <c r="H1239" s="12" t="n">
        <v>0.75</v>
      </c>
      <c r="I1239" s="12" t="n">
        <v>0.3676</v>
      </c>
      <c r="J1239" s="12" t="n">
        <v>0.2632</v>
      </c>
      <c r="K1239" s="12" t="n">
        <v>0.3295</v>
      </c>
      <c r="L1239" s="3" t="n">
        <v>2.44</v>
      </c>
      <c r="M1239" s="12" t="n">
        <f aca="false">Z1239-W1239</f>
        <v>-0.143588</v>
      </c>
      <c r="N1239" s="12" t="n">
        <f aca="false">IFERROR((Z1239-J1239)/L1239,"")</f>
        <v>0.0271770491803279</v>
      </c>
      <c r="O1239" s="3" t="n">
        <v>16</v>
      </c>
      <c r="P1239" s="13" t="b">
        <f aca="false">FALSE()</f>
        <v>0</v>
      </c>
      <c r="Q1239" s="3" t="s">
        <v>201</v>
      </c>
      <c r="R1239" s="12" t="n">
        <v>0.5805</v>
      </c>
      <c r="S1239" s="12" t="n">
        <v>0.2147</v>
      </c>
      <c r="T1239" s="3" t="n">
        <v>0.4611</v>
      </c>
      <c r="U1239" s="12" t="n">
        <v>0</v>
      </c>
      <c r="V1239" s="12" t="n">
        <v>0.4651</v>
      </c>
      <c r="W1239" s="12" t="n">
        <v>0.4731</v>
      </c>
      <c r="X1239" s="3" t="n">
        <v>0.0174</v>
      </c>
      <c r="Y1239" s="3" t="n">
        <v>0.371</v>
      </c>
      <c r="Z1239" s="14" t="n">
        <f aca="false">Assumptions!$B$3*R1239+Assumptions!$B$4*S1239+IF(AA1239=1,Assumptions!$B$11,Assumptions!$B$5)*X1239+IF(AA1239=1,Assumptions!$B$12,Assumptions!$B$6)*T1239+Assumptions!$B$7*U1239+Assumptions!$B$8*V1239+Assumptions!$B$9*Y1239</f>
        <v>0.329512</v>
      </c>
      <c r="AA1239" s="3" t="n">
        <v>0</v>
      </c>
    </row>
    <row r="1240" customFormat="false" ht="15" hidden="false" customHeight="false" outlineLevel="0" collapsed="false">
      <c r="A1240" s="3" t="s">
        <v>1425</v>
      </c>
      <c r="B1240" s="3" t="n">
        <v>384</v>
      </c>
      <c r="C1240" s="11" t="str">
        <f aca="false">IF(M1240&gt;=Assumptions!$B$17,"S+",IF(M1240&gt;=Assumptions!$B$18,"S",IF(M1240&gt;=Assumptions!$B$19,"A",IF(M1240&gt;=Assumptions!$B$20,"B",IF(M1240&gt;=Assumptions!$B$21,"C",IF(M1240&gt;=Assumptions!$B$22,"D","F"))))))</f>
        <v>F</v>
      </c>
      <c r="D1240" s="3" t="s">
        <v>203</v>
      </c>
      <c r="E1240" s="3" t="n">
        <v>4</v>
      </c>
      <c r="F1240" s="12" t="n">
        <v>0.7255</v>
      </c>
      <c r="G1240" s="12" t="n">
        <v>0</v>
      </c>
      <c r="H1240" s="12" t="n">
        <v>0.75</v>
      </c>
      <c r="I1240" s="12" t="n">
        <v>0.3676</v>
      </c>
      <c r="J1240" s="12" t="n">
        <v>0.2632</v>
      </c>
      <c r="K1240" s="12" t="n">
        <v>0.3295</v>
      </c>
      <c r="L1240" s="3" t="n">
        <v>2.44</v>
      </c>
      <c r="M1240" s="12" t="n">
        <f aca="false">Z1240-W1240</f>
        <v>-0.143588</v>
      </c>
      <c r="N1240" s="12" t="n">
        <f aca="false">IFERROR((Z1240-J1240)/L1240,"")</f>
        <v>0.0271770491803279</v>
      </c>
      <c r="O1240" s="3" t="n">
        <v>16</v>
      </c>
      <c r="P1240" s="13" t="b">
        <f aca="false">FALSE()</f>
        <v>0</v>
      </c>
      <c r="Q1240" s="3" t="s">
        <v>201</v>
      </c>
      <c r="R1240" s="12" t="n">
        <v>0.5805</v>
      </c>
      <c r="S1240" s="12" t="n">
        <v>0.2147</v>
      </c>
      <c r="T1240" s="3" t="n">
        <v>0.4611</v>
      </c>
      <c r="U1240" s="12" t="n">
        <v>0</v>
      </c>
      <c r="V1240" s="12" t="n">
        <v>0.4651</v>
      </c>
      <c r="W1240" s="12" t="n">
        <v>0.4731</v>
      </c>
      <c r="X1240" s="3" t="n">
        <v>0.0174</v>
      </c>
      <c r="Y1240" s="3" t="n">
        <v>0.371</v>
      </c>
      <c r="Z1240" s="14" t="n">
        <f aca="false">Assumptions!$B$3*R1240+Assumptions!$B$4*S1240+IF(AA1240=1,Assumptions!$B$11,Assumptions!$B$5)*X1240+IF(AA1240=1,Assumptions!$B$12,Assumptions!$B$6)*T1240+Assumptions!$B$7*U1240+Assumptions!$B$8*V1240+Assumptions!$B$9*Y1240</f>
        <v>0.329512</v>
      </c>
      <c r="AA1240" s="3" t="n">
        <v>0</v>
      </c>
    </row>
    <row r="1241" customFormat="false" ht="15" hidden="false" customHeight="false" outlineLevel="0" collapsed="false">
      <c r="A1241" s="3" t="s">
        <v>1426</v>
      </c>
      <c r="B1241" s="3" t="n">
        <v>384</v>
      </c>
      <c r="C1241" s="11" t="str">
        <f aca="false">IF(M1241&gt;=Assumptions!$B$17,"S+",IF(M1241&gt;=Assumptions!$B$18,"S",IF(M1241&gt;=Assumptions!$B$19,"A",IF(M1241&gt;=Assumptions!$B$20,"B",IF(M1241&gt;=Assumptions!$B$21,"C",IF(M1241&gt;=Assumptions!$B$22,"D","F"))))))</f>
        <v>F</v>
      </c>
      <c r="D1241" s="3" t="s">
        <v>203</v>
      </c>
      <c r="E1241" s="3" t="n">
        <v>4</v>
      </c>
      <c r="F1241" s="12" t="n">
        <v>0.7255</v>
      </c>
      <c r="G1241" s="12" t="n">
        <v>0</v>
      </c>
      <c r="H1241" s="12" t="n">
        <v>0.75</v>
      </c>
      <c r="I1241" s="12" t="n">
        <v>0.3676</v>
      </c>
      <c r="J1241" s="12" t="n">
        <v>0.2632</v>
      </c>
      <c r="K1241" s="12" t="n">
        <v>0.3295</v>
      </c>
      <c r="L1241" s="3" t="n">
        <v>2.44</v>
      </c>
      <c r="M1241" s="12" t="n">
        <f aca="false">Z1241-W1241</f>
        <v>-0.143588</v>
      </c>
      <c r="N1241" s="12" t="n">
        <f aca="false">IFERROR((Z1241-J1241)/L1241,"")</f>
        <v>0.0271770491803279</v>
      </c>
      <c r="O1241" s="3" t="n">
        <v>16</v>
      </c>
      <c r="P1241" s="13" t="b">
        <f aca="false">FALSE()</f>
        <v>0</v>
      </c>
      <c r="Q1241" s="3" t="s">
        <v>201</v>
      </c>
      <c r="R1241" s="12" t="n">
        <v>0.5805</v>
      </c>
      <c r="S1241" s="12" t="n">
        <v>0.2147</v>
      </c>
      <c r="T1241" s="3" t="n">
        <v>0.4611</v>
      </c>
      <c r="U1241" s="12" t="n">
        <v>0</v>
      </c>
      <c r="V1241" s="12" t="n">
        <v>0.4651</v>
      </c>
      <c r="W1241" s="12" t="n">
        <v>0.4731</v>
      </c>
      <c r="X1241" s="3" t="n">
        <v>0.0174</v>
      </c>
      <c r="Y1241" s="3" t="n">
        <v>0.371</v>
      </c>
      <c r="Z1241" s="14" t="n">
        <f aca="false">Assumptions!$B$3*R1241+Assumptions!$B$4*S1241+IF(AA1241=1,Assumptions!$B$11,Assumptions!$B$5)*X1241+IF(AA1241=1,Assumptions!$B$12,Assumptions!$B$6)*T1241+Assumptions!$B$7*U1241+Assumptions!$B$8*V1241+Assumptions!$B$9*Y1241</f>
        <v>0.329512</v>
      </c>
      <c r="AA1241" s="3" t="n">
        <v>0</v>
      </c>
    </row>
    <row r="1242" customFormat="false" ht="15" hidden="false" customHeight="false" outlineLevel="0" collapsed="false">
      <c r="A1242" s="3" t="s">
        <v>1427</v>
      </c>
      <c r="B1242" s="3" t="n">
        <v>384</v>
      </c>
      <c r="C1242" s="11" t="str">
        <f aca="false">IF(M1242&gt;=Assumptions!$B$17,"S+",IF(M1242&gt;=Assumptions!$B$18,"S",IF(M1242&gt;=Assumptions!$B$19,"A",IF(M1242&gt;=Assumptions!$B$20,"B",IF(M1242&gt;=Assumptions!$B$21,"C",IF(M1242&gt;=Assumptions!$B$22,"D","F"))))))</f>
        <v>F</v>
      </c>
      <c r="D1242" s="3" t="s">
        <v>203</v>
      </c>
      <c r="E1242" s="3" t="n">
        <v>4</v>
      </c>
      <c r="F1242" s="12" t="n">
        <v>0.7255</v>
      </c>
      <c r="G1242" s="12" t="n">
        <v>0</v>
      </c>
      <c r="H1242" s="12" t="n">
        <v>0.75</v>
      </c>
      <c r="I1242" s="12" t="n">
        <v>0.3676</v>
      </c>
      <c r="J1242" s="12" t="n">
        <v>0.2632</v>
      </c>
      <c r="K1242" s="12" t="n">
        <v>0.3295</v>
      </c>
      <c r="L1242" s="3" t="n">
        <v>2.44</v>
      </c>
      <c r="M1242" s="12" t="n">
        <f aca="false">Z1242-W1242</f>
        <v>-0.143588</v>
      </c>
      <c r="N1242" s="12" t="n">
        <f aca="false">IFERROR((Z1242-J1242)/L1242,"")</f>
        <v>0.0271770491803279</v>
      </c>
      <c r="O1242" s="3" t="n">
        <v>16</v>
      </c>
      <c r="P1242" s="13" t="b">
        <f aca="false">FALSE()</f>
        <v>0</v>
      </c>
      <c r="Q1242" s="3" t="s">
        <v>201</v>
      </c>
      <c r="R1242" s="12" t="n">
        <v>0.5805</v>
      </c>
      <c r="S1242" s="12" t="n">
        <v>0.2147</v>
      </c>
      <c r="T1242" s="3" t="n">
        <v>0.4611</v>
      </c>
      <c r="U1242" s="12" t="n">
        <v>0</v>
      </c>
      <c r="V1242" s="12" t="n">
        <v>0.4651</v>
      </c>
      <c r="W1242" s="12" t="n">
        <v>0.4731</v>
      </c>
      <c r="X1242" s="3" t="n">
        <v>0.0174</v>
      </c>
      <c r="Y1242" s="3" t="n">
        <v>0.371</v>
      </c>
      <c r="Z1242" s="14" t="n">
        <f aca="false">Assumptions!$B$3*R1242+Assumptions!$B$4*S1242+IF(AA1242=1,Assumptions!$B$11,Assumptions!$B$5)*X1242+IF(AA1242=1,Assumptions!$B$12,Assumptions!$B$6)*T1242+Assumptions!$B$7*U1242+Assumptions!$B$8*V1242+Assumptions!$B$9*Y1242</f>
        <v>0.329512</v>
      </c>
      <c r="AA1242" s="3" t="n">
        <v>0</v>
      </c>
    </row>
    <row r="1243" customFormat="false" ht="15" hidden="false" customHeight="false" outlineLevel="0" collapsed="false">
      <c r="A1243" s="3" t="s">
        <v>1428</v>
      </c>
      <c r="B1243" s="3" t="n">
        <v>270</v>
      </c>
      <c r="C1243" s="11" t="str">
        <f aca="false">IF(M1243&gt;=Assumptions!$B$17,"S+",IF(M1243&gt;=Assumptions!$B$18,"S",IF(M1243&gt;=Assumptions!$B$19,"A",IF(M1243&gt;=Assumptions!$B$20,"B",IF(M1243&gt;=Assumptions!$B$21,"C",IF(M1243&gt;=Assumptions!$B$22,"D","F"))))))</f>
        <v>F</v>
      </c>
      <c r="D1243" s="3" t="s">
        <v>218</v>
      </c>
      <c r="E1243" s="3" t="n">
        <v>7</v>
      </c>
      <c r="F1243" s="12" t="n">
        <v>0.3541</v>
      </c>
      <c r="G1243" s="12" t="n">
        <v>0.4</v>
      </c>
      <c r="H1243" s="12" t="n">
        <v>0.75</v>
      </c>
      <c r="I1243" s="12" t="n">
        <v>0.4553</v>
      </c>
      <c r="J1243" s="12" t="n">
        <v>0.1839</v>
      </c>
      <c r="K1243" s="12" t="n">
        <v>0.3514</v>
      </c>
      <c r="L1243" s="3" t="n">
        <v>6</v>
      </c>
      <c r="M1243" s="12" t="n">
        <f aca="false">Z1243-W1243</f>
        <v>-0.144263</v>
      </c>
      <c r="N1243" s="12" t="n">
        <f aca="false">IFERROR((Z1243-J1243)/L1243,"")</f>
        <v>0.0279228333333333</v>
      </c>
      <c r="O1243" s="3" t="n">
        <v>13</v>
      </c>
      <c r="P1243" s="13" t="b">
        <f aca="false">FALSE()</f>
        <v>0</v>
      </c>
      <c r="Q1243" s="3" t="s">
        <v>166</v>
      </c>
      <c r="R1243" s="12" t="n">
        <v>0.5754</v>
      </c>
      <c r="S1243" s="12" t="n">
        <v>0.2286</v>
      </c>
      <c r="T1243" s="3" t="n">
        <v>0.0708</v>
      </c>
      <c r="U1243" s="12" t="n">
        <v>0.3077</v>
      </c>
      <c r="V1243" s="12" t="n">
        <v>0.4699</v>
      </c>
      <c r="W1243" s="12" t="n">
        <v>0.4957</v>
      </c>
      <c r="X1243" s="3" t="n">
        <v>0.1968</v>
      </c>
      <c r="Y1243" s="3" t="n">
        <v>0.451</v>
      </c>
      <c r="Z1243" s="14" t="n">
        <f aca="false">Assumptions!$B$3*R1243+Assumptions!$B$4*S1243+IF(AA1243=1,Assumptions!$B$11,Assumptions!$B$5)*X1243+IF(AA1243=1,Assumptions!$B$12,Assumptions!$B$6)*T1243+Assumptions!$B$7*U1243+Assumptions!$B$8*V1243+Assumptions!$B$9*Y1243</f>
        <v>0.351437</v>
      </c>
      <c r="AA1243" s="3" t="n">
        <v>0</v>
      </c>
    </row>
    <row r="1244" customFormat="false" ht="15" hidden="false" customHeight="false" outlineLevel="0" collapsed="false">
      <c r="A1244" s="3" t="s">
        <v>1429</v>
      </c>
      <c r="B1244" s="3" t="n">
        <v>255</v>
      </c>
      <c r="C1244" s="11" t="str">
        <f aca="false">IF(M1244&gt;=Assumptions!$B$17,"S+",IF(M1244&gt;=Assumptions!$B$18,"S",IF(M1244&gt;=Assumptions!$B$19,"A",IF(M1244&gt;=Assumptions!$B$20,"B",IF(M1244&gt;=Assumptions!$B$21,"C",IF(M1244&gt;=Assumptions!$B$22,"D","F"))))))</f>
        <v>F</v>
      </c>
      <c r="D1244" s="3" t="s">
        <v>228</v>
      </c>
      <c r="E1244" s="3" t="n">
        <v>3</v>
      </c>
      <c r="F1244" s="12" t="n">
        <v>0.497</v>
      </c>
      <c r="G1244" s="12" t="n">
        <v>0.2</v>
      </c>
      <c r="H1244" s="12" t="n">
        <v>0.75</v>
      </c>
      <c r="I1244" s="12" t="n">
        <v>0.405</v>
      </c>
      <c r="J1244" s="12" t="n">
        <v>0.2298</v>
      </c>
      <c r="K1244" s="12" t="n">
        <v>0.318</v>
      </c>
      <c r="L1244" s="3" t="n">
        <v>5.59</v>
      </c>
      <c r="M1244" s="12" t="n">
        <f aca="false">Z1244-W1244</f>
        <v>-0.145743</v>
      </c>
      <c r="N1244" s="12" t="n">
        <f aca="false">IFERROR((Z1244-J1244)/L1244,"")</f>
        <v>0.0157704830053667</v>
      </c>
      <c r="O1244" s="3" t="n">
        <v>17</v>
      </c>
      <c r="P1244" s="13" t="b">
        <f aca="false">FALSE()</f>
        <v>0</v>
      </c>
      <c r="Q1244" s="3" t="s">
        <v>166</v>
      </c>
      <c r="R1244" s="12" t="n">
        <v>0.5704</v>
      </c>
      <c r="S1244" s="12" t="n">
        <v>0.2667</v>
      </c>
      <c r="T1244" s="3" t="n">
        <v>0.0757</v>
      </c>
      <c r="U1244" s="12" t="n">
        <v>0.1629</v>
      </c>
      <c r="V1244" s="12" t="n">
        <v>0.4718</v>
      </c>
      <c r="W1244" s="12" t="n">
        <v>0.4637</v>
      </c>
      <c r="X1244" s="3" t="n">
        <v>0.0941</v>
      </c>
      <c r="Y1244" s="3" t="n">
        <v>0.3732</v>
      </c>
      <c r="Z1244" s="14" t="n">
        <f aca="false">Assumptions!$B$3*R1244+Assumptions!$B$4*S1244+IF(AA1244=1,Assumptions!$B$11,Assumptions!$B$5)*X1244+IF(AA1244=1,Assumptions!$B$12,Assumptions!$B$6)*T1244+Assumptions!$B$7*U1244+Assumptions!$B$8*V1244+Assumptions!$B$9*Y1244</f>
        <v>0.317957</v>
      </c>
      <c r="AA1244" s="3" t="n">
        <v>0</v>
      </c>
    </row>
    <row r="1245" customFormat="false" ht="15" hidden="false" customHeight="false" outlineLevel="0" collapsed="false">
      <c r="A1245" s="3" t="s">
        <v>1430</v>
      </c>
      <c r="B1245" s="3" t="n">
        <v>275</v>
      </c>
      <c r="C1245" s="11" t="str">
        <f aca="false">IF(M1245&gt;=Assumptions!$B$17,"S+",IF(M1245&gt;=Assumptions!$B$18,"S",IF(M1245&gt;=Assumptions!$B$19,"A",IF(M1245&gt;=Assumptions!$B$20,"B",IF(M1245&gt;=Assumptions!$B$21,"C",IF(M1245&gt;=Assumptions!$B$22,"D","F"))))))</f>
        <v>F</v>
      </c>
      <c r="D1245" s="3" t="s">
        <v>253</v>
      </c>
      <c r="E1245" s="3" t="n">
        <v>4</v>
      </c>
      <c r="F1245" s="12" t="n">
        <v>0.6503</v>
      </c>
      <c r="G1245" s="12" t="n">
        <v>0.4</v>
      </c>
      <c r="H1245" s="12" t="n">
        <v>0.75</v>
      </c>
      <c r="I1245" s="12" t="n">
        <v>0.5501</v>
      </c>
      <c r="J1245" s="12" t="n">
        <v>0.2692</v>
      </c>
      <c r="K1245" s="12" t="n">
        <v>0.3823</v>
      </c>
      <c r="L1245" s="3" t="n">
        <v>5.97</v>
      </c>
      <c r="M1245" s="12" t="n">
        <f aca="false">Z1245-W1245</f>
        <v>-0.148122</v>
      </c>
      <c r="N1245" s="12" t="n">
        <f aca="false">IFERROR((Z1245-J1245)/L1245,"")</f>
        <v>0.0189410385259632</v>
      </c>
      <c r="O1245" s="3" t="n">
        <v>16</v>
      </c>
      <c r="P1245" s="13" t="b">
        <f aca="false">FALSE()</f>
        <v>0</v>
      </c>
      <c r="Q1245" s="3" t="s">
        <v>166</v>
      </c>
      <c r="R1245" s="12" t="n">
        <v>0.6729</v>
      </c>
      <c r="S1245" s="12" t="n">
        <v>0.2995</v>
      </c>
      <c r="T1245" s="3" t="n">
        <v>0.0374</v>
      </c>
      <c r="U1245" s="12" t="n">
        <v>0.1682</v>
      </c>
      <c r="V1245" s="12" t="n">
        <v>0.5171</v>
      </c>
      <c r="W1245" s="12" t="n">
        <v>0.5304</v>
      </c>
      <c r="X1245" s="3" t="n">
        <v>0.1865</v>
      </c>
      <c r="Y1245" s="3" t="n">
        <v>0.5437</v>
      </c>
      <c r="Z1245" s="14" t="n">
        <f aca="false">Assumptions!$B$3*R1245+Assumptions!$B$4*S1245+IF(AA1245=1,Assumptions!$B$11,Assumptions!$B$5)*X1245+IF(AA1245=1,Assumptions!$B$12,Assumptions!$B$6)*T1245+Assumptions!$B$7*U1245+Assumptions!$B$8*V1245+Assumptions!$B$9*Y1245</f>
        <v>0.382278</v>
      </c>
      <c r="AA1245" s="3" t="n">
        <v>0</v>
      </c>
    </row>
    <row r="1246" customFormat="false" ht="15" hidden="false" customHeight="false" outlineLevel="0" collapsed="false">
      <c r="A1246" s="3" t="s">
        <v>1431</v>
      </c>
      <c r="B1246" s="3" t="n">
        <v>260</v>
      </c>
      <c r="C1246" s="11" t="str">
        <f aca="false">IF(M1246&gt;=Assumptions!$B$17,"S+",IF(M1246&gt;=Assumptions!$B$18,"S",IF(M1246&gt;=Assumptions!$B$19,"A",IF(M1246&gt;=Assumptions!$B$20,"B",IF(M1246&gt;=Assumptions!$B$21,"C",IF(M1246&gt;=Assumptions!$B$22,"D","F"))))))</f>
        <v>F</v>
      </c>
      <c r="D1246" s="3" t="s">
        <v>253</v>
      </c>
      <c r="E1246" s="3" t="n">
        <v>1</v>
      </c>
      <c r="F1246" s="12" t="n">
        <v>0.57</v>
      </c>
      <c r="G1246" s="12" t="n">
        <v>0.6</v>
      </c>
      <c r="H1246" s="12" t="n">
        <v>0.75</v>
      </c>
      <c r="I1246" s="12" t="n">
        <v>0.6204</v>
      </c>
      <c r="J1246" s="12" t="n">
        <v>0.2212</v>
      </c>
      <c r="K1246" s="12" t="n">
        <v>0.3594</v>
      </c>
      <c r="L1246" s="3" t="n">
        <v>5.47</v>
      </c>
      <c r="M1246" s="12" t="n">
        <f aca="false">Z1246-W1246</f>
        <v>-0.150041</v>
      </c>
      <c r="N1246" s="12" t="n">
        <f aca="false">IFERROR((Z1246-J1246)/L1246,"")</f>
        <v>0.0252575868372943</v>
      </c>
      <c r="O1246" s="3" t="n">
        <v>19</v>
      </c>
      <c r="P1246" s="13" t="b">
        <f aca="false">FALSE()</f>
        <v>0</v>
      </c>
      <c r="Q1246" s="3" t="s">
        <v>166</v>
      </c>
      <c r="R1246" s="12" t="n">
        <v>0.6156</v>
      </c>
      <c r="S1246" s="12" t="n">
        <v>0.1875</v>
      </c>
      <c r="T1246" s="3" t="n">
        <v>0.1492</v>
      </c>
      <c r="U1246" s="12" t="n">
        <v>0.3603</v>
      </c>
      <c r="V1246" s="12" t="n">
        <v>0.4076</v>
      </c>
      <c r="W1246" s="12" t="n">
        <v>0.5094</v>
      </c>
      <c r="X1246" s="3" t="n">
        <v>0.1193</v>
      </c>
      <c r="Y1246" s="3" t="n">
        <v>0.5332</v>
      </c>
      <c r="Z1246" s="14" t="n">
        <f aca="false">Assumptions!$B$3*R1246+Assumptions!$B$4*S1246+IF(AA1246=1,Assumptions!$B$11,Assumptions!$B$5)*X1246+IF(AA1246=1,Assumptions!$B$12,Assumptions!$B$6)*T1246+Assumptions!$B$7*U1246+Assumptions!$B$8*V1246+Assumptions!$B$9*Y1246</f>
        <v>0.359359</v>
      </c>
      <c r="AA1246" s="3" t="n">
        <v>0</v>
      </c>
    </row>
    <row r="1247" customFormat="false" ht="15" hidden="false" customHeight="false" outlineLevel="0" collapsed="false">
      <c r="A1247" s="3" t="s">
        <v>1432</v>
      </c>
      <c r="B1247" s="3" t="n">
        <v>180</v>
      </c>
      <c r="C1247" s="11" t="str">
        <f aca="false">IF(M1247&gt;=Assumptions!$B$17,"S+",IF(M1247&gt;=Assumptions!$B$18,"S",IF(M1247&gt;=Assumptions!$B$19,"A",IF(M1247&gt;=Assumptions!$B$20,"B",IF(M1247&gt;=Assumptions!$B$21,"C",IF(M1247&gt;=Assumptions!$B$22,"D","F"))))))</f>
        <v>F</v>
      </c>
      <c r="D1247" s="3" t="s">
        <v>188</v>
      </c>
      <c r="E1247" s="3" t="n">
        <v>1</v>
      </c>
      <c r="F1247" s="12" t="n">
        <v>0.5238</v>
      </c>
      <c r="G1247" s="12" t="n">
        <v>0.3</v>
      </c>
      <c r="H1247" s="12" t="n">
        <v>0.75</v>
      </c>
      <c r="I1247" s="12" t="n">
        <v>0.4236</v>
      </c>
      <c r="J1247" s="12" t="n">
        <v>0.1132</v>
      </c>
      <c r="K1247" s="12" t="n">
        <v>0.2356</v>
      </c>
      <c r="L1247" s="3" t="n">
        <v>3.79</v>
      </c>
      <c r="M1247" s="12" t="n">
        <f aca="false">Z1247-W1247</f>
        <v>-0.151005</v>
      </c>
      <c r="N1247" s="12" t="n">
        <f aca="false">IFERROR((Z1247-J1247)/L1247,"")</f>
        <v>0.0322941952506596</v>
      </c>
      <c r="O1247" s="3" t="n">
        <v>19</v>
      </c>
      <c r="P1247" s="13" t="b">
        <f aca="false">FALSE()</f>
        <v>0</v>
      </c>
      <c r="Q1247" s="3" t="s">
        <v>166</v>
      </c>
      <c r="R1247" s="12" t="n">
        <v>0.2764</v>
      </c>
      <c r="S1247" s="12" t="n">
        <v>0.0818</v>
      </c>
      <c r="T1247" s="3" t="n">
        <v>0.228</v>
      </c>
      <c r="U1247" s="12" t="n">
        <v>0.2308</v>
      </c>
      <c r="V1247" s="12" t="n">
        <v>0.4707</v>
      </c>
      <c r="W1247" s="12" t="n">
        <v>0.3866</v>
      </c>
      <c r="X1247" s="3" t="n">
        <v>0.0414</v>
      </c>
      <c r="Y1247" s="3" t="n">
        <v>0.4262</v>
      </c>
      <c r="Z1247" s="14" t="n">
        <f aca="false">Assumptions!$B$3*R1247+Assumptions!$B$4*S1247+IF(AA1247=1,Assumptions!$B$11,Assumptions!$B$5)*X1247+IF(AA1247=1,Assumptions!$B$12,Assumptions!$B$6)*T1247+Assumptions!$B$7*U1247+Assumptions!$B$8*V1247+Assumptions!$B$9*Y1247</f>
        <v>0.235595</v>
      </c>
      <c r="AA1247" s="3" t="n">
        <v>0</v>
      </c>
    </row>
    <row r="1248" customFormat="false" ht="15" hidden="false" customHeight="false" outlineLevel="0" collapsed="false">
      <c r="A1248" s="3" t="s">
        <v>1433</v>
      </c>
      <c r="B1248" s="3" t="n">
        <v>240</v>
      </c>
      <c r="C1248" s="11" t="str">
        <f aca="false">IF(M1248&gt;=Assumptions!$B$17,"S+",IF(M1248&gt;=Assumptions!$B$18,"S",IF(M1248&gt;=Assumptions!$B$19,"A",IF(M1248&gt;=Assumptions!$B$20,"B",IF(M1248&gt;=Assumptions!$B$21,"C",IF(M1248&gt;=Assumptions!$B$22,"D","F"))))))</f>
        <v>F</v>
      </c>
      <c r="D1248" s="3" t="s">
        <v>197</v>
      </c>
      <c r="E1248" s="3" t="n">
        <v>1</v>
      </c>
      <c r="F1248" s="12" t="n">
        <v>0.4395</v>
      </c>
      <c r="G1248" s="12" t="n">
        <v>0.6</v>
      </c>
      <c r="H1248" s="12" t="n">
        <v>0.75</v>
      </c>
      <c r="I1248" s="12" t="n">
        <v>0.569</v>
      </c>
      <c r="J1248" s="12" t="n">
        <v>0.1916</v>
      </c>
      <c r="K1248" s="12" t="n">
        <v>0.3549</v>
      </c>
      <c r="L1248" s="3" t="n">
        <v>5.47</v>
      </c>
      <c r="M1248" s="12" t="n">
        <f aca="false">Z1248-W1248</f>
        <v>-0.153234</v>
      </c>
      <c r="N1248" s="12" t="n">
        <f aca="false">IFERROR((Z1248-J1248)/L1248,"")</f>
        <v>0.0298475319926874</v>
      </c>
      <c r="O1248" s="3" t="n">
        <v>19</v>
      </c>
      <c r="P1248" s="13" t="b">
        <f aca="false">FALSE()</f>
        <v>0</v>
      </c>
      <c r="Q1248" s="3" t="s">
        <v>166</v>
      </c>
      <c r="R1248" s="12" t="n">
        <v>0.5445</v>
      </c>
      <c r="S1248" s="12" t="n">
        <v>0.2015</v>
      </c>
      <c r="T1248" s="3" t="n">
        <v>0.3251</v>
      </c>
      <c r="U1248" s="12" t="n">
        <v>0.2874</v>
      </c>
      <c r="V1248" s="12" t="n">
        <v>0.4579</v>
      </c>
      <c r="W1248" s="12" t="n">
        <v>0.5081</v>
      </c>
      <c r="X1248" s="3" t="n">
        <v>0.076</v>
      </c>
      <c r="Y1248" s="3" t="n">
        <v>0.5279</v>
      </c>
      <c r="Z1248" s="14" t="n">
        <f aca="false">Assumptions!$B$3*R1248+Assumptions!$B$4*S1248+IF(AA1248=1,Assumptions!$B$11,Assumptions!$B$5)*X1248+IF(AA1248=1,Assumptions!$B$12,Assumptions!$B$6)*T1248+Assumptions!$B$7*U1248+Assumptions!$B$8*V1248+Assumptions!$B$9*Y1248</f>
        <v>0.354866</v>
      </c>
      <c r="AA1248" s="3" t="n">
        <v>0</v>
      </c>
    </row>
    <row r="1249" customFormat="false" ht="15" hidden="false" customHeight="false" outlineLevel="0" collapsed="false">
      <c r="A1249" s="3" t="s">
        <v>1434</v>
      </c>
      <c r="B1249" s="3" t="n">
        <v>305</v>
      </c>
      <c r="C1249" s="11" t="str">
        <f aca="false">IF(M1249&gt;=Assumptions!$B$17,"S+",IF(M1249&gt;=Assumptions!$B$18,"S",IF(M1249&gt;=Assumptions!$B$19,"A",IF(M1249&gt;=Assumptions!$B$20,"B",IF(M1249&gt;=Assumptions!$B$21,"C",IF(M1249&gt;=Assumptions!$B$22,"D","F"))))))</f>
        <v>F</v>
      </c>
      <c r="D1249" s="3" t="s">
        <v>218</v>
      </c>
      <c r="E1249" s="3" t="n">
        <v>3</v>
      </c>
      <c r="F1249" s="12" t="n">
        <v>0.557</v>
      </c>
      <c r="G1249" s="12" t="n">
        <v>0.4</v>
      </c>
      <c r="H1249" s="12" t="n">
        <v>0.75</v>
      </c>
      <c r="I1249" s="12" t="n">
        <v>0.5202</v>
      </c>
      <c r="J1249" s="12" t="n">
        <v>0.2331</v>
      </c>
      <c r="K1249" s="12" t="n">
        <v>0.3597</v>
      </c>
      <c r="L1249" s="3" t="n">
        <v>5.71</v>
      </c>
      <c r="M1249" s="12" t="n">
        <f aca="false">Z1249-W1249</f>
        <v>-0.154331</v>
      </c>
      <c r="N1249" s="12" t="n">
        <f aca="false">IFERROR((Z1249-J1249)/L1249,"")</f>
        <v>0.0221661996497373</v>
      </c>
      <c r="O1249" s="3" t="n">
        <v>17</v>
      </c>
      <c r="P1249" s="13" t="b">
        <f aca="false">FALSE()</f>
        <v>0</v>
      </c>
      <c r="Q1249" s="3" t="s">
        <v>166</v>
      </c>
      <c r="R1249" s="12" t="n">
        <v>0.6279</v>
      </c>
      <c r="S1249" s="12" t="n">
        <v>0.2574</v>
      </c>
      <c r="T1249" s="3" t="n">
        <v>0.1535</v>
      </c>
      <c r="U1249" s="12" t="n">
        <v>0.2127</v>
      </c>
      <c r="V1249" s="12" t="n">
        <v>0.4427</v>
      </c>
      <c r="W1249" s="12" t="n">
        <v>0.514</v>
      </c>
      <c r="X1249" s="3" t="n">
        <v>0.1658</v>
      </c>
      <c r="Y1249" s="3" t="n">
        <v>0.4289</v>
      </c>
      <c r="Z1249" s="14" t="n">
        <f aca="false">Assumptions!$B$3*R1249+Assumptions!$B$4*S1249+IF(AA1249=1,Assumptions!$B$11,Assumptions!$B$5)*X1249+IF(AA1249=1,Assumptions!$B$12,Assumptions!$B$6)*T1249+Assumptions!$B$7*U1249+Assumptions!$B$8*V1249+Assumptions!$B$9*Y1249</f>
        <v>0.359669</v>
      </c>
      <c r="AA1249" s="3" t="n">
        <v>0</v>
      </c>
    </row>
    <row r="1250" customFormat="false" ht="15" hidden="false" customHeight="false" outlineLevel="0" collapsed="false">
      <c r="A1250" s="3" t="s">
        <v>1435</v>
      </c>
      <c r="B1250" s="3" t="n">
        <v>245</v>
      </c>
      <c r="C1250" s="11" t="str">
        <f aca="false">IF(M1250&gt;=Assumptions!$B$17,"S+",IF(M1250&gt;=Assumptions!$B$18,"S",IF(M1250&gt;=Assumptions!$B$19,"A",IF(M1250&gt;=Assumptions!$B$20,"B",IF(M1250&gt;=Assumptions!$B$21,"C",IF(M1250&gt;=Assumptions!$B$22,"D","F"))))))</f>
        <v>F</v>
      </c>
      <c r="D1250" s="3" t="s">
        <v>197</v>
      </c>
      <c r="E1250" s="3" t="n">
        <v>1</v>
      </c>
      <c r="F1250" s="12" t="n">
        <v>0.486</v>
      </c>
      <c r="G1250" s="12" t="n">
        <v>0.8</v>
      </c>
      <c r="H1250" s="12" t="n">
        <v>0.75</v>
      </c>
      <c r="I1250" s="12" t="n">
        <v>0.6707</v>
      </c>
      <c r="J1250" s="12" t="n">
        <v>0.2765</v>
      </c>
      <c r="K1250" s="12" t="n">
        <v>0.3554</v>
      </c>
      <c r="L1250" s="3" t="n">
        <v>6.42</v>
      </c>
      <c r="M1250" s="12" t="n">
        <f aca="false">Z1250-W1250</f>
        <v>-0.154714</v>
      </c>
      <c r="N1250" s="12" t="n">
        <f aca="false">IFERROR((Z1250-J1250)/L1250,"")</f>
        <v>0.01228753894081</v>
      </c>
      <c r="O1250" s="3" t="n">
        <v>19</v>
      </c>
      <c r="P1250" s="13" t="b">
        <f aca="false">FALSE()</f>
        <v>0</v>
      </c>
      <c r="Q1250" s="3" t="s">
        <v>166</v>
      </c>
      <c r="R1250" s="12" t="n">
        <v>0.5027</v>
      </c>
      <c r="S1250" s="12" t="n">
        <v>0.2913</v>
      </c>
      <c r="T1250" s="3" t="n">
        <v>0.1779</v>
      </c>
      <c r="U1250" s="12" t="n">
        <v>0.1903</v>
      </c>
      <c r="V1250" s="12" t="n">
        <v>0.4557</v>
      </c>
      <c r="W1250" s="12" t="n">
        <v>0.5101</v>
      </c>
      <c r="X1250" s="3" t="n">
        <v>0.1719</v>
      </c>
      <c r="Y1250" s="3" t="n">
        <v>0.6298</v>
      </c>
      <c r="Z1250" s="14" t="n">
        <f aca="false">Assumptions!$B$3*R1250+Assumptions!$B$4*S1250+IF(AA1250=1,Assumptions!$B$11,Assumptions!$B$5)*X1250+IF(AA1250=1,Assumptions!$B$12,Assumptions!$B$6)*T1250+Assumptions!$B$7*U1250+Assumptions!$B$8*V1250+Assumptions!$B$9*Y1250</f>
        <v>0.355386</v>
      </c>
      <c r="AA1250" s="3" t="n">
        <v>0</v>
      </c>
    </row>
    <row r="1251" customFormat="false" ht="15" hidden="false" customHeight="false" outlineLevel="0" collapsed="false">
      <c r="A1251" s="3" t="s">
        <v>1436</v>
      </c>
      <c r="B1251" s="3" t="n">
        <v>185</v>
      </c>
      <c r="C1251" s="11" t="str">
        <f aca="false">IF(M1251&gt;=Assumptions!$B$17,"S+",IF(M1251&gt;=Assumptions!$B$18,"S",IF(M1251&gt;=Assumptions!$B$19,"A",IF(M1251&gt;=Assumptions!$B$20,"B",IF(M1251&gt;=Assumptions!$B$21,"C",IF(M1251&gt;=Assumptions!$B$22,"D","F"))))))</f>
        <v>F</v>
      </c>
      <c r="D1251" s="3" t="s">
        <v>206</v>
      </c>
      <c r="E1251" s="3" t="n">
        <v>2</v>
      </c>
      <c r="F1251" s="12" t="n">
        <v>0.2767</v>
      </c>
      <c r="G1251" s="12" t="n">
        <v>0.64</v>
      </c>
      <c r="H1251" s="12" t="n">
        <v>0.254</v>
      </c>
      <c r="I1251" s="12" t="n">
        <v>0.4418</v>
      </c>
      <c r="J1251" s="12" t="n">
        <v>0.1125</v>
      </c>
      <c r="K1251" s="12" t="n">
        <v>0.2771</v>
      </c>
      <c r="L1251" s="3" t="n">
        <v>6.67</v>
      </c>
      <c r="M1251" s="12" t="n">
        <f aca="false">Z1251-W1251</f>
        <v>-0.162415</v>
      </c>
      <c r="N1251" s="12" t="n">
        <f aca="false">IFERROR((Z1251-J1251)/L1251,"")</f>
        <v>0.0246754122938531</v>
      </c>
      <c r="O1251" s="3" t="n">
        <v>18</v>
      </c>
      <c r="P1251" s="13" t="b">
        <f aca="false">FALSE()</f>
        <v>0</v>
      </c>
      <c r="Q1251" s="3" t="s">
        <v>166</v>
      </c>
      <c r="R1251" s="12" t="n">
        <v>0.4971</v>
      </c>
      <c r="S1251" s="12" t="n">
        <v>0.1964</v>
      </c>
      <c r="T1251" s="3" t="n">
        <v>0.0685</v>
      </c>
      <c r="U1251" s="12" t="n">
        <v>0.1923</v>
      </c>
      <c r="V1251" s="12" t="n">
        <v>0.3207</v>
      </c>
      <c r="W1251" s="12" t="n">
        <v>0.4395</v>
      </c>
      <c r="X1251" s="3" t="n">
        <v>0.0883</v>
      </c>
      <c r="Y1251" s="3" t="n">
        <v>0.3994</v>
      </c>
      <c r="Z1251" s="14" t="n">
        <f aca="false">Assumptions!$B$3*R1251+Assumptions!$B$4*S1251+IF(AA1251=1,Assumptions!$B$11,Assumptions!$B$5)*X1251+IF(AA1251=1,Assumptions!$B$12,Assumptions!$B$6)*T1251+Assumptions!$B$7*U1251+Assumptions!$B$8*V1251+Assumptions!$B$9*Y1251</f>
        <v>0.277085</v>
      </c>
      <c r="AA1251" s="3" t="n">
        <v>1</v>
      </c>
    </row>
    <row r="1252" customFormat="false" ht="15" hidden="false" customHeight="false" outlineLevel="0" collapsed="false">
      <c r="A1252" s="3" t="s">
        <v>1437</v>
      </c>
      <c r="B1252" s="3" t="n">
        <v>210</v>
      </c>
      <c r="C1252" s="11" t="str">
        <f aca="false">IF(M1252&gt;=Assumptions!$B$17,"S+",IF(M1252&gt;=Assumptions!$B$18,"S",IF(M1252&gt;=Assumptions!$B$19,"A",IF(M1252&gt;=Assumptions!$B$20,"B",IF(M1252&gt;=Assumptions!$B$21,"C",IF(M1252&gt;=Assumptions!$B$22,"D","F"))))))</f>
        <v>F</v>
      </c>
      <c r="D1252" s="3" t="s">
        <v>218</v>
      </c>
      <c r="E1252" s="3" t="n">
        <v>3</v>
      </c>
      <c r="F1252" s="12" t="n">
        <v>0.2227</v>
      </c>
      <c r="G1252" s="12" t="n">
        <v>1</v>
      </c>
      <c r="H1252" s="12" t="n">
        <v>0.75</v>
      </c>
      <c r="I1252" s="12" t="n">
        <v>0.7012</v>
      </c>
      <c r="J1252" s="12" t="n">
        <v>0.1213</v>
      </c>
      <c r="K1252" s="12" t="n">
        <v>0.3322</v>
      </c>
      <c r="L1252" s="3" t="n">
        <v>5.91</v>
      </c>
      <c r="M1252" s="12" t="n">
        <f aca="false">Z1252-W1252</f>
        <v>-0.169084</v>
      </c>
      <c r="N1252" s="12" t="n">
        <f aca="false">IFERROR((Z1252-J1252)/L1252,"")</f>
        <v>0.035687986463621</v>
      </c>
      <c r="O1252" s="3" t="n">
        <v>17</v>
      </c>
      <c r="P1252" s="13" t="b">
        <f aca="false">FALSE()</f>
        <v>0</v>
      </c>
      <c r="Q1252" s="3" t="s">
        <v>166</v>
      </c>
      <c r="R1252" s="12" t="n">
        <v>0.5241</v>
      </c>
      <c r="S1252" s="12" t="n">
        <v>0.1752</v>
      </c>
      <c r="T1252" s="3" t="n">
        <v>0.0951</v>
      </c>
      <c r="U1252" s="12" t="n">
        <v>0.3891</v>
      </c>
      <c r="V1252" s="12" t="n">
        <v>0.4638</v>
      </c>
      <c r="W1252" s="12" t="n">
        <v>0.5013</v>
      </c>
      <c r="X1252" s="3" t="n">
        <v>0.049</v>
      </c>
      <c r="Y1252" s="3" t="n">
        <v>0.6049</v>
      </c>
      <c r="Z1252" s="14" t="n">
        <f aca="false">Assumptions!$B$3*R1252+Assumptions!$B$4*S1252+IF(AA1252=1,Assumptions!$B$11,Assumptions!$B$5)*X1252+IF(AA1252=1,Assumptions!$B$12,Assumptions!$B$6)*T1252+Assumptions!$B$7*U1252+Assumptions!$B$8*V1252+Assumptions!$B$9*Y1252</f>
        <v>0.332216</v>
      </c>
      <c r="AA1252" s="3" t="n">
        <v>0</v>
      </c>
    </row>
    <row r="1253" customFormat="false" ht="15" hidden="false" customHeight="false" outlineLevel="0" collapsed="false">
      <c r="A1253" s="3" t="s">
        <v>1438</v>
      </c>
      <c r="B1253" s="3" t="n">
        <v>180</v>
      </c>
      <c r="C1253" s="11" t="str">
        <f aca="false">IF(M1253&gt;=Assumptions!$B$17,"S+",IF(M1253&gt;=Assumptions!$B$18,"S",IF(M1253&gt;=Assumptions!$B$19,"A",IF(M1253&gt;=Assumptions!$B$20,"B",IF(M1253&gt;=Assumptions!$B$21,"C",IF(M1253&gt;=Assumptions!$B$22,"D","F"))))))</f>
        <v>F</v>
      </c>
      <c r="D1253" s="3" t="s">
        <v>253</v>
      </c>
      <c r="E1253" s="3" t="n">
        <v>3</v>
      </c>
      <c r="F1253" s="12" t="n">
        <v>0.2576</v>
      </c>
      <c r="G1253" s="12" t="n">
        <v>1</v>
      </c>
      <c r="H1253" s="12" t="n">
        <v>0.75</v>
      </c>
      <c r="I1253" s="12" t="n">
        <v>0.7124</v>
      </c>
      <c r="J1253" s="12" t="n">
        <v>0.2302</v>
      </c>
      <c r="K1253" s="12" t="n">
        <v>0.3402</v>
      </c>
      <c r="L1253" s="3" t="n">
        <v>5.82</v>
      </c>
      <c r="M1253" s="12" t="n">
        <f aca="false">Z1253-W1253</f>
        <v>-0.178867</v>
      </c>
      <c r="N1253" s="12" t="n">
        <f aca="false">IFERROR((Z1253-J1253)/L1253,"")</f>
        <v>0.0189060137457045</v>
      </c>
      <c r="O1253" s="3" t="n">
        <v>17</v>
      </c>
      <c r="P1253" s="13" t="b">
        <f aca="false">FALSE()</f>
        <v>0</v>
      </c>
      <c r="Q1253" s="3" t="s">
        <v>166</v>
      </c>
      <c r="R1253" s="12" t="n">
        <v>0.459</v>
      </c>
      <c r="S1253" s="12" t="n">
        <v>0.1363</v>
      </c>
      <c r="T1253" s="3" t="n">
        <v>0.0757</v>
      </c>
      <c r="U1253" s="12" t="n">
        <v>0.4978</v>
      </c>
      <c r="V1253" s="12" t="n">
        <v>0.4498</v>
      </c>
      <c r="W1253" s="12" t="n">
        <v>0.5191</v>
      </c>
      <c r="X1253" s="3" t="n">
        <v>0.1561</v>
      </c>
      <c r="Y1253" s="3" t="n">
        <v>0.6713</v>
      </c>
      <c r="Z1253" s="14" t="n">
        <f aca="false">Assumptions!$B$3*R1253+Assumptions!$B$4*S1253+IF(AA1253=1,Assumptions!$B$11,Assumptions!$B$5)*X1253+IF(AA1253=1,Assumptions!$B$12,Assumptions!$B$6)*T1253+Assumptions!$B$7*U1253+Assumptions!$B$8*V1253+Assumptions!$B$9*Y1253</f>
        <v>0.340233</v>
      </c>
      <c r="AA1253" s="3" t="n">
        <v>0</v>
      </c>
    </row>
    <row r="1254" customFormat="false" ht="15" hidden="false" customHeight="false" outlineLevel="0" collapsed="false">
      <c r="A1254" s="3" t="s">
        <v>1439</v>
      </c>
      <c r="B1254" s="3" t="n">
        <v>210</v>
      </c>
      <c r="C1254" s="11" t="str">
        <f aca="false">IF(M1254&gt;=Assumptions!$B$17,"S+",IF(M1254&gt;=Assumptions!$B$18,"S",IF(M1254&gt;=Assumptions!$B$19,"A",IF(M1254&gt;=Assumptions!$B$20,"B",IF(M1254&gt;=Assumptions!$B$21,"C",IF(M1254&gt;=Assumptions!$B$22,"D","F"))))))</f>
        <v>F</v>
      </c>
      <c r="D1254" s="3" t="s">
        <v>218</v>
      </c>
      <c r="E1254" s="3" t="n">
        <v>1</v>
      </c>
      <c r="F1254" s="12" t="n">
        <v>0.4065</v>
      </c>
      <c r="G1254" s="12" t="n">
        <v>1</v>
      </c>
      <c r="H1254" s="12" t="n">
        <v>0.75</v>
      </c>
      <c r="I1254" s="12" t="n">
        <v>0.7601</v>
      </c>
      <c r="J1254" s="12" t="n">
        <v>0.2036</v>
      </c>
      <c r="K1254" s="12" t="n">
        <v>0.337</v>
      </c>
      <c r="L1254" s="3" t="n">
        <v>6.55</v>
      </c>
      <c r="M1254" s="12" t="n">
        <f aca="false">Z1254-W1254</f>
        <v>-0.18022</v>
      </c>
      <c r="N1254" s="12" t="n">
        <f aca="false">IFERROR((Z1254-J1254)/L1254,"")</f>
        <v>0.020363358778626</v>
      </c>
      <c r="O1254" s="3" t="n">
        <v>19</v>
      </c>
      <c r="P1254" s="13" t="b">
        <f aca="false">FALSE()</f>
        <v>0</v>
      </c>
      <c r="Q1254" s="3" t="s">
        <v>166</v>
      </c>
      <c r="R1254" s="12" t="n">
        <v>0.536</v>
      </c>
      <c r="S1254" s="12" t="n">
        <v>0.1409</v>
      </c>
      <c r="T1254" s="3" t="n">
        <v>0.228</v>
      </c>
      <c r="U1254" s="12" t="n">
        <v>0.332</v>
      </c>
      <c r="V1254" s="12" t="n">
        <v>0.4707</v>
      </c>
      <c r="W1254" s="12" t="n">
        <v>0.5172</v>
      </c>
      <c r="X1254" s="3" t="n">
        <v>0.0468</v>
      </c>
      <c r="Y1254" s="3" t="n">
        <v>0.5666</v>
      </c>
      <c r="Z1254" s="14" t="n">
        <f aca="false">Assumptions!$B$3*R1254+Assumptions!$B$4*S1254+IF(AA1254=1,Assumptions!$B$11,Assumptions!$B$5)*X1254+IF(AA1254=1,Assumptions!$B$12,Assumptions!$B$6)*T1254+Assumptions!$B$7*U1254+Assumptions!$B$8*V1254+Assumptions!$B$9*Y1254</f>
        <v>0.33698</v>
      </c>
      <c r="AA1254" s="3" t="n">
        <v>0</v>
      </c>
    </row>
    <row r="1255" customFormat="false" ht="15" hidden="false" customHeight="false" outlineLevel="0" collapsed="false">
      <c r="A1255" s="3" t="s">
        <v>1440</v>
      </c>
      <c r="B1255" s="3" t="n">
        <v>195</v>
      </c>
      <c r="C1255" s="11" t="str">
        <f aca="false">IF(M1255&gt;=Assumptions!$B$17,"S+",IF(M1255&gt;=Assumptions!$B$18,"S",IF(M1255&gt;=Assumptions!$B$19,"A",IF(M1255&gt;=Assumptions!$B$20,"B",IF(M1255&gt;=Assumptions!$B$21,"C",IF(M1255&gt;=Assumptions!$B$22,"D","F"))))))</f>
        <v>F</v>
      </c>
      <c r="D1255" s="3" t="s">
        <v>188</v>
      </c>
      <c r="E1255" s="3" t="n">
        <v>1</v>
      </c>
      <c r="F1255" s="12" t="n">
        <v>0.5623</v>
      </c>
      <c r="G1255" s="12" t="n">
        <v>0.15</v>
      </c>
      <c r="H1255" s="12" t="n">
        <v>0.75</v>
      </c>
      <c r="I1255" s="12" t="n">
        <v>0.3318</v>
      </c>
      <c r="J1255" s="12" t="n">
        <v>0.1332</v>
      </c>
      <c r="K1255" s="12" t="n">
        <v>0.2278</v>
      </c>
      <c r="L1255" s="3" t="n">
        <v>2.79</v>
      </c>
      <c r="M1255" s="12" t="n">
        <f aca="false">Z1255-W1255</f>
        <v>-0.181009</v>
      </c>
      <c r="N1255" s="12" t="n">
        <f aca="false">IFERROR((Z1255-J1255)/L1255,"")</f>
        <v>0.0339035842293907</v>
      </c>
      <c r="O1255" s="3" t="n">
        <v>19</v>
      </c>
      <c r="P1255" s="13" t="b">
        <f aca="false">FALSE()</f>
        <v>0</v>
      </c>
      <c r="Q1255" s="3" t="s">
        <v>166</v>
      </c>
      <c r="R1255" s="12" t="n">
        <v>0.3477</v>
      </c>
      <c r="S1255" s="12" t="n">
        <v>0.1341</v>
      </c>
      <c r="T1255" s="3" t="n">
        <v>0.2368</v>
      </c>
      <c r="U1255" s="12" t="n">
        <v>0.0688</v>
      </c>
      <c r="V1255" s="12" t="n">
        <v>0.4738</v>
      </c>
      <c r="W1255" s="12" t="n">
        <v>0.4088</v>
      </c>
      <c r="X1255" s="3" t="n">
        <v>0</v>
      </c>
      <c r="Y1255" s="3" t="n">
        <v>0.2986</v>
      </c>
      <c r="Z1255" s="14" t="n">
        <f aca="false">Assumptions!$B$3*R1255+Assumptions!$B$4*S1255+IF(AA1255=1,Assumptions!$B$11,Assumptions!$B$5)*X1255+IF(AA1255=1,Assumptions!$B$12,Assumptions!$B$6)*T1255+Assumptions!$B$7*U1255+Assumptions!$B$8*V1255+Assumptions!$B$9*Y1255</f>
        <v>0.227791</v>
      </c>
      <c r="AA1255" s="3" t="n">
        <v>0</v>
      </c>
    </row>
    <row r="1256" customFormat="false" ht="15" hidden="false" customHeight="false" outlineLevel="0" collapsed="false">
      <c r="A1256" s="3" t="s">
        <v>1441</v>
      </c>
      <c r="B1256" s="3" t="n">
        <v>224</v>
      </c>
      <c r="C1256" s="11" t="str">
        <f aca="false">IF(M1256&gt;=Assumptions!$B$17,"S+",IF(M1256&gt;=Assumptions!$B$18,"S",IF(M1256&gt;=Assumptions!$B$19,"A",IF(M1256&gt;=Assumptions!$B$20,"B",IF(M1256&gt;=Assumptions!$B$21,"C",IF(M1256&gt;=Assumptions!$B$22,"D","F"))))))</f>
        <v>F</v>
      </c>
      <c r="D1256" s="3" t="s">
        <v>188</v>
      </c>
      <c r="E1256" s="3" t="n">
        <v>1</v>
      </c>
      <c r="F1256" s="12" t="n">
        <v>0.3082</v>
      </c>
      <c r="G1256" s="12" t="n">
        <v>0.15</v>
      </c>
      <c r="H1256" s="12" t="n">
        <v>0.75</v>
      </c>
      <c r="I1256" s="12" t="n">
        <v>0.2937</v>
      </c>
      <c r="J1256" s="12" t="n">
        <v>0.1398</v>
      </c>
      <c r="K1256" s="12" t="n">
        <v>0.2271</v>
      </c>
      <c r="L1256" s="3" t="n">
        <v>3.21</v>
      </c>
      <c r="M1256" s="12" t="n">
        <f aca="false">Z1256-W1256</f>
        <v>-0.181694</v>
      </c>
      <c r="N1256" s="12" t="n">
        <f aca="false">IFERROR((Z1256-J1256)/L1256,"")</f>
        <v>0.0271981308411215</v>
      </c>
      <c r="O1256" s="3" t="n">
        <v>19</v>
      </c>
      <c r="P1256" s="13" t="b">
        <f aca="false">FALSE()</f>
        <v>0</v>
      </c>
      <c r="Q1256" s="3" t="s">
        <v>166</v>
      </c>
      <c r="R1256" s="12" t="n">
        <v>0.3096</v>
      </c>
      <c r="S1256" s="12" t="n">
        <v>0.2989</v>
      </c>
      <c r="T1256" s="3" t="n">
        <v>0.1399</v>
      </c>
      <c r="U1256" s="12" t="n">
        <v>0.0688</v>
      </c>
      <c r="V1256" s="12" t="n">
        <v>0.4707</v>
      </c>
      <c r="W1256" s="12" t="n">
        <v>0.4088</v>
      </c>
      <c r="X1256" s="3" t="n">
        <v>0</v>
      </c>
      <c r="Y1256" s="3" t="n">
        <v>0.2633</v>
      </c>
      <c r="Z1256" s="14" t="n">
        <f aca="false">Assumptions!$B$3*R1256+Assumptions!$B$4*S1256+IF(AA1256=1,Assumptions!$B$11,Assumptions!$B$5)*X1256+IF(AA1256=1,Assumptions!$B$12,Assumptions!$B$6)*T1256+Assumptions!$B$7*U1256+Assumptions!$B$8*V1256+Assumptions!$B$9*Y1256</f>
        <v>0.227106</v>
      </c>
      <c r="AA1256" s="3" t="n">
        <v>0</v>
      </c>
    </row>
    <row r="1257" customFormat="false" ht="15" hidden="false" customHeight="false" outlineLevel="0" collapsed="false">
      <c r="A1257" s="3" t="s">
        <v>1442</v>
      </c>
      <c r="B1257" s="3" t="n">
        <v>195</v>
      </c>
      <c r="C1257" s="11" t="str">
        <f aca="false">IF(M1257&gt;=Assumptions!$B$17,"S+",IF(M1257&gt;=Assumptions!$B$18,"S",IF(M1257&gt;=Assumptions!$B$19,"A",IF(M1257&gt;=Assumptions!$B$20,"B",IF(M1257&gt;=Assumptions!$B$21,"C",IF(M1257&gt;=Assumptions!$B$22,"D","F"))))))</f>
        <v>F</v>
      </c>
      <c r="D1257" s="3" t="s">
        <v>188</v>
      </c>
      <c r="E1257" s="3" t="n">
        <v>1</v>
      </c>
      <c r="F1257" s="12" t="n">
        <v>0.4982</v>
      </c>
      <c r="G1257" s="12" t="n">
        <v>0.15</v>
      </c>
      <c r="H1257" s="12" t="n">
        <v>0.75</v>
      </c>
      <c r="I1257" s="12" t="n">
        <v>0.3222</v>
      </c>
      <c r="J1257" s="12" t="n">
        <v>0.1304</v>
      </c>
      <c r="K1257" s="12" t="n">
        <v>0.2259</v>
      </c>
      <c r="L1257" s="3" t="n">
        <v>2.79</v>
      </c>
      <c r="M1257" s="12" t="n">
        <f aca="false">Z1257-W1257</f>
        <v>-0.182939</v>
      </c>
      <c r="N1257" s="12" t="n">
        <f aca="false">IFERROR((Z1257-J1257)/L1257,"")</f>
        <v>0.0342154121863799</v>
      </c>
      <c r="O1257" s="3" t="n">
        <v>19</v>
      </c>
      <c r="P1257" s="13" t="b">
        <f aca="false">FALSE()</f>
        <v>0</v>
      </c>
      <c r="Q1257" s="3" t="s">
        <v>166</v>
      </c>
      <c r="R1257" s="12" t="n">
        <v>0.3344</v>
      </c>
      <c r="S1257" s="12" t="n">
        <v>0.1596</v>
      </c>
      <c r="T1257" s="3" t="n">
        <v>0.228</v>
      </c>
      <c r="U1257" s="12" t="n">
        <v>0.0688</v>
      </c>
      <c r="V1257" s="12" t="n">
        <v>0.4707</v>
      </c>
      <c r="W1257" s="12" t="n">
        <v>0.4088</v>
      </c>
      <c r="X1257" s="3" t="n">
        <v>0</v>
      </c>
      <c r="Y1257" s="3" t="n">
        <v>0.2896</v>
      </c>
      <c r="Z1257" s="14" t="n">
        <f aca="false">Assumptions!$B$3*R1257+Assumptions!$B$4*S1257+IF(AA1257=1,Assumptions!$B$11,Assumptions!$B$5)*X1257+IF(AA1257=1,Assumptions!$B$12,Assumptions!$B$6)*T1257+Assumptions!$B$7*U1257+Assumptions!$B$8*V1257+Assumptions!$B$9*Y1257</f>
        <v>0.225861</v>
      </c>
      <c r="AA1257" s="3" t="n">
        <v>0</v>
      </c>
    </row>
    <row r="1258" customFormat="false" ht="15" hidden="false" customHeight="false" outlineLevel="0" collapsed="false">
      <c r="A1258" s="3" t="s">
        <v>1443</v>
      </c>
      <c r="B1258" s="3" t="n">
        <v>205</v>
      </c>
      <c r="C1258" s="11" t="str">
        <f aca="false">IF(M1258&gt;=Assumptions!$B$17,"S+",IF(M1258&gt;=Assumptions!$B$18,"S",IF(M1258&gt;=Assumptions!$B$19,"A",IF(M1258&gt;=Assumptions!$B$20,"B",IF(M1258&gt;=Assumptions!$B$21,"C",IF(M1258&gt;=Assumptions!$B$22,"D","F"))))))</f>
        <v>F</v>
      </c>
      <c r="D1258" s="3" t="s">
        <v>188</v>
      </c>
      <c r="E1258" s="3" t="n">
        <v>1</v>
      </c>
      <c r="F1258" s="12" t="n">
        <v>0.0332</v>
      </c>
      <c r="G1258" s="12" t="n">
        <v>0.15</v>
      </c>
      <c r="H1258" s="12" t="n">
        <v>0.75</v>
      </c>
      <c r="I1258" s="12" t="n">
        <v>0.2525</v>
      </c>
      <c r="J1258" s="12" t="n">
        <v>0.1376</v>
      </c>
      <c r="K1258" s="12" t="n">
        <v>0.2194</v>
      </c>
      <c r="L1258" s="3" t="n">
        <v>3.08</v>
      </c>
      <c r="M1258" s="12" t="n">
        <f aca="false">Z1258-W1258</f>
        <v>-0.18945</v>
      </c>
      <c r="N1258" s="12" t="n">
        <f aca="false">IFERROR((Z1258-J1258)/L1258,"")</f>
        <v>0.0265422077922078</v>
      </c>
      <c r="O1258" s="3" t="n">
        <v>19</v>
      </c>
      <c r="P1258" s="13" t="b">
        <f aca="false">FALSE()</f>
        <v>0</v>
      </c>
      <c r="Q1258" s="3" t="s">
        <v>201</v>
      </c>
      <c r="R1258" s="12" t="n">
        <v>0.3411</v>
      </c>
      <c r="S1258" s="12" t="n">
        <v>0.2665</v>
      </c>
      <c r="T1258" s="3" t="n">
        <v>0.0786</v>
      </c>
      <c r="U1258" s="12" t="n">
        <v>0.0688</v>
      </c>
      <c r="V1258" s="12" t="n">
        <v>0.4707</v>
      </c>
      <c r="W1258" s="12" t="n">
        <v>0.4088</v>
      </c>
      <c r="X1258" s="3" t="n">
        <v>0</v>
      </c>
      <c r="Y1258" s="3" t="n">
        <v>0.226</v>
      </c>
      <c r="Z1258" s="14" t="n">
        <f aca="false">Assumptions!$B$3*R1258+Assumptions!$B$4*S1258+IF(AA1258=1,Assumptions!$B$11,Assumptions!$B$5)*X1258+IF(AA1258=1,Assumptions!$B$12,Assumptions!$B$6)*T1258+Assumptions!$B$7*U1258+Assumptions!$B$8*V1258+Assumptions!$B$9*Y1258</f>
        <v>0.21935</v>
      </c>
      <c r="AA1258" s="3" t="n">
        <v>0</v>
      </c>
    </row>
    <row r="1259" customFormat="false" ht="15" hidden="false" customHeight="false" outlineLevel="0" collapsed="false">
      <c r="A1259" s="3" t="s">
        <v>1444</v>
      </c>
      <c r="B1259" s="3" t="n">
        <v>205</v>
      </c>
      <c r="C1259" s="11" t="str">
        <f aca="false">IF(M1259&gt;=Assumptions!$B$17,"S+",IF(M1259&gt;=Assumptions!$B$18,"S",IF(M1259&gt;=Assumptions!$B$19,"A",IF(M1259&gt;=Assumptions!$B$20,"B",IF(M1259&gt;=Assumptions!$B$21,"C",IF(M1259&gt;=Assumptions!$B$22,"D","F"))))))</f>
        <v>F</v>
      </c>
      <c r="D1259" s="3" t="s">
        <v>188</v>
      </c>
      <c r="E1259" s="3" t="n">
        <v>1</v>
      </c>
      <c r="F1259" s="12" t="n">
        <v>0.0332</v>
      </c>
      <c r="G1259" s="12" t="n">
        <v>0.15</v>
      </c>
      <c r="H1259" s="12" t="n">
        <v>0.75</v>
      </c>
      <c r="I1259" s="12" t="n">
        <v>0.2525</v>
      </c>
      <c r="J1259" s="12" t="n">
        <v>0.1376</v>
      </c>
      <c r="K1259" s="12" t="n">
        <v>0.2194</v>
      </c>
      <c r="L1259" s="3" t="n">
        <v>3.08</v>
      </c>
      <c r="M1259" s="12" t="n">
        <f aca="false">Z1259-W1259</f>
        <v>-0.18945</v>
      </c>
      <c r="N1259" s="12" t="n">
        <f aca="false">IFERROR((Z1259-J1259)/L1259,"")</f>
        <v>0.0265422077922078</v>
      </c>
      <c r="O1259" s="3" t="n">
        <v>19</v>
      </c>
      <c r="P1259" s="13" t="b">
        <f aca="false">FALSE()</f>
        <v>0</v>
      </c>
      <c r="Q1259" s="3" t="s">
        <v>201</v>
      </c>
      <c r="R1259" s="12" t="n">
        <v>0.3411</v>
      </c>
      <c r="S1259" s="12" t="n">
        <v>0.2665</v>
      </c>
      <c r="T1259" s="3" t="n">
        <v>0.0786</v>
      </c>
      <c r="U1259" s="12" t="n">
        <v>0.0688</v>
      </c>
      <c r="V1259" s="12" t="n">
        <v>0.4707</v>
      </c>
      <c r="W1259" s="12" t="n">
        <v>0.4088</v>
      </c>
      <c r="X1259" s="3" t="n">
        <v>0</v>
      </c>
      <c r="Y1259" s="3" t="n">
        <v>0.226</v>
      </c>
      <c r="Z1259" s="14" t="n">
        <f aca="false">Assumptions!$B$3*R1259+Assumptions!$B$4*S1259+IF(AA1259=1,Assumptions!$B$11,Assumptions!$B$5)*X1259+IF(AA1259=1,Assumptions!$B$12,Assumptions!$B$6)*T1259+Assumptions!$B$7*U1259+Assumptions!$B$8*V1259+Assumptions!$B$9*Y1259</f>
        <v>0.21935</v>
      </c>
      <c r="AA1259" s="3" t="n">
        <v>0</v>
      </c>
    </row>
    <row r="1260" customFormat="false" ht="15" hidden="false" customHeight="false" outlineLevel="0" collapsed="false">
      <c r="A1260" s="3" t="s">
        <v>1445</v>
      </c>
      <c r="B1260" s="3" t="n">
        <v>195</v>
      </c>
      <c r="C1260" s="11" t="str">
        <f aca="false">IF(M1260&gt;=Assumptions!$B$17,"S+",IF(M1260&gt;=Assumptions!$B$18,"S",IF(M1260&gt;=Assumptions!$B$19,"A",IF(M1260&gt;=Assumptions!$B$20,"B",IF(M1260&gt;=Assumptions!$B$21,"C",IF(M1260&gt;=Assumptions!$B$22,"D","F"))))))</f>
        <v>F</v>
      </c>
      <c r="D1260" s="3" t="s">
        <v>188</v>
      </c>
      <c r="E1260" s="3" t="n">
        <v>1</v>
      </c>
      <c r="F1260" s="12" t="n">
        <v>0.0809</v>
      </c>
      <c r="G1260" s="12" t="n">
        <v>0.15</v>
      </c>
      <c r="H1260" s="12" t="n">
        <v>0.75</v>
      </c>
      <c r="I1260" s="12" t="n">
        <v>0.2596</v>
      </c>
      <c r="J1260" s="12" t="n">
        <v>0.134</v>
      </c>
      <c r="K1260" s="12" t="n">
        <v>0.2191</v>
      </c>
      <c r="L1260" s="3" t="n">
        <v>2.79</v>
      </c>
      <c r="M1260" s="12" t="n">
        <f aca="false">Z1260-W1260</f>
        <v>-0.189714</v>
      </c>
      <c r="N1260" s="12" t="n">
        <f aca="false">IFERROR((Z1260-J1260)/L1260,"")</f>
        <v>0.0304967741935484</v>
      </c>
      <c r="O1260" s="3" t="n">
        <v>19</v>
      </c>
      <c r="P1260" s="13" t="b">
        <f aca="false">FALSE()</f>
        <v>0</v>
      </c>
      <c r="Q1260" s="3" t="s">
        <v>166</v>
      </c>
      <c r="R1260" s="12" t="n">
        <v>0.3608</v>
      </c>
      <c r="S1260" s="12" t="n">
        <v>0.2057</v>
      </c>
      <c r="T1260" s="3" t="n">
        <v>0.1043</v>
      </c>
      <c r="U1260" s="12" t="n">
        <v>0.0688</v>
      </c>
      <c r="V1260" s="12" t="n">
        <v>0.4707</v>
      </c>
      <c r="W1260" s="12" t="n">
        <v>0.4088</v>
      </c>
      <c r="X1260" s="3" t="n">
        <v>0</v>
      </c>
      <c r="Y1260" s="3" t="n">
        <v>0.2325</v>
      </c>
      <c r="Z1260" s="14" t="n">
        <f aca="false">Assumptions!$B$3*R1260+Assumptions!$B$4*S1260+IF(AA1260=1,Assumptions!$B$11,Assumptions!$B$5)*X1260+IF(AA1260=1,Assumptions!$B$12,Assumptions!$B$6)*T1260+Assumptions!$B$7*U1260+Assumptions!$B$8*V1260+Assumptions!$B$9*Y1260</f>
        <v>0.219086</v>
      </c>
      <c r="AA1260" s="3" t="n">
        <v>0</v>
      </c>
    </row>
    <row r="1261" customFormat="false" ht="15" hidden="false" customHeight="false" outlineLevel="0" collapsed="false">
      <c r="A1261" s="3" t="s">
        <v>1446</v>
      </c>
      <c r="B1261" s="3" t="n">
        <v>405</v>
      </c>
      <c r="C1261" s="11" t="str">
        <f aca="false">IF(M1261&gt;=Assumptions!$B$17,"S+",IF(M1261&gt;=Assumptions!$B$18,"S",IF(M1261&gt;=Assumptions!$B$19,"A",IF(M1261&gt;=Assumptions!$B$20,"B",IF(M1261&gt;=Assumptions!$B$21,"C",IF(M1261&gt;=Assumptions!$B$22,"D","F"))))))</f>
        <v>F</v>
      </c>
      <c r="D1261" s="3" t="s">
        <v>171</v>
      </c>
      <c r="E1261" s="3" t="n">
        <v>1</v>
      </c>
      <c r="F1261" s="12" t="n">
        <v>0.7333</v>
      </c>
      <c r="G1261" s="12" t="n">
        <v>0</v>
      </c>
      <c r="H1261" s="12" t="n">
        <v>0.25</v>
      </c>
      <c r="I1261" s="12" t="n">
        <v>0.182</v>
      </c>
      <c r="J1261" s="12" t="n">
        <v>0.1885</v>
      </c>
      <c r="K1261" s="12" t="n">
        <v>0.2087</v>
      </c>
      <c r="L1261" s="3" t="n">
        <v>1.84</v>
      </c>
      <c r="M1261" s="12" t="n">
        <f aca="false">Z1261-W1261</f>
        <v>-0.191082</v>
      </c>
      <c r="N1261" s="12" t="n">
        <f aca="false">IFERROR((Z1261-J1261)/L1261,"")</f>
        <v>0.0109880434782609</v>
      </c>
      <c r="O1261" s="3" t="n">
        <v>19</v>
      </c>
      <c r="P1261" s="13" t="b">
        <f aca="false">FALSE()</f>
        <v>0</v>
      </c>
      <c r="Q1261" s="3" t="s">
        <v>166</v>
      </c>
      <c r="R1261" s="12" t="n">
        <v>0.0437</v>
      </c>
      <c r="S1261" s="12" t="n">
        <v>0.8174</v>
      </c>
      <c r="T1261" s="3" t="n">
        <v>0.1046</v>
      </c>
      <c r="U1261" s="12" t="n">
        <v>0</v>
      </c>
      <c r="V1261" s="12" t="n">
        <v>0.4722</v>
      </c>
      <c r="W1261" s="12" t="n">
        <v>0.3998</v>
      </c>
      <c r="X1261" s="3" t="n">
        <v>0</v>
      </c>
      <c r="Y1261" s="3" t="n">
        <v>0.1862</v>
      </c>
      <c r="Z1261" s="14" t="n">
        <f aca="false">Assumptions!$B$3*R1261+Assumptions!$B$4*S1261+IF(AA1261=1,Assumptions!$B$11,Assumptions!$B$5)*X1261+IF(AA1261=1,Assumptions!$B$12,Assumptions!$B$6)*T1261+Assumptions!$B$7*U1261+Assumptions!$B$8*V1261+Assumptions!$B$9*Y1261</f>
        <v>0.208718</v>
      </c>
      <c r="AA1261" s="3" t="n">
        <v>1</v>
      </c>
    </row>
    <row r="1262" customFormat="false" ht="15" hidden="false" customHeight="false" outlineLevel="0" collapsed="false">
      <c r="A1262" s="3" t="s">
        <v>1447</v>
      </c>
      <c r="B1262" s="3" t="n">
        <v>205</v>
      </c>
      <c r="C1262" s="11" t="str">
        <f aca="false">IF(M1262&gt;=Assumptions!$B$17,"S+",IF(M1262&gt;=Assumptions!$B$18,"S",IF(M1262&gt;=Assumptions!$B$19,"A",IF(M1262&gt;=Assumptions!$B$20,"B",IF(M1262&gt;=Assumptions!$B$21,"C",IF(M1262&gt;=Assumptions!$B$22,"D","F"))))))</f>
        <v>F</v>
      </c>
      <c r="D1262" s="3" t="s">
        <v>188</v>
      </c>
      <c r="E1262" s="3" t="n">
        <v>1</v>
      </c>
      <c r="F1262" s="12" t="n">
        <v>0.3188</v>
      </c>
      <c r="G1262" s="12" t="n">
        <v>0.15</v>
      </c>
      <c r="H1262" s="12" t="n">
        <v>0.75</v>
      </c>
      <c r="I1262" s="12" t="n">
        <v>0.2953</v>
      </c>
      <c r="J1262" s="12" t="n">
        <v>0.1306</v>
      </c>
      <c r="K1262" s="12" t="n">
        <v>0.2176</v>
      </c>
      <c r="L1262" s="3" t="n">
        <v>3.08</v>
      </c>
      <c r="M1262" s="12" t="n">
        <f aca="false">Z1262-W1262</f>
        <v>-0.191194</v>
      </c>
      <c r="N1262" s="12" t="n">
        <f aca="false">IFERROR((Z1262-J1262)/L1262,"")</f>
        <v>0.0282487012987013</v>
      </c>
      <c r="O1262" s="3" t="n">
        <v>19</v>
      </c>
      <c r="P1262" s="13" t="b">
        <f aca="false">FALSE()</f>
        <v>0</v>
      </c>
      <c r="Q1262" s="3" t="s">
        <v>166</v>
      </c>
      <c r="R1262" s="12" t="n">
        <v>0.312</v>
      </c>
      <c r="S1262" s="12" t="n">
        <v>0.2252</v>
      </c>
      <c r="T1262" s="3" t="n">
        <v>0.1439</v>
      </c>
      <c r="U1262" s="12" t="n">
        <v>0.0688</v>
      </c>
      <c r="V1262" s="12" t="n">
        <v>0.4738</v>
      </c>
      <c r="W1262" s="12" t="n">
        <v>0.4088</v>
      </c>
      <c r="X1262" s="3" t="n">
        <v>0</v>
      </c>
      <c r="Y1262" s="3" t="n">
        <v>0.2644</v>
      </c>
      <c r="Z1262" s="14" t="n">
        <f aca="false">Assumptions!$B$3*R1262+Assumptions!$B$4*S1262+IF(AA1262=1,Assumptions!$B$11,Assumptions!$B$5)*X1262+IF(AA1262=1,Assumptions!$B$12,Assumptions!$B$6)*T1262+Assumptions!$B$7*U1262+Assumptions!$B$8*V1262+Assumptions!$B$9*Y1262</f>
        <v>0.217606</v>
      </c>
      <c r="AA1262" s="3" t="n">
        <v>0</v>
      </c>
    </row>
    <row r="1263" customFormat="false" ht="15" hidden="false" customHeight="false" outlineLevel="0" collapsed="false">
      <c r="A1263" s="3" t="s">
        <v>1448</v>
      </c>
      <c r="B1263" s="3" t="n">
        <v>213</v>
      </c>
      <c r="C1263" s="11" t="str">
        <f aca="false">IF(M1263&gt;=Assumptions!$B$17,"S+",IF(M1263&gt;=Assumptions!$B$18,"S",IF(M1263&gt;=Assumptions!$B$19,"A",IF(M1263&gt;=Assumptions!$B$20,"B",IF(M1263&gt;=Assumptions!$B$21,"C",IF(M1263&gt;=Assumptions!$B$22,"D","F"))))))</f>
        <v>F</v>
      </c>
      <c r="D1263" s="3" t="s">
        <v>188</v>
      </c>
      <c r="E1263" s="3" t="n">
        <v>1</v>
      </c>
      <c r="F1263" s="12" t="n">
        <v>0.1857</v>
      </c>
      <c r="G1263" s="12" t="n">
        <v>0.15</v>
      </c>
      <c r="H1263" s="12" t="n">
        <v>0.25</v>
      </c>
      <c r="I1263" s="12" t="n">
        <v>0.1753</v>
      </c>
      <c r="J1263" s="12" t="n">
        <v>0.0897</v>
      </c>
      <c r="K1263" s="12" t="n">
        <v>0.1992</v>
      </c>
      <c r="L1263" s="3" t="n">
        <v>3.03</v>
      </c>
      <c r="M1263" s="12" t="n">
        <f aca="false">Z1263-W1263</f>
        <v>-0.209573</v>
      </c>
      <c r="N1263" s="12" t="n">
        <f aca="false">IFERROR((Z1263-J1263)/L1263,"")</f>
        <v>0.0361475247524753</v>
      </c>
      <c r="O1263" s="3" t="n">
        <v>19</v>
      </c>
      <c r="P1263" s="13" t="b">
        <f aca="false">FALSE()</f>
        <v>0</v>
      </c>
      <c r="Q1263" s="3" t="s">
        <v>201</v>
      </c>
      <c r="R1263" s="12" t="n">
        <v>0.253</v>
      </c>
      <c r="S1263" s="12" t="n">
        <v>0.2844</v>
      </c>
      <c r="T1263" s="3" t="n">
        <v>0.137</v>
      </c>
      <c r="U1263" s="12" t="n">
        <v>0.0688</v>
      </c>
      <c r="V1263" s="12" t="n">
        <v>0.4707</v>
      </c>
      <c r="W1263" s="12" t="n">
        <v>0.4088</v>
      </c>
      <c r="X1263" s="3" t="n">
        <v>0</v>
      </c>
      <c r="Y1263" s="3" t="n">
        <v>0.1569</v>
      </c>
      <c r="Z1263" s="14" t="n">
        <f aca="false">Assumptions!$B$3*R1263+Assumptions!$B$4*S1263+IF(AA1263=1,Assumptions!$B$11,Assumptions!$B$5)*X1263+IF(AA1263=1,Assumptions!$B$12,Assumptions!$B$6)*T1263+Assumptions!$B$7*U1263+Assumptions!$B$8*V1263+Assumptions!$B$9*Y1263</f>
        <v>0.199227</v>
      </c>
      <c r="AA1263" s="3" t="n">
        <v>0</v>
      </c>
    </row>
    <row r="1264" customFormat="false" ht="15" hidden="false" customHeight="false" outlineLevel="0" collapsed="false">
      <c r="A1264" s="3" t="s">
        <v>1449</v>
      </c>
      <c r="B1264" s="3" t="n">
        <v>213</v>
      </c>
      <c r="C1264" s="11" t="str">
        <f aca="false">IF(M1264&gt;=Assumptions!$B$17,"S+",IF(M1264&gt;=Assumptions!$B$18,"S",IF(M1264&gt;=Assumptions!$B$19,"A",IF(M1264&gt;=Assumptions!$B$20,"B",IF(M1264&gt;=Assumptions!$B$21,"C",IF(M1264&gt;=Assumptions!$B$22,"D","F"))))))</f>
        <v>F</v>
      </c>
      <c r="D1264" s="3" t="s">
        <v>188</v>
      </c>
      <c r="E1264" s="3" t="n">
        <v>1</v>
      </c>
      <c r="F1264" s="12" t="n">
        <v>0.1857</v>
      </c>
      <c r="G1264" s="12" t="n">
        <v>0.15</v>
      </c>
      <c r="H1264" s="12" t="n">
        <v>0.25</v>
      </c>
      <c r="I1264" s="12" t="n">
        <v>0.1753</v>
      </c>
      <c r="J1264" s="12" t="n">
        <v>0.0897</v>
      </c>
      <c r="K1264" s="12" t="n">
        <v>0.1992</v>
      </c>
      <c r="L1264" s="3" t="n">
        <v>3.03</v>
      </c>
      <c r="M1264" s="12" t="n">
        <f aca="false">Z1264-W1264</f>
        <v>-0.209573</v>
      </c>
      <c r="N1264" s="12" t="n">
        <f aca="false">IFERROR((Z1264-J1264)/L1264,"")</f>
        <v>0.0361475247524753</v>
      </c>
      <c r="O1264" s="3" t="n">
        <v>19</v>
      </c>
      <c r="P1264" s="13" t="b">
        <f aca="false">FALSE()</f>
        <v>0</v>
      </c>
      <c r="Q1264" s="3" t="s">
        <v>201</v>
      </c>
      <c r="R1264" s="12" t="n">
        <v>0.253</v>
      </c>
      <c r="S1264" s="12" t="n">
        <v>0.2844</v>
      </c>
      <c r="T1264" s="3" t="n">
        <v>0.137</v>
      </c>
      <c r="U1264" s="12" t="n">
        <v>0.0688</v>
      </c>
      <c r="V1264" s="12" t="n">
        <v>0.4707</v>
      </c>
      <c r="W1264" s="12" t="n">
        <v>0.4088</v>
      </c>
      <c r="X1264" s="3" t="n">
        <v>0</v>
      </c>
      <c r="Y1264" s="3" t="n">
        <v>0.1569</v>
      </c>
      <c r="Z1264" s="14" t="n">
        <f aca="false">Assumptions!$B$3*R1264+Assumptions!$B$4*S1264+IF(AA1264=1,Assumptions!$B$11,Assumptions!$B$5)*X1264+IF(AA1264=1,Assumptions!$B$12,Assumptions!$B$6)*T1264+Assumptions!$B$7*U1264+Assumptions!$B$8*V1264+Assumptions!$B$9*Y1264</f>
        <v>0.199227</v>
      </c>
      <c r="AA1264" s="3" t="n">
        <v>0</v>
      </c>
    </row>
    <row r="1265" customFormat="false" ht="15" hidden="false" customHeight="false" outlineLevel="0" collapsed="false">
      <c r="A1265" s="3" t="s">
        <v>1450</v>
      </c>
      <c r="B1265" s="3" t="n">
        <v>213</v>
      </c>
      <c r="C1265" s="11" t="str">
        <f aca="false">IF(M1265&gt;=Assumptions!$B$17,"S+",IF(M1265&gt;=Assumptions!$B$18,"S",IF(M1265&gt;=Assumptions!$B$19,"A",IF(M1265&gt;=Assumptions!$B$20,"B",IF(M1265&gt;=Assumptions!$B$21,"C",IF(M1265&gt;=Assumptions!$B$22,"D","F"))))))</f>
        <v>F</v>
      </c>
      <c r="D1265" s="3" t="s">
        <v>188</v>
      </c>
      <c r="E1265" s="3" t="n">
        <v>1</v>
      </c>
      <c r="F1265" s="12" t="n">
        <v>0.1857</v>
      </c>
      <c r="G1265" s="12" t="n">
        <v>0.15</v>
      </c>
      <c r="H1265" s="12" t="n">
        <v>0.25</v>
      </c>
      <c r="I1265" s="12" t="n">
        <v>0.1753</v>
      </c>
      <c r="J1265" s="12" t="n">
        <v>0.0897</v>
      </c>
      <c r="K1265" s="12" t="n">
        <v>0.1992</v>
      </c>
      <c r="L1265" s="3" t="n">
        <v>3.03</v>
      </c>
      <c r="M1265" s="12" t="n">
        <f aca="false">Z1265-W1265</f>
        <v>-0.209573</v>
      </c>
      <c r="N1265" s="12" t="n">
        <f aca="false">IFERROR((Z1265-J1265)/L1265,"")</f>
        <v>0.0361475247524753</v>
      </c>
      <c r="O1265" s="3" t="n">
        <v>19</v>
      </c>
      <c r="P1265" s="13" t="b">
        <f aca="false">FALSE()</f>
        <v>0</v>
      </c>
      <c r="Q1265" s="3" t="s">
        <v>201</v>
      </c>
      <c r="R1265" s="12" t="n">
        <v>0.253</v>
      </c>
      <c r="S1265" s="12" t="n">
        <v>0.2844</v>
      </c>
      <c r="T1265" s="3" t="n">
        <v>0.137</v>
      </c>
      <c r="U1265" s="12" t="n">
        <v>0.0688</v>
      </c>
      <c r="V1265" s="12" t="n">
        <v>0.4707</v>
      </c>
      <c r="W1265" s="12" t="n">
        <v>0.4088</v>
      </c>
      <c r="X1265" s="3" t="n">
        <v>0</v>
      </c>
      <c r="Y1265" s="3" t="n">
        <v>0.1569</v>
      </c>
      <c r="Z1265" s="14" t="n">
        <f aca="false">Assumptions!$B$3*R1265+Assumptions!$B$4*S1265+IF(AA1265=1,Assumptions!$B$11,Assumptions!$B$5)*X1265+IF(AA1265=1,Assumptions!$B$12,Assumptions!$B$6)*T1265+Assumptions!$B$7*U1265+Assumptions!$B$8*V1265+Assumptions!$B$9*Y1265</f>
        <v>0.199227</v>
      </c>
      <c r="AA1265" s="3" t="n">
        <v>0</v>
      </c>
    </row>
    <row r="1266" customFormat="false" ht="15" hidden="false" customHeight="false" outlineLevel="0" collapsed="false">
      <c r="A1266" s="3" t="s">
        <v>1451</v>
      </c>
      <c r="B1266" s="3" t="n">
        <v>213</v>
      </c>
      <c r="C1266" s="11" t="str">
        <f aca="false">IF(M1266&gt;=Assumptions!$B$17,"S+",IF(M1266&gt;=Assumptions!$B$18,"S",IF(M1266&gt;=Assumptions!$B$19,"A",IF(M1266&gt;=Assumptions!$B$20,"B",IF(M1266&gt;=Assumptions!$B$21,"C",IF(M1266&gt;=Assumptions!$B$22,"D","F"))))))</f>
        <v>F</v>
      </c>
      <c r="D1266" s="3" t="s">
        <v>188</v>
      </c>
      <c r="E1266" s="3" t="n">
        <v>1</v>
      </c>
      <c r="F1266" s="12" t="n">
        <v>0.1857</v>
      </c>
      <c r="G1266" s="12" t="n">
        <v>0.15</v>
      </c>
      <c r="H1266" s="12" t="n">
        <v>0.25</v>
      </c>
      <c r="I1266" s="12" t="n">
        <v>0.1753</v>
      </c>
      <c r="J1266" s="12" t="n">
        <v>0.0897</v>
      </c>
      <c r="K1266" s="12" t="n">
        <v>0.1992</v>
      </c>
      <c r="L1266" s="3" t="n">
        <v>3.03</v>
      </c>
      <c r="M1266" s="12" t="n">
        <f aca="false">Z1266-W1266</f>
        <v>-0.209573</v>
      </c>
      <c r="N1266" s="12" t="n">
        <f aca="false">IFERROR((Z1266-J1266)/L1266,"")</f>
        <v>0.0361475247524753</v>
      </c>
      <c r="O1266" s="3" t="n">
        <v>19</v>
      </c>
      <c r="P1266" s="13" t="b">
        <f aca="false">FALSE()</f>
        <v>0</v>
      </c>
      <c r="Q1266" s="3" t="s">
        <v>166</v>
      </c>
      <c r="R1266" s="12" t="n">
        <v>0.253</v>
      </c>
      <c r="S1266" s="12" t="n">
        <v>0.2844</v>
      </c>
      <c r="T1266" s="3" t="n">
        <v>0.137</v>
      </c>
      <c r="U1266" s="12" t="n">
        <v>0.0688</v>
      </c>
      <c r="V1266" s="12" t="n">
        <v>0.4707</v>
      </c>
      <c r="W1266" s="12" t="n">
        <v>0.4088</v>
      </c>
      <c r="X1266" s="3" t="n">
        <v>0</v>
      </c>
      <c r="Y1266" s="3" t="n">
        <v>0.1569</v>
      </c>
      <c r="Z1266" s="14" t="n">
        <f aca="false">Assumptions!$B$3*R1266+Assumptions!$B$4*S1266+IF(AA1266=1,Assumptions!$B$11,Assumptions!$B$5)*X1266+IF(AA1266=1,Assumptions!$B$12,Assumptions!$B$6)*T1266+Assumptions!$B$7*U1266+Assumptions!$B$8*V1266+Assumptions!$B$9*Y1266</f>
        <v>0.199227</v>
      </c>
      <c r="AA1266" s="3" t="n">
        <v>0</v>
      </c>
    </row>
    <row r="1267" customFormat="false" ht="15" hidden="false" customHeight="false" outlineLevel="0" collapsed="false">
      <c r="A1267" s="3" t="s">
        <v>1452</v>
      </c>
      <c r="B1267" s="3" t="n">
        <v>213</v>
      </c>
      <c r="C1267" s="11" t="str">
        <f aca="false">IF(M1267&gt;=Assumptions!$B$17,"S+",IF(M1267&gt;=Assumptions!$B$18,"S",IF(M1267&gt;=Assumptions!$B$19,"A",IF(M1267&gt;=Assumptions!$B$20,"B",IF(M1267&gt;=Assumptions!$B$21,"C",IF(M1267&gt;=Assumptions!$B$22,"D","F"))))))</f>
        <v>F</v>
      </c>
      <c r="D1267" s="3" t="s">
        <v>188</v>
      </c>
      <c r="E1267" s="3" t="n">
        <v>1</v>
      </c>
      <c r="F1267" s="12" t="n">
        <v>0.1857</v>
      </c>
      <c r="G1267" s="12" t="n">
        <v>0.15</v>
      </c>
      <c r="H1267" s="12" t="n">
        <v>0.25</v>
      </c>
      <c r="I1267" s="12" t="n">
        <v>0.1753</v>
      </c>
      <c r="J1267" s="12" t="n">
        <v>0.0897</v>
      </c>
      <c r="K1267" s="12" t="n">
        <v>0.1992</v>
      </c>
      <c r="L1267" s="3" t="n">
        <v>3.03</v>
      </c>
      <c r="M1267" s="12" t="n">
        <f aca="false">Z1267-W1267</f>
        <v>-0.209573</v>
      </c>
      <c r="N1267" s="12" t="n">
        <f aca="false">IFERROR((Z1267-J1267)/L1267,"")</f>
        <v>0.0361475247524753</v>
      </c>
      <c r="O1267" s="3" t="n">
        <v>19</v>
      </c>
      <c r="P1267" s="13" t="b">
        <f aca="false">FALSE()</f>
        <v>0</v>
      </c>
      <c r="Q1267" s="3" t="s">
        <v>201</v>
      </c>
      <c r="R1267" s="12" t="n">
        <v>0.253</v>
      </c>
      <c r="S1267" s="12" t="n">
        <v>0.2844</v>
      </c>
      <c r="T1267" s="3" t="n">
        <v>0.137</v>
      </c>
      <c r="U1267" s="12" t="n">
        <v>0.0688</v>
      </c>
      <c r="V1267" s="12" t="n">
        <v>0.4707</v>
      </c>
      <c r="W1267" s="12" t="n">
        <v>0.4088</v>
      </c>
      <c r="X1267" s="3" t="n">
        <v>0</v>
      </c>
      <c r="Y1267" s="3" t="n">
        <v>0.1569</v>
      </c>
      <c r="Z1267" s="14" t="n">
        <f aca="false">Assumptions!$B$3*R1267+Assumptions!$B$4*S1267+IF(AA1267=1,Assumptions!$B$11,Assumptions!$B$5)*X1267+IF(AA1267=1,Assumptions!$B$12,Assumptions!$B$6)*T1267+Assumptions!$B$7*U1267+Assumptions!$B$8*V1267+Assumptions!$B$9*Y1267</f>
        <v>0.199227</v>
      </c>
      <c r="AA1267" s="3" t="n">
        <v>0</v>
      </c>
    </row>
    <row r="1268" customFormat="false" ht="15" hidden="false" customHeight="false" outlineLevel="0" collapsed="false">
      <c r="A1268" s="3" t="s">
        <v>1453</v>
      </c>
      <c r="B1268" s="3" t="n">
        <v>213</v>
      </c>
      <c r="C1268" s="11" t="str">
        <f aca="false">IF(M1268&gt;=Assumptions!$B$17,"S+",IF(M1268&gt;=Assumptions!$B$18,"S",IF(M1268&gt;=Assumptions!$B$19,"A",IF(M1268&gt;=Assumptions!$B$20,"B",IF(M1268&gt;=Assumptions!$B$21,"C",IF(M1268&gt;=Assumptions!$B$22,"D","F"))))))</f>
        <v>F</v>
      </c>
      <c r="D1268" s="3" t="s">
        <v>188</v>
      </c>
      <c r="E1268" s="3" t="n">
        <v>1</v>
      </c>
      <c r="F1268" s="12" t="n">
        <v>0.1857</v>
      </c>
      <c r="G1268" s="12" t="n">
        <v>0.15</v>
      </c>
      <c r="H1268" s="12" t="n">
        <v>0.25</v>
      </c>
      <c r="I1268" s="12" t="n">
        <v>0.1753</v>
      </c>
      <c r="J1268" s="12" t="n">
        <v>0.0897</v>
      </c>
      <c r="K1268" s="12" t="n">
        <v>0.1992</v>
      </c>
      <c r="L1268" s="3" t="n">
        <v>3.03</v>
      </c>
      <c r="M1268" s="12" t="n">
        <f aca="false">Z1268-W1268</f>
        <v>-0.209573</v>
      </c>
      <c r="N1268" s="12" t="n">
        <f aca="false">IFERROR((Z1268-J1268)/L1268,"")</f>
        <v>0.0361475247524753</v>
      </c>
      <c r="O1268" s="3" t="n">
        <v>19</v>
      </c>
      <c r="P1268" s="13" t="b">
        <f aca="false">FALSE()</f>
        <v>0</v>
      </c>
      <c r="Q1268" s="3" t="s">
        <v>201</v>
      </c>
      <c r="R1268" s="12" t="n">
        <v>0.253</v>
      </c>
      <c r="S1268" s="12" t="n">
        <v>0.2844</v>
      </c>
      <c r="T1268" s="3" t="n">
        <v>0.137</v>
      </c>
      <c r="U1268" s="12" t="n">
        <v>0.0688</v>
      </c>
      <c r="V1268" s="12" t="n">
        <v>0.4707</v>
      </c>
      <c r="W1268" s="12" t="n">
        <v>0.4088</v>
      </c>
      <c r="X1268" s="3" t="n">
        <v>0</v>
      </c>
      <c r="Y1268" s="3" t="n">
        <v>0.1569</v>
      </c>
      <c r="Z1268" s="14" t="n">
        <f aca="false">Assumptions!$B$3*R1268+Assumptions!$B$4*S1268+IF(AA1268=1,Assumptions!$B$11,Assumptions!$B$5)*X1268+IF(AA1268=1,Assumptions!$B$12,Assumptions!$B$6)*T1268+Assumptions!$B$7*U1268+Assumptions!$B$8*V1268+Assumptions!$B$9*Y1268</f>
        <v>0.199227</v>
      </c>
      <c r="AA1268" s="3" t="n">
        <v>0</v>
      </c>
    </row>
    <row r="1269" customFormat="false" ht="15" hidden="false" customHeight="false" outlineLevel="0" collapsed="false">
      <c r="A1269" s="3" t="s">
        <v>1454</v>
      </c>
      <c r="B1269" s="3" t="n">
        <v>213</v>
      </c>
      <c r="C1269" s="11" t="str">
        <f aca="false">IF(M1269&gt;=Assumptions!$B$17,"S+",IF(M1269&gt;=Assumptions!$B$18,"S",IF(M1269&gt;=Assumptions!$B$19,"A",IF(M1269&gt;=Assumptions!$B$20,"B",IF(M1269&gt;=Assumptions!$B$21,"C",IF(M1269&gt;=Assumptions!$B$22,"D","F"))))))</f>
        <v>F</v>
      </c>
      <c r="D1269" s="3" t="s">
        <v>188</v>
      </c>
      <c r="E1269" s="3" t="n">
        <v>1</v>
      </c>
      <c r="F1269" s="12" t="n">
        <v>0.1857</v>
      </c>
      <c r="G1269" s="12" t="n">
        <v>0.15</v>
      </c>
      <c r="H1269" s="12" t="n">
        <v>0.25</v>
      </c>
      <c r="I1269" s="12" t="n">
        <v>0.1753</v>
      </c>
      <c r="J1269" s="12" t="n">
        <v>0.0897</v>
      </c>
      <c r="K1269" s="12" t="n">
        <v>0.1992</v>
      </c>
      <c r="L1269" s="3" t="n">
        <v>3.03</v>
      </c>
      <c r="M1269" s="12" t="n">
        <f aca="false">Z1269-W1269</f>
        <v>-0.209573</v>
      </c>
      <c r="N1269" s="12" t="n">
        <f aca="false">IFERROR((Z1269-J1269)/L1269,"")</f>
        <v>0.0361475247524753</v>
      </c>
      <c r="O1269" s="3" t="n">
        <v>19</v>
      </c>
      <c r="P1269" s="13" t="b">
        <f aca="false">FALSE()</f>
        <v>0</v>
      </c>
      <c r="Q1269" s="3" t="s">
        <v>201</v>
      </c>
      <c r="R1269" s="12" t="n">
        <v>0.253</v>
      </c>
      <c r="S1269" s="12" t="n">
        <v>0.2844</v>
      </c>
      <c r="T1269" s="3" t="n">
        <v>0.137</v>
      </c>
      <c r="U1269" s="12" t="n">
        <v>0.0688</v>
      </c>
      <c r="V1269" s="12" t="n">
        <v>0.4707</v>
      </c>
      <c r="W1269" s="12" t="n">
        <v>0.4088</v>
      </c>
      <c r="X1269" s="3" t="n">
        <v>0</v>
      </c>
      <c r="Y1269" s="3" t="n">
        <v>0.1569</v>
      </c>
      <c r="Z1269" s="14" t="n">
        <f aca="false">Assumptions!$B$3*R1269+Assumptions!$B$4*S1269+IF(AA1269=1,Assumptions!$B$11,Assumptions!$B$5)*X1269+IF(AA1269=1,Assumptions!$B$12,Assumptions!$B$6)*T1269+Assumptions!$B$7*U1269+Assumptions!$B$8*V1269+Assumptions!$B$9*Y1269</f>
        <v>0.199227</v>
      </c>
      <c r="AA1269" s="3" t="n">
        <v>0</v>
      </c>
    </row>
    <row r="1270" customFormat="false" ht="15" hidden="false" customHeight="false" outlineLevel="0" collapsed="false">
      <c r="A1270" s="3" t="s">
        <v>1455</v>
      </c>
      <c r="B1270" s="3" t="n">
        <v>213</v>
      </c>
      <c r="C1270" s="11" t="str">
        <f aca="false">IF(M1270&gt;=Assumptions!$B$17,"S+",IF(M1270&gt;=Assumptions!$B$18,"S",IF(M1270&gt;=Assumptions!$B$19,"A",IF(M1270&gt;=Assumptions!$B$20,"B",IF(M1270&gt;=Assumptions!$B$21,"C",IF(M1270&gt;=Assumptions!$B$22,"D","F"))))))</f>
        <v>F</v>
      </c>
      <c r="D1270" s="3" t="s">
        <v>188</v>
      </c>
      <c r="E1270" s="3" t="n">
        <v>1</v>
      </c>
      <c r="F1270" s="12" t="n">
        <v>0.1857</v>
      </c>
      <c r="G1270" s="12" t="n">
        <v>0.15</v>
      </c>
      <c r="H1270" s="12" t="n">
        <v>0.25</v>
      </c>
      <c r="I1270" s="12" t="n">
        <v>0.1753</v>
      </c>
      <c r="J1270" s="12" t="n">
        <v>0.0897</v>
      </c>
      <c r="K1270" s="12" t="n">
        <v>0.1992</v>
      </c>
      <c r="L1270" s="3" t="n">
        <v>3.03</v>
      </c>
      <c r="M1270" s="12" t="n">
        <f aca="false">Z1270-W1270</f>
        <v>-0.209573</v>
      </c>
      <c r="N1270" s="12" t="n">
        <f aca="false">IFERROR((Z1270-J1270)/L1270,"")</f>
        <v>0.0361475247524753</v>
      </c>
      <c r="O1270" s="3" t="n">
        <v>19</v>
      </c>
      <c r="P1270" s="13" t="b">
        <f aca="false">FALSE()</f>
        <v>0</v>
      </c>
      <c r="Q1270" s="3" t="s">
        <v>201</v>
      </c>
      <c r="R1270" s="12" t="n">
        <v>0.253</v>
      </c>
      <c r="S1270" s="12" t="n">
        <v>0.2844</v>
      </c>
      <c r="T1270" s="3" t="n">
        <v>0.137</v>
      </c>
      <c r="U1270" s="12" t="n">
        <v>0.0688</v>
      </c>
      <c r="V1270" s="12" t="n">
        <v>0.4707</v>
      </c>
      <c r="W1270" s="12" t="n">
        <v>0.4088</v>
      </c>
      <c r="X1270" s="3" t="n">
        <v>0</v>
      </c>
      <c r="Y1270" s="3" t="n">
        <v>0.1569</v>
      </c>
      <c r="Z1270" s="14" t="n">
        <f aca="false">Assumptions!$B$3*R1270+Assumptions!$B$4*S1270+IF(AA1270=1,Assumptions!$B$11,Assumptions!$B$5)*X1270+IF(AA1270=1,Assumptions!$B$12,Assumptions!$B$6)*T1270+Assumptions!$B$7*U1270+Assumptions!$B$8*V1270+Assumptions!$B$9*Y1270</f>
        <v>0.199227</v>
      </c>
      <c r="AA1270" s="3" t="n">
        <v>0</v>
      </c>
    </row>
    <row r="1271" customFormat="false" ht="15" hidden="false" customHeight="false" outlineLevel="0" collapsed="false">
      <c r="A1271" s="3" t="s">
        <v>1456</v>
      </c>
      <c r="B1271" s="3" t="n">
        <v>213</v>
      </c>
      <c r="C1271" s="11" t="str">
        <f aca="false">IF(M1271&gt;=Assumptions!$B$17,"S+",IF(M1271&gt;=Assumptions!$B$18,"S",IF(M1271&gt;=Assumptions!$B$19,"A",IF(M1271&gt;=Assumptions!$B$20,"B",IF(M1271&gt;=Assumptions!$B$21,"C",IF(M1271&gt;=Assumptions!$B$22,"D","F"))))))</f>
        <v>F</v>
      </c>
      <c r="D1271" s="3" t="s">
        <v>188</v>
      </c>
      <c r="E1271" s="3" t="n">
        <v>1</v>
      </c>
      <c r="F1271" s="12" t="n">
        <v>0.1857</v>
      </c>
      <c r="G1271" s="12" t="n">
        <v>0.15</v>
      </c>
      <c r="H1271" s="12" t="n">
        <v>0.25</v>
      </c>
      <c r="I1271" s="12" t="n">
        <v>0.1753</v>
      </c>
      <c r="J1271" s="12" t="n">
        <v>0.0897</v>
      </c>
      <c r="K1271" s="12" t="n">
        <v>0.1992</v>
      </c>
      <c r="L1271" s="3" t="n">
        <v>3.03</v>
      </c>
      <c r="M1271" s="12" t="n">
        <f aca="false">Z1271-W1271</f>
        <v>-0.209573</v>
      </c>
      <c r="N1271" s="12" t="n">
        <f aca="false">IFERROR((Z1271-J1271)/L1271,"")</f>
        <v>0.0361475247524753</v>
      </c>
      <c r="O1271" s="3" t="n">
        <v>19</v>
      </c>
      <c r="P1271" s="13" t="b">
        <f aca="false">FALSE()</f>
        <v>0</v>
      </c>
      <c r="Q1271" s="3" t="s">
        <v>201</v>
      </c>
      <c r="R1271" s="12" t="n">
        <v>0.253</v>
      </c>
      <c r="S1271" s="12" t="n">
        <v>0.2844</v>
      </c>
      <c r="T1271" s="3" t="n">
        <v>0.137</v>
      </c>
      <c r="U1271" s="12" t="n">
        <v>0.0688</v>
      </c>
      <c r="V1271" s="12" t="n">
        <v>0.4707</v>
      </c>
      <c r="W1271" s="12" t="n">
        <v>0.4088</v>
      </c>
      <c r="X1271" s="3" t="n">
        <v>0</v>
      </c>
      <c r="Y1271" s="3" t="n">
        <v>0.1569</v>
      </c>
      <c r="Z1271" s="14" t="n">
        <f aca="false">Assumptions!$B$3*R1271+Assumptions!$B$4*S1271+IF(AA1271=1,Assumptions!$B$11,Assumptions!$B$5)*X1271+IF(AA1271=1,Assumptions!$B$12,Assumptions!$B$6)*T1271+Assumptions!$B$7*U1271+Assumptions!$B$8*V1271+Assumptions!$B$9*Y1271</f>
        <v>0.199227</v>
      </c>
      <c r="AA1271" s="3" t="n">
        <v>0</v>
      </c>
    </row>
    <row r="1272" customFormat="false" ht="15" hidden="false" customHeight="false" outlineLevel="0" collapsed="false">
      <c r="A1272" s="3" t="s">
        <v>1457</v>
      </c>
      <c r="B1272" s="3" t="n">
        <v>213</v>
      </c>
      <c r="C1272" s="11" t="str">
        <f aca="false">IF(M1272&gt;=Assumptions!$B$17,"S+",IF(M1272&gt;=Assumptions!$B$18,"S",IF(M1272&gt;=Assumptions!$B$19,"A",IF(M1272&gt;=Assumptions!$B$20,"B",IF(M1272&gt;=Assumptions!$B$21,"C",IF(M1272&gt;=Assumptions!$B$22,"D","F"))))))</f>
        <v>F</v>
      </c>
      <c r="D1272" s="3" t="s">
        <v>188</v>
      </c>
      <c r="E1272" s="3" t="n">
        <v>1</v>
      </c>
      <c r="F1272" s="12" t="n">
        <v>0.1857</v>
      </c>
      <c r="G1272" s="12" t="n">
        <v>0.15</v>
      </c>
      <c r="H1272" s="12" t="n">
        <v>0.25</v>
      </c>
      <c r="I1272" s="12" t="n">
        <v>0.1753</v>
      </c>
      <c r="J1272" s="12" t="n">
        <v>0.0897</v>
      </c>
      <c r="K1272" s="12" t="n">
        <v>0.1992</v>
      </c>
      <c r="L1272" s="3" t="n">
        <v>3.03</v>
      </c>
      <c r="M1272" s="12" t="n">
        <f aca="false">Z1272-W1272</f>
        <v>-0.209573</v>
      </c>
      <c r="N1272" s="12" t="n">
        <f aca="false">IFERROR((Z1272-J1272)/L1272,"")</f>
        <v>0.0361475247524753</v>
      </c>
      <c r="O1272" s="3" t="n">
        <v>19</v>
      </c>
      <c r="P1272" s="13" t="b">
        <f aca="false">FALSE()</f>
        <v>0</v>
      </c>
      <c r="Q1272" s="3" t="s">
        <v>201</v>
      </c>
      <c r="R1272" s="12" t="n">
        <v>0.253</v>
      </c>
      <c r="S1272" s="12" t="n">
        <v>0.2844</v>
      </c>
      <c r="T1272" s="3" t="n">
        <v>0.137</v>
      </c>
      <c r="U1272" s="12" t="n">
        <v>0.0688</v>
      </c>
      <c r="V1272" s="12" t="n">
        <v>0.4707</v>
      </c>
      <c r="W1272" s="12" t="n">
        <v>0.4088</v>
      </c>
      <c r="X1272" s="3" t="n">
        <v>0</v>
      </c>
      <c r="Y1272" s="3" t="n">
        <v>0.1569</v>
      </c>
      <c r="Z1272" s="14" t="n">
        <f aca="false">Assumptions!$B$3*R1272+Assumptions!$B$4*S1272+IF(AA1272=1,Assumptions!$B$11,Assumptions!$B$5)*X1272+IF(AA1272=1,Assumptions!$B$12,Assumptions!$B$6)*T1272+Assumptions!$B$7*U1272+Assumptions!$B$8*V1272+Assumptions!$B$9*Y1272</f>
        <v>0.199227</v>
      </c>
      <c r="AA1272" s="3" t="n">
        <v>0</v>
      </c>
    </row>
    <row r="1273" customFormat="false" ht="15" hidden="false" customHeight="false" outlineLevel="0" collapsed="false">
      <c r="A1273" s="3" t="s">
        <v>1458</v>
      </c>
      <c r="B1273" s="3" t="n">
        <v>213</v>
      </c>
      <c r="C1273" s="11" t="str">
        <f aca="false">IF(M1273&gt;=Assumptions!$B$17,"S+",IF(M1273&gt;=Assumptions!$B$18,"S",IF(M1273&gt;=Assumptions!$B$19,"A",IF(M1273&gt;=Assumptions!$B$20,"B",IF(M1273&gt;=Assumptions!$B$21,"C",IF(M1273&gt;=Assumptions!$B$22,"D","F"))))))</f>
        <v>F</v>
      </c>
      <c r="D1273" s="3" t="s">
        <v>188</v>
      </c>
      <c r="E1273" s="3" t="n">
        <v>1</v>
      </c>
      <c r="F1273" s="12" t="n">
        <v>0.1857</v>
      </c>
      <c r="G1273" s="12" t="n">
        <v>0.15</v>
      </c>
      <c r="H1273" s="12" t="n">
        <v>0.25</v>
      </c>
      <c r="I1273" s="12" t="n">
        <v>0.1753</v>
      </c>
      <c r="J1273" s="12" t="n">
        <v>0.0897</v>
      </c>
      <c r="K1273" s="12" t="n">
        <v>0.1992</v>
      </c>
      <c r="L1273" s="3" t="n">
        <v>3.03</v>
      </c>
      <c r="M1273" s="12" t="n">
        <f aca="false">Z1273-W1273</f>
        <v>-0.209573</v>
      </c>
      <c r="N1273" s="12" t="n">
        <f aca="false">IFERROR((Z1273-J1273)/L1273,"")</f>
        <v>0.0361475247524753</v>
      </c>
      <c r="O1273" s="3" t="n">
        <v>19</v>
      </c>
      <c r="P1273" s="13" t="b">
        <f aca="false">FALSE()</f>
        <v>0</v>
      </c>
      <c r="Q1273" s="3" t="s">
        <v>201</v>
      </c>
      <c r="R1273" s="12" t="n">
        <v>0.253</v>
      </c>
      <c r="S1273" s="12" t="n">
        <v>0.2844</v>
      </c>
      <c r="T1273" s="3" t="n">
        <v>0.137</v>
      </c>
      <c r="U1273" s="12" t="n">
        <v>0.0688</v>
      </c>
      <c r="V1273" s="12" t="n">
        <v>0.4707</v>
      </c>
      <c r="W1273" s="12" t="n">
        <v>0.4088</v>
      </c>
      <c r="X1273" s="3" t="n">
        <v>0</v>
      </c>
      <c r="Y1273" s="3" t="n">
        <v>0.1569</v>
      </c>
      <c r="Z1273" s="14" t="n">
        <f aca="false">Assumptions!$B$3*R1273+Assumptions!$B$4*S1273+IF(AA1273=1,Assumptions!$B$11,Assumptions!$B$5)*X1273+IF(AA1273=1,Assumptions!$B$12,Assumptions!$B$6)*T1273+Assumptions!$B$7*U1273+Assumptions!$B$8*V1273+Assumptions!$B$9*Y1273</f>
        <v>0.199227</v>
      </c>
      <c r="AA1273" s="3" t="n">
        <v>0</v>
      </c>
    </row>
    <row r="1274" customFormat="false" ht="15" hidden="false" customHeight="false" outlineLevel="0" collapsed="false">
      <c r="A1274" s="3" t="s">
        <v>1459</v>
      </c>
      <c r="B1274" s="3" t="n">
        <v>213</v>
      </c>
      <c r="C1274" s="11" t="str">
        <f aca="false">IF(M1274&gt;=Assumptions!$B$17,"S+",IF(M1274&gt;=Assumptions!$B$18,"S",IF(M1274&gt;=Assumptions!$B$19,"A",IF(M1274&gt;=Assumptions!$B$20,"B",IF(M1274&gt;=Assumptions!$B$21,"C",IF(M1274&gt;=Assumptions!$B$22,"D","F"))))))</f>
        <v>F</v>
      </c>
      <c r="D1274" s="3" t="s">
        <v>188</v>
      </c>
      <c r="E1274" s="3" t="n">
        <v>1</v>
      </c>
      <c r="F1274" s="12" t="n">
        <v>0.1857</v>
      </c>
      <c r="G1274" s="12" t="n">
        <v>0.15</v>
      </c>
      <c r="H1274" s="12" t="n">
        <v>0.25</v>
      </c>
      <c r="I1274" s="12" t="n">
        <v>0.1753</v>
      </c>
      <c r="J1274" s="12" t="n">
        <v>0.0897</v>
      </c>
      <c r="K1274" s="12" t="n">
        <v>0.1992</v>
      </c>
      <c r="L1274" s="3" t="n">
        <v>3.03</v>
      </c>
      <c r="M1274" s="12" t="n">
        <f aca="false">Z1274-W1274</f>
        <v>-0.209573</v>
      </c>
      <c r="N1274" s="12" t="n">
        <f aca="false">IFERROR((Z1274-J1274)/L1274,"")</f>
        <v>0.0361475247524753</v>
      </c>
      <c r="O1274" s="3" t="n">
        <v>19</v>
      </c>
      <c r="P1274" s="13" t="b">
        <f aca="false">FALSE()</f>
        <v>0</v>
      </c>
      <c r="Q1274" s="3" t="s">
        <v>201</v>
      </c>
      <c r="R1274" s="12" t="n">
        <v>0.253</v>
      </c>
      <c r="S1274" s="12" t="n">
        <v>0.2844</v>
      </c>
      <c r="T1274" s="3" t="n">
        <v>0.137</v>
      </c>
      <c r="U1274" s="12" t="n">
        <v>0.0688</v>
      </c>
      <c r="V1274" s="12" t="n">
        <v>0.4707</v>
      </c>
      <c r="W1274" s="12" t="n">
        <v>0.4088</v>
      </c>
      <c r="X1274" s="3" t="n">
        <v>0</v>
      </c>
      <c r="Y1274" s="3" t="n">
        <v>0.1569</v>
      </c>
      <c r="Z1274" s="14" t="n">
        <f aca="false">Assumptions!$B$3*R1274+Assumptions!$B$4*S1274+IF(AA1274=1,Assumptions!$B$11,Assumptions!$B$5)*X1274+IF(AA1274=1,Assumptions!$B$12,Assumptions!$B$6)*T1274+Assumptions!$B$7*U1274+Assumptions!$B$8*V1274+Assumptions!$B$9*Y1274</f>
        <v>0.199227</v>
      </c>
      <c r="AA1274" s="3" t="n">
        <v>0</v>
      </c>
    </row>
    <row r="1275" customFormat="false" ht="15" hidden="false" customHeight="false" outlineLevel="0" collapsed="false">
      <c r="A1275" s="3" t="s">
        <v>1460</v>
      </c>
      <c r="B1275" s="3" t="n">
        <v>213</v>
      </c>
      <c r="C1275" s="11" t="str">
        <f aca="false">IF(M1275&gt;=Assumptions!$B$17,"S+",IF(M1275&gt;=Assumptions!$B$18,"S",IF(M1275&gt;=Assumptions!$B$19,"A",IF(M1275&gt;=Assumptions!$B$20,"B",IF(M1275&gt;=Assumptions!$B$21,"C",IF(M1275&gt;=Assumptions!$B$22,"D","F"))))))</f>
        <v>F</v>
      </c>
      <c r="D1275" s="3" t="s">
        <v>188</v>
      </c>
      <c r="E1275" s="3" t="n">
        <v>1</v>
      </c>
      <c r="F1275" s="12" t="n">
        <v>0.1857</v>
      </c>
      <c r="G1275" s="12" t="n">
        <v>0.15</v>
      </c>
      <c r="H1275" s="12" t="n">
        <v>0.25</v>
      </c>
      <c r="I1275" s="12" t="n">
        <v>0.1753</v>
      </c>
      <c r="J1275" s="12" t="n">
        <v>0.0897</v>
      </c>
      <c r="K1275" s="12" t="n">
        <v>0.1992</v>
      </c>
      <c r="L1275" s="3" t="n">
        <v>3.03</v>
      </c>
      <c r="M1275" s="12" t="n">
        <f aca="false">Z1275-W1275</f>
        <v>-0.209573</v>
      </c>
      <c r="N1275" s="12" t="n">
        <f aca="false">IFERROR((Z1275-J1275)/L1275,"")</f>
        <v>0.0361475247524753</v>
      </c>
      <c r="O1275" s="3" t="n">
        <v>19</v>
      </c>
      <c r="P1275" s="13" t="b">
        <f aca="false">FALSE()</f>
        <v>0</v>
      </c>
      <c r="Q1275" s="3" t="s">
        <v>201</v>
      </c>
      <c r="R1275" s="12" t="n">
        <v>0.253</v>
      </c>
      <c r="S1275" s="12" t="n">
        <v>0.2844</v>
      </c>
      <c r="T1275" s="3" t="n">
        <v>0.137</v>
      </c>
      <c r="U1275" s="12" t="n">
        <v>0.0688</v>
      </c>
      <c r="V1275" s="12" t="n">
        <v>0.4707</v>
      </c>
      <c r="W1275" s="12" t="n">
        <v>0.4088</v>
      </c>
      <c r="X1275" s="3" t="n">
        <v>0</v>
      </c>
      <c r="Y1275" s="3" t="n">
        <v>0.1569</v>
      </c>
      <c r="Z1275" s="14" t="n">
        <f aca="false">Assumptions!$B$3*R1275+Assumptions!$B$4*S1275+IF(AA1275=1,Assumptions!$B$11,Assumptions!$B$5)*X1275+IF(AA1275=1,Assumptions!$B$12,Assumptions!$B$6)*T1275+Assumptions!$B$7*U1275+Assumptions!$B$8*V1275+Assumptions!$B$9*Y1275</f>
        <v>0.199227</v>
      </c>
      <c r="AA1275" s="3" t="n">
        <v>0</v>
      </c>
    </row>
    <row r="1276" customFormat="false" ht="15" hidden="false" customHeight="false" outlineLevel="0" collapsed="false">
      <c r="A1276" s="3" t="s">
        <v>1461</v>
      </c>
      <c r="B1276" s="3" t="n">
        <v>213</v>
      </c>
      <c r="C1276" s="11" t="str">
        <f aca="false">IF(M1276&gt;=Assumptions!$B$17,"S+",IF(M1276&gt;=Assumptions!$B$18,"S",IF(M1276&gt;=Assumptions!$B$19,"A",IF(M1276&gt;=Assumptions!$B$20,"B",IF(M1276&gt;=Assumptions!$B$21,"C",IF(M1276&gt;=Assumptions!$B$22,"D","F"))))))</f>
        <v>F</v>
      </c>
      <c r="D1276" s="3" t="s">
        <v>188</v>
      </c>
      <c r="E1276" s="3" t="n">
        <v>1</v>
      </c>
      <c r="F1276" s="12" t="n">
        <v>0.1857</v>
      </c>
      <c r="G1276" s="12" t="n">
        <v>0.15</v>
      </c>
      <c r="H1276" s="12" t="n">
        <v>0.25</v>
      </c>
      <c r="I1276" s="12" t="n">
        <v>0.1753</v>
      </c>
      <c r="J1276" s="12" t="n">
        <v>0.0897</v>
      </c>
      <c r="K1276" s="12" t="n">
        <v>0.1992</v>
      </c>
      <c r="L1276" s="3" t="n">
        <v>3.03</v>
      </c>
      <c r="M1276" s="12" t="n">
        <f aca="false">Z1276-W1276</f>
        <v>-0.209573</v>
      </c>
      <c r="N1276" s="12" t="n">
        <f aca="false">IFERROR((Z1276-J1276)/L1276,"")</f>
        <v>0.0361475247524753</v>
      </c>
      <c r="O1276" s="3" t="n">
        <v>19</v>
      </c>
      <c r="P1276" s="13" t="b">
        <f aca="false">FALSE()</f>
        <v>0</v>
      </c>
      <c r="Q1276" s="3" t="s">
        <v>201</v>
      </c>
      <c r="R1276" s="12" t="n">
        <v>0.253</v>
      </c>
      <c r="S1276" s="12" t="n">
        <v>0.2844</v>
      </c>
      <c r="T1276" s="3" t="n">
        <v>0.137</v>
      </c>
      <c r="U1276" s="12" t="n">
        <v>0.0688</v>
      </c>
      <c r="V1276" s="12" t="n">
        <v>0.4707</v>
      </c>
      <c r="W1276" s="12" t="n">
        <v>0.4088</v>
      </c>
      <c r="X1276" s="3" t="n">
        <v>0</v>
      </c>
      <c r="Y1276" s="3" t="n">
        <v>0.1569</v>
      </c>
      <c r="Z1276" s="14" t="n">
        <f aca="false">Assumptions!$B$3*R1276+Assumptions!$B$4*S1276+IF(AA1276=1,Assumptions!$B$11,Assumptions!$B$5)*X1276+IF(AA1276=1,Assumptions!$B$12,Assumptions!$B$6)*T1276+Assumptions!$B$7*U1276+Assumptions!$B$8*V1276+Assumptions!$B$9*Y1276</f>
        <v>0.199227</v>
      </c>
      <c r="AA1276" s="3" t="n">
        <v>0</v>
      </c>
    </row>
    <row r="1277" customFormat="false" ht="15" hidden="false" customHeight="false" outlineLevel="0" collapsed="false">
      <c r="A1277" s="3" t="s">
        <v>1462</v>
      </c>
      <c r="B1277" s="3" t="n">
        <v>213</v>
      </c>
      <c r="C1277" s="11" t="str">
        <f aca="false">IF(M1277&gt;=Assumptions!$B$17,"S+",IF(M1277&gt;=Assumptions!$B$18,"S",IF(M1277&gt;=Assumptions!$B$19,"A",IF(M1277&gt;=Assumptions!$B$20,"B",IF(M1277&gt;=Assumptions!$B$21,"C",IF(M1277&gt;=Assumptions!$B$22,"D","F"))))))</f>
        <v>F</v>
      </c>
      <c r="D1277" s="3" t="s">
        <v>188</v>
      </c>
      <c r="E1277" s="3" t="n">
        <v>1</v>
      </c>
      <c r="F1277" s="12" t="n">
        <v>0.1857</v>
      </c>
      <c r="G1277" s="12" t="n">
        <v>0.15</v>
      </c>
      <c r="H1277" s="12" t="n">
        <v>0.25</v>
      </c>
      <c r="I1277" s="12" t="n">
        <v>0.1753</v>
      </c>
      <c r="J1277" s="12" t="n">
        <v>0.0897</v>
      </c>
      <c r="K1277" s="12" t="n">
        <v>0.1992</v>
      </c>
      <c r="L1277" s="3" t="n">
        <v>3.03</v>
      </c>
      <c r="M1277" s="12" t="n">
        <f aca="false">Z1277-W1277</f>
        <v>-0.209573</v>
      </c>
      <c r="N1277" s="12" t="n">
        <f aca="false">IFERROR((Z1277-J1277)/L1277,"")</f>
        <v>0.0361475247524753</v>
      </c>
      <c r="O1277" s="3" t="n">
        <v>19</v>
      </c>
      <c r="P1277" s="13" t="b">
        <f aca="false">FALSE()</f>
        <v>0</v>
      </c>
      <c r="Q1277" s="3" t="s">
        <v>201</v>
      </c>
      <c r="R1277" s="12" t="n">
        <v>0.253</v>
      </c>
      <c r="S1277" s="12" t="n">
        <v>0.2844</v>
      </c>
      <c r="T1277" s="3" t="n">
        <v>0.137</v>
      </c>
      <c r="U1277" s="12" t="n">
        <v>0.0688</v>
      </c>
      <c r="V1277" s="12" t="n">
        <v>0.4707</v>
      </c>
      <c r="W1277" s="12" t="n">
        <v>0.4088</v>
      </c>
      <c r="X1277" s="3" t="n">
        <v>0</v>
      </c>
      <c r="Y1277" s="3" t="n">
        <v>0.1569</v>
      </c>
      <c r="Z1277" s="14" t="n">
        <f aca="false">Assumptions!$B$3*R1277+Assumptions!$B$4*S1277+IF(AA1277=1,Assumptions!$B$11,Assumptions!$B$5)*X1277+IF(AA1277=1,Assumptions!$B$12,Assumptions!$B$6)*T1277+Assumptions!$B$7*U1277+Assumptions!$B$8*V1277+Assumptions!$B$9*Y1277</f>
        <v>0.199227</v>
      </c>
      <c r="AA1277" s="3" t="n">
        <v>0</v>
      </c>
    </row>
    <row r="1278" customFormat="false" ht="15" hidden="false" customHeight="false" outlineLevel="0" collapsed="false">
      <c r="A1278" s="3" t="s">
        <v>1463</v>
      </c>
      <c r="B1278" s="3" t="n">
        <v>213</v>
      </c>
      <c r="C1278" s="11" t="str">
        <f aca="false">IF(M1278&gt;=Assumptions!$B$17,"S+",IF(M1278&gt;=Assumptions!$B$18,"S",IF(M1278&gt;=Assumptions!$B$19,"A",IF(M1278&gt;=Assumptions!$B$20,"B",IF(M1278&gt;=Assumptions!$B$21,"C",IF(M1278&gt;=Assumptions!$B$22,"D","F"))))))</f>
        <v>F</v>
      </c>
      <c r="D1278" s="3" t="s">
        <v>188</v>
      </c>
      <c r="E1278" s="3" t="n">
        <v>1</v>
      </c>
      <c r="F1278" s="12" t="n">
        <v>0.1857</v>
      </c>
      <c r="G1278" s="12" t="n">
        <v>0.15</v>
      </c>
      <c r="H1278" s="12" t="n">
        <v>0.25</v>
      </c>
      <c r="I1278" s="12" t="n">
        <v>0.1753</v>
      </c>
      <c r="J1278" s="12" t="n">
        <v>0.0897</v>
      </c>
      <c r="K1278" s="12" t="n">
        <v>0.1992</v>
      </c>
      <c r="L1278" s="3" t="n">
        <v>3.03</v>
      </c>
      <c r="M1278" s="12" t="n">
        <f aca="false">Z1278-W1278</f>
        <v>-0.209573</v>
      </c>
      <c r="N1278" s="12" t="n">
        <f aca="false">IFERROR((Z1278-J1278)/L1278,"")</f>
        <v>0.0361475247524753</v>
      </c>
      <c r="O1278" s="3" t="n">
        <v>19</v>
      </c>
      <c r="P1278" s="13" t="b">
        <f aca="false">FALSE()</f>
        <v>0</v>
      </c>
      <c r="Q1278" s="3" t="s">
        <v>201</v>
      </c>
      <c r="R1278" s="12" t="n">
        <v>0.253</v>
      </c>
      <c r="S1278" s="12" t="n">
        <v>0.2844</v>
      </c>
      <c r="T1278" s="3" t="n">
        <v>0.137</v>
      </c>
      <c r="U1278" s="12" t="n">
        <v>0.0688</v>
      </c>
      <c r="V1278" s="12" t="n">
        <v>0.4707</v>
      </c>
      <c r="W1278" s="12" t="n">
        <v>0.4088</v>
      </c>
      <c r="X1278" s="3" t="n">
        <v>0</v>
      </c>
      <c r="Y1278" s="3" t="n">
        <v>0.1569</v>
      </c>
      <c r="Z1278" s="14" t="n">
        <f aca="false">Assumptions!$B$3*R1278+Assumptions!$B$4*S1278+IF(AA1278=1,Assumptions!$B$11,Assumptions!$B$5)*X1278+IF(AA1278=1,Assumptions!$B$12,Assumptions!$B$6)*T1278+Assumptions!$B$7*U1278+Assumptions!$B$8*V1278+Assumptions!$B$9*Y1278</f>
        <v>0.199227</v>
      </c>
      <c r="AA1278" s="3" t="n">
        <v>0</v>
      </c>
    </row>
    <row r="1279" customFormat="false" ht="15" hidden="false" customHeight="false" outlineLevel="0" collapsed="false">
      <c r="A1279" s="3" t="s">
        <v>1464</v>
      </c>
      <c r="B1279" s="3" t="n">
        <v>213</v>
      </c>
      <c r="C1279" s="11" t="str">
        <f aca="false">IF(M1279&gt;=Assumptions!$B$17,"S+",IF(M1279&gt;=Assumptions!$B$18,"S",IF(M1279&gt;=Assumptions!$B$19,"A",IF(M1279&gt;=Assumptions!$B$20,"B",IF(M1279&gt;=Assumptions!$B$21,"C",IF(M1279&gt;=Assumptions!$B$22,"D","F"))))))</f>
        <v>F</v>
      </c>
      <c r="D1279" s="3" t="s">
        <v>188</v>
      </c>
      <c r="E1279" s="3" t="n">
        <v>1</v>
      </c>
      <c r="F1279" s="12" t="n">
        <v>0.1857</v>
      </c>
      <c r="G1279" s="12" t="n">
        <v>0.15</v>
      </c>
      <c r="H1279" s="12" t="n">
        <v>0.25</v>
      </c>
      <c r="I1279" s="12" t="n">
        <v>0.1753</v>
      </c>
      <c r="J1279" s="12" t="n">
        <v>0.0897</v>
      </c>
      <c r="K1279" s="12" t="n">
        <v>0.1992</v>
      </c>
      <c r="L1279" s="3" t="n">
        <v>3.03</v>
      </c>
      <c r="M1279" s="12" t="n">
        <f aca="false">Z1279-W1279</f>
        <v>-0.209573</v>
      </c>
      <c r="N1279" s="12" t="n">
        <f aca="false">IFERROR((Z1279-J1279)/L1279,"")</f>
        <v>0.0361475247524753</v>
      </c>
      <c r="O1279" s="3" t="n">
        <v>19</v>
      </c>
      <c r="P1279" s="13" t="b">
        <f aca="false">FALSE()</f>
        <v>0</v>
      </c>
      <c r="Q1279" s="3" t="s">
        <v>201</v>
      </c>
      <c r="R1279" s="12" t="n">
        <v>0.253</v>
      </c>
      <c r="S1279" s="12" t="n">
        <v>0.2844</v>
      </c>
      <c r="T1279" s="3" t="n">
        <v>0.137</v>
      </c>
      <c r="U1279" s="12" t="n">
        <v>0.0688</v>
      </c>
      <c r="V1279" s="12" t="n">
        <v>0.4707</v>
      </c>
      <c r="W1279" s="12" t="n">
        <v>0.4088</v>
      </c>
      <c r="X1279" s="3" t="n">
        <v>0</v>
      </c>
      <c r="Y1279" s="3" t="n">
        <v>0.1569</v>
      </c>
      <c r="Z1279" s="14" t="n">
        <f aca="false">Assumptions!$B$3*R1279+Assumptions!$B$4*S1279+IF(AA1279=1,Assumptions!$B$11,Assumptions!$B$5)*X1279+IF(AA1279=1,Assumptions!$B$12,Assumptions!$B$6)*T1279+Assumptions!$B$7*U1279+Assumptions!$B$8*V1279+Assumptions!$B$9*Y1279</f>
        <v>0.199227</v>
      </c>
      <c r="AA1279" s="3" t="n">
        <v>0</v>
      </c>
    </row>
    <row r="1280" customFormat="false" ht="15" hidden="false" customHeight="false" outlineLevel="0" collapsed="false">
      <c r="A1280" s="3" t="s">
        <v>1465</v>
      </c>
      <c r="B1280" s="3" t="n">
        <v>213</v>
      </c>
      <c r="C1280" s="11" t="str">
        <f aca="false">IF(M1280&gt;=Assumptions!$B$17,"S+",IF(M1280&gt;=Assumptions!$B$18,"S",IF(M1280&gt;=Assumptions!$B$19,"A",IF(M1280&gt;=Assumptions!$B$20,"B",IF(M1280&gt;=Assumptions!$B$21,"C",IF(M1280&gt;=Assumptions!$B$22,"D","F"))))))</f>
        <v>F</v>
      </c>
      <c r="D1280" s="3" t="s">
        <v>188</v>
      </c>
      <c r="E1280" s="3" t="n">
        <v>1</v>
      </c>
      <c r="F1280" s="12" t="n">
        <v>0.1857</v>
      </c>
      <c r="G1280" s="12" t="n">
        <v>0.15</v>
      </c>
      <c r="H1280" s="12" t="n">
        <v>0.25</v>
      </c>
      <c r="I1280" s="12" t="n">
        <v>0.1753</v>
      </c>
      <c r="J1280" s="12" t="n">
        <v>0.0897</v>
      </c>
      <c r="K1280" s="12" t="n">
        <v>0.1992</v>
      </c>
      <c r="L1280" s="3" t="n">
        <v>3.03</v>
      </c>
      <c r="M1280" s="12" t="n">
        <f aca="false">Z1280-W1280</f>
        <v>-0.209573</v>
      </c>
      <c r="N1280" s="12" t="n">
        <f aca="false">IFERROR((Z1280-J1280)/L1280,"")</f>
        <v>0.0361475247524753</v>
      </c>
      <c r="O1280" s="3" t="n">
        <v>19</v>
      </c>
      <c r="P1280" s="13" t="b">
        <f aca="false">FALSE()</f>
        <v>0</v>
      </c>
      <c r="Q1280" s="3" t="s">
        <v>201</v>
      </c>
      <c r="R1280" s="12" t="n">
        <v>0.253</v>
      </c>
      <c r="S1280" s="12" t="n">
        <v>0.2844</v>
      </c>
      <c r="T1280" s="3" t="n">
        <v>0.137</v>
      </c>
      <c r="U1280" s="12" t="n">
        <v>0.0688</v>
      </c>
      <c r="V1280" s="12" t="n">
        <v>0.4707</v>
      </c>
      <c r="W1280" s="12" t="n">
        <v>0.4088</v>
      </c>
      <c r="X1280" s="3" t="n">
        <v>0</v>
      </c>
      <c r="Y1280" s="3" t="n">
        <v>0.1569</v>
      </c>
      <c r="Z1280" s="14" t="n">
        <f aca="false">Assumptions!$B$3*R1280+Assumptions!$B$4*S1280+IF(AA1280=1,Assumptions!$B$11,Assumptions!$B$5)*X1280+IF(AA1280=1,Assumptions!$B$12,Assumptions!$B$6)*T1280+Assumptions!$B$7*U1280+Assumptions!$B$8*V1280+Assumptions!$B$9*Y1280</f>
        <v>0.199227</v>
      </c>
      <c r="AA1280" s="3" t="n">
        <v>0</v>
      </c>
    </row>
    <row r="1281" customFormat="false" ht="15" hidden="false" customHeight="false" outlineLevel="0" collapsed="false">
      <c r="A1281" s="3" t="s">
        <v>1466</v>
      </c>
      <c r="B1281" s="3" t="n">
        <v>213</v>
      </c>
      <c r="C1281" s="11" t="str">
        <f aca="false">IF(M1281&gt;=Assumptions!$B$17,"S+",IF(M1281&gt;=Assumptions!$B$18,"S",IF(M1281&gt;=Assumptions!$B$19,"A",IF(M1281&gt;=Assumptions!$B$20,"B",IF(M1281&gt;=Assumptions!$B$21,"C",IF(M1281&gt;=Assumptions!$B$22,"D","F"))))))</f>
        <v>F</v>
      </c>
      <c r="D1281" s="3" t="s">
        <v>188</v>
      </c>
      <c r="E1281" s="3" t="n">
        <v>1</v>
      </c>
      <c r="F1281" s="12" t="n">
        <v>0.1857</v>
      </c>
      <c r="G1281" s="12" t="n">
        <v>0.15</v>
      </c>
      <c r="H1281" s="12" t="n">
        <v>0.25</v>
      </c>
      <c r="I1281" s="12" t="n">
        <v>0.1753</v>
      </c>
      <c r="J1281" s="12" t="n">
        <v>0.0897</v>
      </c>
      <c r="K1281" s="12" t="n">
        <v>0.1992</v>
      </c>
      <c r="L1281" s="3" t="n">
        <v>3.03</v>
      </c>
      <c r="M1281" s="12" t="n">
        <f aca="false">Z1281-W1281</f>
        <v>-0.209573</v>
      </c>
      <c r="N1281" s="12" t="n">
        <f aca="false">IFERROR((Z1281-J1281)/L1281,"")</f>
        <v>0.0361475247524753</v>
      </c>
      <c r="O1281" s="3" t="n">
        <v>19</v>
      </c>
      <c r="P1281" s="13" t="b">
        <f aca="false">FALSE()</f>
        <v>0</v>
      </c>
      <c r="Q1281" s="3" t="s">
        <v>201</v>
      </c>
      <c r="R1281" s="12" t="n">
        <v>0.253</v>
      </c>
      <c r="S1281" s="12" t="n">
        <v>0.2844</v>
      </c>
      <c r="T1281" s="3" t="n">
        <v>0.137</v>
      </c>
      <c r="U1281" s="12" t="n">
        <v>0.0688</v>
      </c>
      <c r="V1281" s="12" t="n">
        <v>0.4707</v>
      </c>
      <c r="W1281" s="12" t="n">
        <v>0.4088</v>
      </c>
      <c r="X1281" s="3" t="n">
        <v>0</v>
      </c>
      <c r="Y1281" s="3" t="n">
        <v>0.1569</v>
      </c>
      <c r="Z1281" s="14" t="n">
        <f aca="false">Assumptions!$B$3*R1281+Assumptions!$B$4*S1281+IF(AA1281=1,Assumptions!$B$11,Assumptions!$B$5)*X1281+IF(AA1281=1,Assumptions!$B$12,Assumptions!$B$6)*T1281+Assumptions!$B$7*U1281+Assumptions!$B$8*V1281+Assumptions!$B$9*Y1281</f>
        <v>0.199227</v>
      </c>
      <c r="AA1281" s="3" t="n">
        <v>0</v>
      </c>
    </row>
    <row r="1282" customFormat="false" ht="15" hidden="false" customHeight="false" outlineLevel="0" collapsed="false">
      <c r="A1282" s="3" t="s">
        <v>1467</v>
      </c>
      <c r="B1282" s="3" t="n">
        <v>213</v>
      </c>
      <c r="C1282" s="11" t="str">
        <f aca="false">IF(M1282&gt;=Assumptions!$B$17,"S+",IF(M1282&gt;=Assumptions!$B$18,"S",IF(M1282&gt;=Assumptions!$B$19,"A",IF(M1282&gt;=Assumptions!$B$20,"B",IF(M1282&gt;=Assumptions!$B$21,"C",IF(M1282&gt;=Assumptions!$B$22,"D","F"))))))</f>
        <v>F</v>
      </c>
      <c r="D1282" s="3" t="s">
        <v>188</v>
      </c>
      <c r="E1282" s="3" t="n">
        <v>1</v>
      </c>
      <c r="F1282" s="12" t="n">
        <v>0.1857</v>
      </c>
      <c r="G1282" s="12" t="n">
        <v>0.15</v>
      </c>
      <c r="H1282" s="12" t="n">
        <v>0.25</v>
      </c>
      <c r="I1282" s="12" t="n">
        <v>0.1753</v>
      </c>
      <c r="J1282" s="12" t="n">
        <v>0.0897</v>
      </c>
      <c r="K1282" s="12" t="n">
        <v>0.1992</v>
      </c>
      <c r="L1282" s="3" t="n">
        <v>3.03</v>
      </c>
      <c r="M1282" s="12" t="n">
        <f aca="false">Z1282-W1282</f>
        <v>-0.209573</v>
      </c>
      <c r="N1282" s="12" t="n">
        <f aca="false">IFERROR((Z1282-J1282)/L1282,"")</f>
        <v>0.0361475247524753</v>
      </c>
      <c r="O1282" s="3" t="n">
        <v>19</v>
      </c>
      <c r="P1282" s="13" t="b">
        <f aca="false">FALSE()</f>
        <v>0</v>
      </c>
      <c r="Q1282" s="3" t="s">
        <v>201</v>
      </c>
      <c r="R1282" s="12" t="n">
        <v>0.253</v>
      </c>
      <c r="S1282" s="12" t="n">
        <v>0.2844</v>
      </c>
      <c r="T1282" s="3" t="n">
        <v>0.137</v>
      </c>
      <c r="U1282" s="12" t="n">
        <v>0.0688</v>
      </c>
      <c r="V1282" s="12" t="n">
        <v>0.4707</v>
      </c>
      <c r="W1282" s="12" t="n">
        <v>0.4088</v>
      </c>
      <c r="X1282" s="3" t="n">
        <v>0</v>
      </c>
      <c r="Y1282" s="3" t="n">
        <v>0.1569</v>
      </c>
      <c r="Z1282" s="14" t="n">
        <f aca="false">Assumptions!$B$3*R1282+Assumptions!$B$4*S1282+IF(AA1282=1,Assumptions!$B$11,Assumptions!$B$5)*X1282+IF(AA1282=1,Assumptions!$B$12,Assumptions!$B$6)*T1282+Assumptions!$B$7*U1282+Assumptions!$B$8*V1282+Assumptions!$B$9*Y1282</f>
        <v>0.199227</v>
      </c>
      <c r="AA1282" s="3" t="n">
        <v>0</v>
      </c>
    </row>
    <row r="1283" customFormat="false" ht="15" hidden="false" customHeight="false" outlineLevel="0" collapsed="false">
      <c r="A1283" s="3" t="s">
        <v>1468</v>
      </c>
      <c r="B1283" s="3" t="n">
        <v>205</v>
      </c>
      <c r="C1283" s="11" t="str">
        <f aca="false">IF(M1283&gt;=Assumptions!$B$17,"S+",IF(M1283&gt;=Assumptions!$B$18,"S",IF(M1283&gt;=Assumptions!$B$19,"A",IF(M1283&gt;=Assumptions!$B$20,"B",IF(M1283&gt;=Assumptions!$B$21,"C",IF(M1283&gt;=Assumptions!$B$22,"D","F"))))))</f>
        <v>F</v>
      </c>
      <c r="D1283" s="3" t="s">
        <v>188</v>
      </c>
      <c r="E1283" s="3" t="n">
        <v>1</v>
      </c>
      <c r="F1283" s="12" t="n">
        <v>0.2294</v>
      </c>
      <c r="G1283" s="12" t="n">
        <v>0.15</v>
      </c>
      <c r="H1283" s="12" t="n">
        <v>0.25</v>
      </c>
      <c r="I1283" s="12" t="n">
        <v>0.1819</v>
      </c>
      <c r="J1283" s="12" t="n">
        <v>0.1313</v>
      </c>
      <c r="K1283" s="12" t="n">
        <v>0.1984</v>
      </c>
      <c r="L1283" s="3" t="n">
        <v>3.08</v>
      </c>
      <c r="M1283" s="12" t="n">
        <f aca="false">Z1283-W1283</f>
        <v>-0.210422</v>
      </c>
      <c r="N1283" s="12" t="n">
        <f aca="false">IFERROR((Z1283-J1283)/L1283,"")</f>
        <v>0.0217785714285714</v>
      </c>
      <c r="O1283" s="3" t="n">
        <v>19</v>
      </c>
      <c r="P1283" s="13" t="b">
        <f aca="false">FALSE()</f>
        <v>0</v>
      </c>
      <c r="Q1283" s="3" t="s">
        <v>166</v>
      </c>
      <c r="R1283" s="12" t="n">
        <v>0.241</v>
      </c>
      <c r="S1283" s="12" t="n">
        <v>0.2969</v>
      </c>
      <c r="T1283" s="3" t="n">
        <v>0.1353</v>
      </c>
      <c r="U1283" s="12" t="n">
        <v>0.0688</v>
      </c>
      <c r="V1283" s="12" t="n">
        <v>0.4707</v>
      </c>
      <c r="W1283" s="12" t="n">
        <v>0.4088</v>
      </c>
      <c r="X1283" s="3" t="n">
        <v>0</v>
      </c>
      <c r="Y1283" s="3" t="n">
        <v>0.1629</v>
      </c>
      <c r="Z1283" s="14" t="n">
        <f aca="false">Assumptions!$B$3*R1283+Assumptions!$B$4*S1283+IF(AA1283=1,Assumptions!$B$11,Assumptions!$B$5)*X1283+IF(AA1283=1,Assumptions!$B$12,Assumptions!$B$6)*T1283+Assumptions!$B$7*U1283+Assumptions!$B$8*V1283+Assumptions!$B$9*Y1283</f>
        <v>0.198378</v>
      </c>
      <c r="AA1283" s="3" t="n">
        <v>0</v>
      </c>
    </row>
    <row r="1284" customFormat="false" ht="15" hidden="false" customHeight="false" outlineLevel="0" collapsed="false">
      <c r="A1284" s="3" t="s">
        <v>1469</v>
      </c>
      <c r="B1284" s="3" t="n">
        <v>200</v>
      </c>
      <c r="C1284" s="11" t="str">
        <f aca="false">IF(M1284&gt;=Assumptions!$B$17,"S+",IF(M1284&gt;=Assumptions!$B$18,"S",IF(M1284&gt;=Assumptions!$B$19,"A",IF(M1284&gt;=Assumptions!$B$20,"B",IF(M1284&gt;=Assumptions!$B$21,"C",IF(M1284&gt;=Assumptions!$B$22,"D","F"))))))</f>
        <v>F</v>
      </c>
      <c r="D1284" s="3" t="s">
        <v>173</v>
      </c>
      <c r="E1284" s="3" t="n">
        <v>1</v>
      </c>
      <c r="F1284" s="12" t="n">
        <v>0.3625</v>
      </c>
      <c r="G1284" s="12" t="n">
        <v>0.15</v>
      </c>
      <c r="H1284" s="12" t="n">
        <v>0.75</v>
      </c>
      <c r="I1284" s="12" t="n">
        <v>0.3082</v>
      </c>
      <c r="J1284" s="12" t="n">
        <v>0.1659</v>
      </c>
      <c r="K1284" s="12" t="n">
        <v>0.2119</v>
      </c>
      <c r="L1284" s="3" t="n">
        <v>2.45</v>
      </c>
      <c r="M1284" s="12" t="n">
        <f aca="false">Z1284-W1284</f>
        <v>-0.221756</v>
      </c>
      <c r="N1284" s="12" t="n">
        <f aca="false">IFERROR((Z1284-J1284)/L1284,"")</f>
        <v>0.0187934693877551</v>
      </c>
      <c r="O1284" s="3" t="n">
        <v>19</v>
      </c>
      <c r="P1284" s="13" t="b">
        <f aca="false">FALSE()</f>
        <v>0</v>
      </c>
      <c r="Q1284" s="3" t="s">
        <v>201</v>
      </c>
      <c r="R1284" s="12" t="n">
        <v>0.3143</v>
      </c>
      <c r="S1284" s="12" t="n">
        <v>0.2349</v>
      </c>
      <c r="T1284" s="3" t="n">
        <v>0.1171</v>
      </c>
      <c r="U1284" s="12" t="n">
        <v>0.0769</v>
      </c>
      <c r="V1284" s="12" t="n">
        <v>0.4707</v>
      </c>
      <c r="W1284" s="12" t="n">
        <v>0.4337</v>
      </c>
      <c r="X1284" s="3" t="n">
        <v>0</v>
      </c>
      <c r="Y1284" s="3" t="n">
        <v>0.3084</v>
      </c>
      <c r="Z1284" s="14" t="n">
        <f aca="false">Assumptions!$B$3*R1284+Assumptions!$B$4*S1284+IF(AA1284=1,Assumptions!$B$11,Assumptions!$B$5)*X1284+IF(AA1284=1,Assumptions!$B$12,Assumptions!$B$6)*T1284+Assumptions!$B$7*U1284+Assumptions!$B$8*V1284+Assumptions!$B$9*Y1284</f>
        <v>0.211944</v>
      </c>
      <c r="AA1284" s="3" t="n">
        <v>1</v>
      </c>
    </row>
    <row r="1285" customFormat="false" ht="15" hidden="false" customHeight="false" outlineLevel="0" collapsed="false">
      <c r="A1285" s="3" t="s">
        <v>1470</v>
      </c>
      <c r="B1285" s="3" t="n">
        <v>200</v>
      </c>
      <c r="C1285" s="11" t="str">
        <f aca="false">IF(M1285&gt;=Assumptions!$B$17,"S+",IF(M1285&gt;=Assumptions!$B$18,"S",IF(M1285&gt;=Assumptions!$B$19,"A",IF(M1285&gt;=Assumptions!$B$20,"B",IF(M1285&gt;=Assumptions!$B$21,"C",IF(M1285&gt;=Assumptions!$B$22,"D","F"))))))</f>
        <v>F</v>
      </c>
      <c r="D1285" s="3" t="s">
        <v>173</v>
      </c>
      <c r="E1285" s="3" t="n">
        <v>1</v>
      </c>
      <c r="F1285" s="12" t="n">
        <v>0.3625</v>
      </c>
      <c r="G1285" s="12" t="n">
        <v>0.15</v>
      </c>
      <c r="H1285" s="12" t="n">
        <v>0.75</v>
      </c>
      <c r="I1285" s="12" t="n">
        <v>0.3082</v>
      </c>
      <c r="J1285" s="12" t="n">
        <v>0.1659</v>
      </c>
      <c r="K1285" s="12" t="n">
        <v>0.2119</v>
      </c>
      <c r="L1285" s="3" t="n">
        <v>2.45</v>
      </c>
      <c r="M1285" s="12" t="n">
        <f aca="false">Z1285-W1285</f>
        <v>-0.221756</v>
      </c>
      <c r="N1285" s="12" t="n">
        <f aca="false">IFERROR((Z1285-J1285)/L1285,"")</f>
        <v>0.0187934693877551</v>
      </c>
      <c r="O1285" s="3" t="n">
        <v>19</v>
      </c>
      <c r="P1285" s="13" t="b">
        <f aca="false">FALSE()</f>
        <v>0</v>
      </c>
      <c r="Q1285" s="3" t="s">
        <v>201</v>
      </c>
      <c r="R1285" s="12" t="n">
        <v>0.3143</v>
      </c>
      <c r="S1285" s="12" t="n">
        <v>0.2349</v>
      </c>
      <c r="T1285" s="3" t="n">
        <v>0.1171</v>
      </c>
      <c r="U1285" s="12" t="n">
        <v>0.0769</v>
      </c>
      <c r="V1285" s="12" t="n">
        <v>0.4707</v>
      </c>
      <c r="W1285" s="12" t="n">
        <v>0.4337</v>
      </c>
      <c r="X1285" s="3" t="n">
        <v>0</v>
      </c>
      <c r="Y1285" s="3" t="n">
        <v>0.3084</v>
      </c>
      <c r="Z1285" s="14" t="n">
        <f aca="false">Assumptions!$B$3*R1285+Assumptions!$B$4*S1285+IF(AA1285=1,Assumptions!$B$11,Assumptions!$B$5)*X1285+IF(AA1285=1,Assumptions!$B$12,Assumptions!$B$6)*T1285+Assumptions!$B$7*U1285+Assumptions!$B$8*V1285+Assumptions!$B$9*Y1285</f>
        <v>0.211944</v>
      </c>
      <c r="AA1285" s="3" t="n">
        <v>1</v>
      </c>
    </row>
    <row r="1286" customFormat="false" ht="15" hidden="false" customHeight="false" outlineLevel="0" collapsed="false">
      <c r="A1286" s="3" t="s">
        <v>1471</v>
      </c>
      <c r="B1286" s="3" t="n">
        <v>200</v>
      </c>
      <c r="C1286" s="11" t="str">
        <f aca="false">IF(M1286&gt;=Assumptions!$B$17,"S+",IF(M1286&gt;=Assumptions!$B$18,"S",IF(M1286&gt;=Assumptions!$B$19,"A",IF(M1286&gt;=Assumptions!$B$20,"B",IF(M1286&gt;=Assumptions!$B$21,"C",IF(M1286&gt;=Assumptions!$B$22,"D","F"))))))</f>
        <v>F</v>
      </c>
      <c r="D1286" s="3" t="s">
        <v>173</v>
      </c>
      <c r="E1286" s="3" t="n">
        <v>1</v>
      </c>
      <c r="F1286" s="12" t="n">
        <v>0.3625</v>
      </c>
      <c r="G1286" s="12" t="n">
        <v>0.15</v>
      </c>
      <c r="H1286" s="12" t="n">
        <v>0.75</v>
      </c>
      <c r="I1286" s="12" t="n">
        <v>0.3082</v>
      </c>
      <c r="J1286" s="12" t="n">
        <v>0.1659</v>
      </c>
      <c r="K1286" s="12" t="n">
        <v>0.2119</v>
      </c>
      <c r="L1286" s="3" t="n">
        <v>2.45</v>
      </c>
      <c r="M1286" s="12" t="n">
        <f aca="false">Z1286-W1286</f>
        <v>-0.221756</v>
      </c>
      <c r="N1286" s="12" t="n">
        <f aca="false">IFERROR((Z1286-J1286)/L1286,"")</f>
        <v>0.0187934693877551</v>
      </c>
      <c r="O1286" s="3" t="n">
        <v>19</v>
      </c>
      <c r="P1286" s="13" t="b">
        <f aca="false">FALSE()</f>
        <v>0</v>
      </c>
      <c r="Q1286" s="3" t="s">
        <v>201</v>
      </c>
      <c r="R1286" s="12" t="n">
        <v>0.3143</v>
      </c>
      <c r="S1286" s="12" t="n">
        <v>0.2349</v>
      </c>
      <c r="T1286" s="3" t="n">
        <v>0.1171</v>
      </c>
      <c r="U1286" s="12" t="n">
        <v>0.0769</v>
      </c>
      <c r="V1286" s="12" t="n">
        <v>0.4707</v>
      </c>
      <c r="W1286" s="12" t="n">
        <v>0.4337</v>
      </c>
      <c r="X1286" s="3" t="n">
        <v>0</v>
      </c>
      <c r="Y1286" s="3" t="n">
        <v>0.3084</v>
      </c>
      <c r="Z1286" s="14" t="n">
        <f aca="false">Assumptions!$B$3*R1286+Assumptions!$B$4*S1286+IF(AA1286=1,Assumptions!$B$11,Assumptions!$B$5)*X1286+IF(AA1286=1,Assumptions!$B$12,Assumptions!$B$6)*T1286+Assumptions!$B$7*U1286+Assumptions!$B$8*V1286+Assumptions!$B$9*Y1286</f>
        <v>0.211944</v>
      </c>
      <c r="AA1286" s="3" t="n">
        <v>1</v>
      </c>
    </row>
    <row r="1287" customFormat="false" ht="15" hidden="false" customHeight="false" outlineLevel="0" collapsed="false">
      <c r="A1287" s="3" t="s">
        <v>1472</v>
      </c>
      <c r="B1287" s="3" t="n">
        <v>200</v>
      </c>
      <c r="C1287" s="11" t="str">
        <f aca="false">IF(M1287&gt;=Assumptions!$B$17,"S+",IF(M1287&gt;=Assumptions!$B$18,"S",IF(M1287&gt;=Assumptions!$B$19,"A",IF(M1287&gt;=Assumptions!$B$20,"B",IF(M1287&gt;=Assumptions!$B$21,"C",IF(M1287&gt;=Assumptions!$B$22,"D","F"))))))</f>
        <v>F</v>
      </c>
      <c r="D1287" s="3" t="s">
        <v>173</v>
      </c>
      <c r="E1287" s="3" t="n">
        <v>1</v>
      </c>
      <c r="F1287" s="12" t="n">
        <v>0.3625</v>
      </c>
      <c r="G1287" s="12" t="n">
        <v>0.15</v>
      </c>
      <c r="H1287" s="12" t="n">
        <v>0.75</v>
      </c>
      <c r="I1287" s="12" t="n">
        <v>0.3082</v>
      </c>
      <c r="J1287" s="12" t="n">
        <v>0.1659</v>
      </c>
      <c r="K1287" s="12" t="n">
        <v>0.2119</v>
      </c>
      <c r="L1287" s="3" t="n">
        <v>2.45</v>
      </c>
      <c r="M1287" s="12" t="n">
        <f aca="false">Z1287-W1287</f>
        <v>-0.221756</v>
      </c>
      <c r="N1287" s="12" t="n">
        <f aca="false">IFERROR((Z1287-J1287)/L1287,"")</f>
        <v>0.0187934693877551</v>
      </c>
      <c r="O1287" s="3" t="n">
        <v>19</v>
      </c>
      <c r="P1287" s="13" t="b">
        <f aca="false">FALSE()</f>
        <v>0</v>
      </c>
      <c r="Q1287" s="3" t="s">
        <v>201</v>
      </c>
      <c r="R1287" s="12" t="n">
        <v>0.3143</v>
      </c>
      <c r="S1287" s="12" t="n">
        <v>0.2349</v>
      </c>
      <c r="T1287" s="3" t="n">
        <v>0.1171</v>
      </c>
      <c r="U1287" s="12" t="n">
        <v>0.0769</v>
      </c>
      <c r="V1287" s="12" t="n">
        <v>0.4707</v>
      </c>
      <c r="W1287" s="12" t="n">
        <v>0.4337</v>
      </c>
      <c r="X1287" s="3" t="n">
        <v>0</v>
      </c>
      <c r="Y1287" s="3" t="n">
        <v>0.3084</v>
      </c>
      <c r="Z1287" s="14" t="n">
        <f aca="false">Assumptions!$B$3*R1287+Assumptions!$B$4*S1287+IF(AA1287=1,Assumptions!$B$11,Assumptions!$B$5)*X1287+IF(AA1287=1,Assumptions!$B$12,Assumptions!$B$6)*T1287+Assumptions!$B$7*U1287+Assumptions!$B$8*V1287+Assumptions!$B$9*Y1287</f>
        <v>0.211944</v>
      </c>
      <c r="AA1287" s="3" t="n">
        <v>1</v>
      </c>
    </row>
    <row r="1288" customFormat="false" ht="15" hidden="false" customHeight="false" outlineLevel="0" collapsed="false">
      <c r="A1288" s="3" t="s">
        <v>1473</v>
      </c>
      <c r="B1288" s="3" t="n">
        <v>200</v>
      </c>
      <c r="C1288" s="11" t="str">
        <f aca="false">IF(M1288&gt;=Assumptions!$B$17,"S+",IF(M1288&gt;=Assumptions!$B$18,"S",IF(M1288&gt;=Assumptions!$B$19,"A",IF(M1288&gt;=Assumptions!$B$20,"B",IF(M1288&gt;=Assumptions!$B$21,"C",IF(M1288&gt;=Assumptions!$B$22,"D","F"))))))</f>
        <v>F</v>
      </c>
      <c r="D1288" s="3" t="s">
        <v>173</v>
      </c>
      <c r="E1288" s="3" t="n">
        <v>1</v>
      </c>
      <c r="F1288" s="12" t="n">
        <v>0.3625</v>
      </c>
      <c r="G1288" s="12" t="n">
        <v>0.15</v>
      </c>
      <c r="H1288" s="12" t="n">
        <v>0.75</v>
      </c>
      <c r="I1288" s="12" t="n">
        <v>0.3082</v>
      </c>
      <c r="J1288" s="12" t="n">
        <v>0.1659</v>
      </c>
      <c r="K1288" s="12" t="n">
        <v>0.2119</v>
      </c>
      <c r="L1288" s="3" t="n">
        <v>2.45</v>
      </c>
      <c r="M1288" s="12" t="n">
        <f aca="false">Z1288-W1288</f>
        <v>-0.221756</v>
      </c>
      <c r="N1288" s="12" t="n">
        <f aca="false">IFERROR((Z1288-J1288)/L1288,"")</f>
        <v>0.0187934693877551</v>
      </c>
      <c r="O1288" s="3" t="n">
        <v>19</v>
      </c>
      <c r="P1288" s="13" t="b">
        <f aca="false">FALSE()</f>
        <v>0</v>
      </c>
      <c r="Q1288" s="3" t="s">
        <v>201</v>
      </c>
      <c r="R1288" s="12" t="n">
        <v>0.3143</v>
      </c>
      <c r="S1288" s="12" t="n">
        <v>0.2349</v>
      </c>
      <c r="T1288" s="3" t="n">
        <v>0.1171</v>
      </c>
      <c r="U1288" s="12" t="n">
        <v>0.0769</v>
      </c>
      <c r="V1288" s="12" t="n">
        <v>0.4707</v>
      </c>
      <c r="W1288" s="12" t="n">
        <v>0.4337</v>
      </c>
      <c r="X1288" s="3" t="n">
        <v>0</v>
      </c>
      <c r="Y1288" s="3" t="n">
        <v>0.3084</v>
      </c>
      <c r="Z1288" s="14" t="n">
        <f aca="false">Assumptions!$B$3*R1288+Assumptions!$B$4*S1288+IF(AA1288=1,Assumptions!$B$11,Assumptions!$B$5)*X1288+IF(AA1288=1,Assumptions!$B$12,Assumptions!$B$6)*T1288+Assumptions!$B$7*U1288+Assumptions!$B$8*V1288+Assumptions!$B$9*Y1288</f>
        <v>0.211944</v>
      </c>
      <c r="AA1288" s="3" t="n">
        <v>1</v>
      </c>
    </row>
    <row r="1289" customFormat="false" ht="15" hidden="false" customHeight="false" outlineLevel="0" collapsed="false">
      <c r="A1289" s="3" t="s">
        <v>1474</v>
      </c>
      <c r="B1289" s="3" t="n">
        <v>200</v>
      </c>
      <c r="C1289" s="11" t="str">
        <f aca="false">IF(M1289&gt;=Assumptions!$B$17,"S+",IF(M1289&gt;=Assumptions!$B$18,"S",IF(M1289&gt;=Assumptions!$B$19,"A",IF(M1289&gt;=Assumptions!$B$20,"B",IF(M1289&gt;=Assumptions!$B$21,"C",IF(M1289&gt;=Assumptions!$B$22,"D","F"))))))</f>
        <v>F</v>
      </c>
      <c r="D1289" s="3" t="s">
        <v>173</v>
      </c>
      <c r="E1289" s="3" t="n">
        <v>1</v>
      </c>
      <c r="F1289" s="12" t="n">
        <v>0.3625</v>
      </c>
      <c r="G1289" s="12" t="n">
        <v>0.15</v>
      </c>
      <c r="H1289" s="12" t="n">
        <v>0.75</v>
      </c>
      <c r="I1289" s="12" t="n">
        <v>0.3082</v>
      </c>
      <c r="J1289" s="12" t="n">
        <v>0.1659</v>
      </c>
      <c r="K1289" s="12" t="n">
        <v>0.2119</v>
      </c>
      <c r="L1289" s="3" t="n">
        <v>2.45</v>
      </c>
      <c r="M1289" s="12" t="n">
        <f aca="false">Z1289-W1289</f>
        <v>-0.221756</v>
      </c>
      <c r="N1289" s="12" t="n">
        <f aca="false">IFERROR((Z1289-J1289)/L1289,"")</f>
        <v>0.0187934693877551</v>
      </c>
      <c r="O1289" s="3" t="n">
        <v>19</v>
      </c>
      <c r="P1289" s="13" t="b">
        <f aca="false">FALSE()</f>
        <v>0</v>
      </c>
      <c r="Q1289" s="3" t="s">
        <v>201</v>
      </c>
      <c r="R1289" s="12" t="n">
        <v>0.3143</v>
      </c>
      <c r="S1289" s="12" t="n">
        <v>0.2349</v>
      </c>
      <c r="T1289" s="3" t="n">
        <v>0.1171</v>
      </c>
      <c r="U1289" s="12" t="n">
        <v>0.0769</v>
      </c>
      <c r="V1289" s="12" t="n">
        <v>0.4707</v>
      </c>
      <c r="W1289" s="12" t="n">
        <v>0.4337</v>
      </c>
      <c r="X1289" s="3" t="n">
        <v>0</v>
      </c>
      <c r="Y1289" s="3" t="n">
        <v>0.3084</v>
      </c>
      <c r="Z1289" s="14" t="n">
        <f aca="false">Assumptions!$B$3*R1289+Assumptions!$B$4*S1289+IF(AA1289=1,Assumptions!$B$11,Assumptions!$B$5)*X1289+IF(AA1289=1,Assumptions!$B$12,Assumptions!$B$6)*T1289+Assumptions!$B$7*U1289+Assumptions!$B$8*V1289+Assumptions!$B$9*Y1289</f>
        <v>0.211944</v>
      </c>
      <c r="AA1289" s="3" t="n">
        <v>1</v>
      </c>
    </row>
    <row r="1290" customFormat="false" ht="15" hidden="false" customHeight="false" outlineLevel="0" collapsed="false">
      <c r="A1290" s="3" t="s">
        <v>1475</v>
      </c>
      <c r="B1290" s="3" t="n">
        <v>200</v>
      </c>
      <c r="C1290" s="11" t="str">
        <f aca="false">IF(M1290&gt;=Assumptions!$B$17,"S+",IF(M1290&gt;=Assumptions!$B$18,"S",IF(M1290&gt;=Assumptions!$B$19,"A",IF(M1290&gt;=Assumptions!$B$20,"B",IF(M1290&gt;=Assumptions!$B$21,"C",IF(M1290&gt;=Assumptions!$B$22,"D","F"))))))</f>
        <v>F</v>
      </c>
      <c r="D1290" s="3" t="s">
        <v>173</v>
      </c>
      <c r="E1290" s="3" t="n">
        <v>1</v>
      </c>
      <c r="F1290" s="12" t="n">
        <v>0.3625</v>
      </c>
      <c r="G1290" s="12" t="n">
        <v>0.15</v>
      </c>
      <c r="H1290" s="12" t="n">
        <v>0.75</v>
      </c>
      <c r="I1290" s="12" t="n">
        <v>0.3082</v>
      </c>
      <c r="J1290" s="12" t="n">
        <v>0.1659</v>
      </c>
      <c r="K1290" s="12" t="n">
        <v>0.2119</v>
      </c>
      <c r="L1290" s="3" t="n">
        <v>2.45</v>
      </c>
      <c r="M1290" s="12" t="n">
        <f aca="false">Z1290-W1290</f>
        <v>-0.221756</v>
      </c>
      <c r="N1290" s="12" t="n">
        <f aca="false">IFERROR((Z1290-J1290)/L1290,"")</f>
        <v>0.0187934693877551</v>
      </c>
      <c r="O1290" s="3" t="n">
        <v>19</v>
      </c>
      <c r="P1290" s="13" t="b">
        <f aca="false">FALSE()</f>
        <v>0</v>
      </c>
      <c r="Q1290" s="3" t="s">
        <v>201</v>
      </c>
      <c r="R1290" s="12" t="n">
        <v>0.3143</v>
      </c>
      <c r="S1290" s="12" t="n">
        <v>0.2349</v>
      </c>
      <c r="T1290" s="3" t="n">
        <v>0.1171</v>
      </c>
      <c r="U1290" s="12" t="n">
        <v>0.0769</v>
      </c>
      <c r="V1290" s="12" t="n">
        <v>0.4707</v>
      </c>
      <c r="W1290" s="12" t="n">
        <v>0.4337</v>
      </c>
      <c r="X1290" s="3" t="n">
        <v>0</v>
      </c>
      <c r="Y1290" s="3" t="n">
        <v>0.3084</v>
      </c>
      <c r="Z1290" s="14" t="n">
        <f aca="false">Assumptions!$B$3*R1290+Assumptions!$B$4*S1290+IF(AA1290=1,Assumptions!$B$11,Assumptions!$B$5)*X1290+IF(AA1290=1,Assumptions!$B$12,Assumptions!$B$6)*T1290+Assumptions!$B$7*U1290+Assumptions!$B$8*V1290+Assumptions!$B$9*Y1290</f>
        <v>0.211944</v>
      </c>
      <c r="AA1290" s="3" t="n">
        <v>1</v>
      </c>
    </row>
    <row r="1291" customFormat="false" ht="15" hidden="false" customHeight="false" outlineLevel="0" collapsed="false">
      <c r="A1291" s="3" t="s">
        <v>1476</v>
      </c>
      <c r="B1291" s="3" t="n">
        <v>200</v>
      </c>
      <c r="C1291" s="11" t="str">
        <f aca="false">IF(M1291&gt;=Assumptions!$B$17,"S+",IF(M1291&gt;=Assumptions!$B$18,"S",IF(M1291&gt;=Assumptions!$B$19,"A",IF(M1291&gt;=Assumptions!$B$20,"B",IF(M1291&gt;=Assumptions!$B$21,"C",IF(M1291&gt;=Assumptions!$B$22,"D","F"))))))</f>
        <v>F</v>
      </c>
      <c r="D1291" s="3" t="s">
        <v>173</v>
      </c>
      <c r="E1291" s="3" t="n">
        <v>1</v>
      </c>
      <c r="F1291" s="12" t="n">
        <v>0.3625</v>
      </c>
      <c r="G1291" s="12" t="n">
        <v>0.15</v>
      </c>
      <c r="H1291" s="12" t="n">
        <v>0.75</v>
      </c>
      <c r="I1291" s="12" t="n">
        <v>0.3082</v>
      </c>
      <c r="J1291" s="12" t="n">
        <v>0.1659</v>
      </c>
      <c r="K1291" s="12" t="n">
        <v>0.2119</v>
      </c>
      <c r="L1291" s="3" t="n">
        <v>2.45</v>
      </c>
      <c r="M1291" s="12" t="n">
        <f aca="false">Z1291-W1291</f>
        <v>-0.221756</v>
      </c>
      <c r="N1291" s="12" t="n">
        <f aca="false">IFERROR((Z1291-J1291)/L1291,"")</f>
        <v>0.0187934693877551</v>
      </c>
      <c r="O1291" s="3" t="n">
        <v>19</v>
      </c>
      <c r="P1291" s="13" t="b">
        <f aca="false">FALSE()</f>
        <v>0</v>
      </c>
      <c r="Q1291" s="3" t="s">
        <v>201</v>
      </c>
      <c r="R1291" s="12" t="n">
        <v>0.3143</v>
      </c>
      <c r="S1291" s="12" t="n">
        <v>0.2349</v>
      </c>
      <c r="T1291" s="3" t="n">
        <v>0.1171</v>
      </c>
      <c r="U1291" s="12" t="n">
        <v>0.0769</v>
      </c>
      <c r="V1291" s="12" t="n">
        <v>0.4707</v>
      </c>
      <c r="W1291" s="12" t="n">
        <v>0.4337</v>
      </c>
      <c r="X1291" s="3" t="n">
        <v>0</v>
      </c>
      <c r="Y1291" s="3" t="n">
        <v>0.3084</v>
      </c>
      <c r="Z1291" s="14" t="n">
        <f aca="false">Assumptions!$B$3*R1291+Assumptions!$B$4*S1291+IF(AA1291=1,Assumptions!$B$11,Assumptions!$B$5)*X1291+IF(AA1291=1,Assumptions!$B$12,Assumptions!$B$6)*T1291+Assumptions!$B$7*U1291+Assumptions!$B$8*V1291+Assumptions!$B$9*Y1291</f>
        <v>0.211944</v>
      </c>
      <c r="AA1291" s="3" t="n">
        <v>1</v>
      </c>
    </row>
    <row r="1292" customFormat="false" ht="15" hidden="false" customHeight="false" outlineLevel="0" collapsed="false">
      <c r="A1292" s="3" t="s">
        <v>1477</v>
      </c>
      <c r="B1292" s="3" t="n">
        <v>200</v>
      </c>
      <c r="C1292" s="11" t="str">
        <f aca="false">IF(M1292&gt;=Assumptions!$B$17,"S+",IF(M1292&gt;=Assumptions!$B$18,"S",IF(M1292&gt;=Assumptions!$B$19,"A",IF(M1292&gt;=Assumptions!$B$20,"B",IF(M1292&gt;=Assumptions!$B$21,"C",IF(M1292&gt;=Assumptions!$B$22,"D","F"))))))</f>
        <v>F</v>
      </c>
      <c r="D1292" s="3" t="s">
        <v>173</v>
      </c>
      <c r="E1292" s="3" t="n">
        <v>1</v>
      </c>
      <c r="F1292" s="12" t="n">
        <v>0.3625</v>
      </c>
      <c r="G1292" s="12" t="n">
        <v>0.15</v>
      </c>
      <c r="H1292" s="12" t="n">
        <v>0.75</v>
      </c>
      <c r="I1292" s="12" t="n">
        <v>0.3082</v>
      </c>
      <c r="J1292" s="12" t="n">
        <v>0.1659</v>
      </c>
      <c r="K1292" s="12" t="n">
        <v>0.2119</v>
      </c>
      <c r="L1292" s="3" t="n">
        <v>2.45</v>
      </c>
      <c r="M1292" s="12" t="n">
        <f aca="false">Z1292-W1292</f>
        <v>-0.221756</v>
      </c>
      <c r="N1292" s="12" t="n">
        <f aca="false">IFERROR((Z1292-J1292)/L1292,"")</f>
        <v>0.0187934693877551</v>
      </c>
      <c r="O1292" s="3" t="n">
        <v>19</v>
      </c>
      <c r="P1292" s="13" t="b">
        <f aca="false">FALSE()</f>
        <v>0</v>
      </c>
      <c r="Q1292" s="3" t="s">
        <v>201</v>
      </c>
      <c r="R1292" s="12" t="n">
        <v>0.3143</v>
      </c>
      <c r="S1292" s="12" t="n">
        <v>0.2349</v>
      </c>
      <c r="T1292" s="3" t="n">
        <v>0.1171</v>
      </c>
      <c r="U1292" s="12" t="n">
        <v>0.0769</v>
      </c>
      <c r="V1292" s="12" t="n">
        <v>0.4707</v>
      </c>
      <c r="W1292" s="12" t="n">
        <v>0.4337</v>
      </c>
      <c r="X1292" s="3" t="n">
        <v>0</v>
      </c>
      <c r="Y1292" s="3" t="n">
        <v>0.3084</v>
      </c>
      <c r="Z1292" s="14" t="n">
        <f aca="false">Assumptions!$B$3*R1292+Assumptions!$B$4*S1292+IF(AA1292=1,Assumptions!$B$11,Assumptions!$B$5)*X1292+IF(AA1292=1,Assumptions!$B$12,Assumptions!$B$6)*T1292+Assumptions!$B$7*U1292+Assumptions!$B$8*V1292+Assumptions!$B$9*Y1292</f>
        <v>0.211944</v>
      </c>
      <c r="AA1292" s="3" t="n">
        <v>1</v>
      </c>
    </row>
    <row r="1293" customFormat="false" ht="15" hidden="false" customHeight="false" outlineLevel="0" collapsed="false">
      <c r="A1293" s="3" t="s">
        <v>1478</v>
      </c>
      <c r="B1293" s="3" t="n">
        <v>200</v>
      </c>
      <c r="C1293" s="11" t="str">
        <f aca="false">IF(M1293&gt;=Assumptions!$B$17,"S+",IF(M1293&gt;=Assumptions!$B$18,"S",IF(M1293&gt;=Assumptions!$B$19,"A",IF(M1293&gt;=Assumptions!$B$20,"B",IF(M1293&gt;=Assumptions!$B$21,"C",IF(M1293&gt;=Assumptions!$B$22,"D","F"))))))</f>
        <v>F</v>
      </c>
      <c r="D1293" s="3" t="s">
        <v>173</v>
      </c>
      <c r="E1293" s="3" t="n">
        <v>1</v>
      </c>
      <c r="F1293" s="12" t="n">
        <v>0.3625</v>
      </c>
      <c r="G1293" s="12" t="n">
        <v>0.15</v>
      </c>
      <c r="H1293" s="12" t="n">
        <v>0.75</v>
      </c>
      <c r="I1293" s="12" t="n">
        <v>0.3082</v>
      </c>
      <c r="J1293" s="12" t="n">
        <v>0.1659</v>
      </c>
      <c r="K1293" s="12" t="n">
        <v>0.2119</v>
      </c>
      <c r="L1293" s="3" t="n">
        <v>2.45</v>
      </c>
      <c r="M1293" s="12" t="n">
        <f aca="false">Z1293-W1293</f>
        <v>-0.221756</v>
      </c>
      <c r="N1293" s="12" t="n">
        <f aca="false">IFERROR((Z1293-J1293)/L1293,"")</f>
        <v>0.0187934693877551</v>
      </c>
      <c r="O1293" s="3" t="n">
        <v>19</v>
      </c>
      <c r="P1293" s="13" t="b">
        <f aca="false">FALSE()</f>
        <v>0</v>
      </c>
      <c r="Q1293" s="3" t="s">
        <v>201</v>
      </c>
      <c r="R1293" s="12" t="n">
        <v>0.3143</v>
      </c>
      <c r="S1293" s="12" t="n">
        <v>0.2349</v>
      </c>
      <c r="T1293" s="3" t="n">
        <v>0.1171</v>
      </c>
      <c r="U1293" s="12" t="n">
        <v>0.0769</v>
      </c>
      <c r="V1293" s="12" t="n">
        <v>0.4707</v>
      </c>
      <c r="W1293" s="12" t="n">
        <v>0.4337</v>
      </c>
      <c r="X1293" s="3" t="n">
        <v>0</v>
      </c>
      <c r="Y1293" s="3" t="n">
        <v>0.3084</v>
      </c>
      <c r="Z1293" s="14" t="n">
        <f aca="false">Assumptions!$B$3*R1293+Assumptions!$B$4*S1293+IF(AA1293=1,Assumptions!$B$11,Assumptions!$B$5)*X1293+IF(AA1293=1,Assumptions!$B$12,Assumptions!$B$6)*T1293+Assumptions!$B$7*U1293+Assumptions!$B$8*V1293+Assumptions!$B$9*Y1293</f>
        <v>0.211944</v>
      </c>
      <c r="AA1293" s="3" t="n">
        <v>1</v>
      </c>
    </row>
    <row r="1294" customFormat="false" ht="15" hidden="false" customHeight="false" outlineLevel="0" collapsed="false">
      <c r="A1294" s="3" t="s">
        <v>1479</v>
      </c>
      <c r="B1294" s="3" t="n">
        <v>200</v>
      </c>
      <c r="C1294" s="11" t="str">
        <f aca="false">IF(M1294&gt;=Assumptions!$B$17,"S+",IF(M1294&gt;=Assumptions!$B$18,"S",IF(M1294&gt;=Assumptions!$B$19,"A",IF(M1294&gt;=Assumptions!$B$20,"B",IF(M1294&gt;=Assumptions!$B$21,"C",IF(M1294&gt;=Assumptions!$B$22,"D","F"))))))</f>
        <v>F</v>
      </c>
      <c r="D1294" s="3" t="s">
        <v>173</v>
      </c>
      <c r="E1294" s="3" t="n">
        <v>1</v>
      </c>
      <c r="F1294" s="12" t="n">
        <v>0.3625</v>
      </c>
      <c r="G1294" s="12" t="n">
        <v>0.15</v>
      </c>
      <c r="H1294" s="12" t="n">
        <v>0.75</v>
      </c>
      <c r="I1294" s="12" t="n">
        <v>0.3082</v>
      </c>
      <c r="J1294" s="12" t="n">
        <v>0.1659</v>
      </c>
      <c r="K1294" s="12" t="n">
        <v>0.2119</v>
      </c>
      <c r="L1294" s="3" t="n">
        <v>2.45</v>
      </c>
      <c r="M1294" s="12" t="n">
        <f aca="false">Z1294-W1294</f>
        <v>-0.221756</v>
      </c>
      <c r="N1294" s="12" t="n">
        <f aca="false">IFERROR((Z1294-J1294)/L1294,"")</f>
        <v>0.0187934693877551</v>
      </c>
      <c r="O1294" s="3" t="n">
        <v>19</v>
      </c>
      <c r="P1294" s="13" t="b">
        <f aca="false">FALSE()</f>
        <v>0</v>
      </c>
      <c r="Q1294" s="3" t="s">
        <v>201</v>
      </c>
      <c r="R1294" s="12" t="n">
        <v>0.3143</v>
      </c>
      <c r="S1294" s="12" t="n">
        <v>0.2349</v>
      </c>
      <c r="T1294" s="3" t="n">
        <v>0.1171</v>
      </c>
      <c r="U1294" s="12" t="n">
        <v>0.0769</v>
      </c>
      <c r="V1294" s="12" t="n">
        <v>0.4707</v>
      </c>
      <c r="W1294" s="12" t="n">
        <v>0.4337</v>
      </c>
      <c r="X1294" s="3" t="n">
        <v>0</v>
      </c>
      <c r="Y1294" s="3" t="n">
        <v>0.3084</v>
      </c>
      <c r="Z1294" s="14" t="n">
        <f aca="false">Assumptions!$B$3*R1294+Assumptions!$B$4*S1294+IF(AA1294=1,Assumptions!$B$11,Assumptions!$B$5)*X1294+IF(AA1294=1,Assumptions!$B$12,Assumptions!$B$6)*T1294+Assumptions!$B$7*U1294+Assumptions!$B$8*V1294+Assumptions!$B$9*Y1294</f>
        <v>0.211944</v>
      </c>
      <c r="AA1294" s="3" t="n">
        <v>1</v>
      </c>
    </row>
    <row r="1295" customFormat="false" ht="15" hidden="false" customHeight="false" outlineLevel="0" collapsed="false">
      <c r="A1295" s="3" t="s">
        <v>1480</v>
      </c>
      <c r="B1295" s="3" t="n">
        <v>200</v>
      </c>
      <c r="C1295" s="11" t="str">
        <f aca="false">IF(M1295&gt;=Assumptions!$B$17,"S+",IF(M1295&gt;=Assumptions!$B$18,"S",IF(M1295&gt;=Assumptions!$B$19,"A",IF(M1295&gt;=Assumptions!$B$20,"B",IF(M1295&gt;=Assumptions!$B$21,"C",IF(M1295&gt;=Assumptions!$B$22,"D","F"))))))</f>
        <v>F</v>
      </c>
      <c r="D1295" s="3" t="s">
        <v>173</v>
      </c>
      <c r="E1295" s="3" t="n">
        <v>1</v>
      </c>
      <c r="F1295" s="12" t="n">
        <v>0.3625</v>
      </c>
      <c r="G1295" s="12" t="n">
        <v>0.15</v>
      </c>
      <c r="H1295" s="12" t="n">
        <v>0.75</v>
      </c>
      <c r="I1295" s="12" t="n">
        <v>0.3082</v>
      </c>
      <c r="J1295" s="12" t="n">
        <v>0.1659</v>
      </c>
      <c r="K1295" s="12" t="n">
        <v>0.2119</v>
      </c>
      <c r="L1295" s="3" t="n">
        <v>2.45</v>
      </c>
      <c r="M1295" s="12" t="n">
        <f aca="false">Z1295-W1295</f>
        <v>-0.221756</v>
      </c>
      <c r="N1295" s="12" t="n">
        <f aca="false">IFERROR((Z1295-J1295)/L1295,"")</f>
        <v>0.0187934693877551</v>
      </c>
      <c r="O1295" s="3" t="n">
        <v>19</v>
      </c>
      <c r="P1295" s="13" t="b">
        <f aca="false">FALSE()</f>
        <v>0</v>
      </c>
      <c r="Q1295" s="3" t="s">
        <v>201</v>
      </c>
      <c r="R1295" s="12" t="n">
        <v>0.3143</v>
      </c>
      <c r="S1295" s="12" t="n">
        <v>0.2349</v>
      </c>
      <c r="T1295" s="3" t="n">
        <v>0.1171</v>
      </c>
      <c r="U1295" s="12" t="n">
        <v>0.0769</v>
      </c>
      <c r="V1295" s="12" t="n">
        <v>0.4707</v>
      </c>
      <c r="W1295" s="12" t="n">
        <v>0.4337</v>
      </c>
      <c r="X1295" s="3" t="n">
        <v>0</v>
      </c>
      <c r="Y1295" s="3" t="n">
        <v>0.3084</v>
      </c>
      <c r="Z1295" s="14" t="n">
        <f aca="false">Assumptions!$B$3*R1295+Assumptions!$B$4*S1295+IF(AA1295=1,Assumptions!$B$11,Assumptions!$B$5)*X1295+IF(AA1295=1,Assumptions!$B$12,Assumptions!$B$6)*T1295+Assumptions!$B$7*U1295+Assumptions!$B$8*V1295+Assumptions!$B$9*Y1295</f>
        <v>0.211944</v>
      </c>
      <c r="AA1295" s="3" t="n">
        <v>1</v>
      </c>
    </row>
    <row r="1296" customFormat="false" ht="15" hidden="false" customHeight="false" outlineLevel="0" collapsed="false">
      <c r="A1296" s="3" t="s">
        <v>1481</v>
      </c>
      <c r="B1296" s="3" t="n">
        <v>200</v>
      </c>
      <c r="C1296" s="11" t="str">
        <f aca="false">IF(M1296&gt;=Assumptions!$B$17,"S+",IF(M1296&gt;=Assumptions!$B$18,"S",IF(M1296&gt;=Assumptions!$B$19,"A",IF(M1296&gt;=Assumptions!$B$20,"B",IF(M1296&gt;=Assumptions!$B$21,"C",IF(M1296&gt;=Assumptions!$B$22,"D","F"))))))</f>
        <v>F</v>
      </c>
      <c r="D1296" s="3" t="s">
        <v>173</v>
      </c>
      <c r="E1296" s="3" t="n">
        <v>1</v>
      </c>
      <c r="F1296" s="12" t="n">
        <v>0.3625</v>
      </c>
      <c r="G1296" s="12" t="n">
        <v>0.15</v>
      </c>
      <c r="H1296" s="12" t="n">
        <v>0.75</v>
      </c>
      <c r="I1296" s="12" t="n">
        <v>0.3082</v>
      </c>
      <c r="J1296" s="12" t="n">
        <v>0.1659</v>
      </c>
      <c r="K1296" s="12" t="n">
        <v>0.2119</v>
      </c>
      <c r="L1296" s="3" t="n">
        <v>2.45</v>
      </c>
      <c r="M1296" s="12" t="n">
        <f aca="false">Z1296-W1296</f>
        <v>-0.221756</v>
      </c>
      <c r="N1296" s="12" t="n">
        <f aca="false">IFERROR((Z1296-J1296)/L1296,"")</f>
        <v>0.0187934693877551</v>
      </c>
      <c r="O1296" s="3" t="n">
        <v>19</v>
      </c>
      <c r="P1296" s="13" t="b">
        <f aca="false">FALSE()</f>
        <v>0</v>
      </c>
      <c r="Q1296" s="3" t="s">
        <v>201</v>
      </c>
      <c r="R1296" s="12" t="n">
        <v>0.3143</v>
      </c>
      <c r="S1296" s="12" t="n">
        <v>0.2349</v>
      </c>
      <c r="T1296" s="3" t="n">
        <v>0.1171</v>
      </c>
      <c r="U1296" s="12" t="n">
        <v>0.0769</v>
      </c>
      <c r="V1296" s="12" t="n">
        <v>0.4707</v>
      </c>
      <c r="W1296" s="12" t="n">
        <v>0.4337</v>
      </c>
      <c r="X1296" s="3" t="n">
        <v>0</v>
      </c>
      <c r="Y1296" s="3" t="n">
        <v>0.3084</v>
      </c>
      <c r="Z1296" s="14" t="n">
        <f aca="false">Assumptions!$B$3*R1296+Assumptions!$B$4*S1296+IF(AA1296=1,Assumptions!$B$11,Assumptions!$B$5)*X1296+IF(AA1296=1,Assumptions!$B$12,Assumptions!$B$6)*T1296+Assumptions!$B$7*U1296+Assumptions!$B$8*V1296+Assumptions!$B$9*Y1296</f>
        <v>0.211944</v>
      </c>
      <c r="AA1296" s="3" t="n">
        <v>1</v>
      </c>
    </row>
    <row r="1297" customFormat="false" ht="15" hidden="false" customHeight="false" outlineLevel="0" collapsed="false">
      <c r="A1297" s="3" t="s">
        <v>1482</v>
      </c>
      <c r="B1297" s="3" t="n">
        <v>200</v>
      </c>
      <c r="C1297" s="11" t="str">
        <f aca="false">IF(M1297&gt;=Assumptions!$B$17,"S+",IF(M1297&gt;=Assumptions!$B$18,"S",IF(M1297&gt;=Assumptions!$B$19,"A",IF(M1297&gt;=Assumptions!$B$20,"B",IF(M1297&gt;=Assumptions!$B$21,"C",IF(M1297&gt;=Assumptions!$B$22,"D","F"))))))</f>
        <v>F</v>
      </c>
      <c r="D1297" s="3" t="s">
        <v>173</v>
      </c>
      <c r="E1297" s="3" t="n">
        <v>1</v>
      </c>
      <c r="F1297" s="12" t="n">
        <v>0.3625</v>
      </c>
      <c r="G1297" s="12" t="n">
        <v>0.15</v>
      </c>
      <c r="H1297" s="12" t="n">
        <v>0.75</v>
      </c>
      <c r="I1297" s="12" t="n">
        <v>0.3082</v>
      </c>
      <c r="J1297" s="12" t="n">
        <v>0.1659</v>
      </c>
      <c r="K1297" s="12" t="n">
        <v>0.2119</v>
      </c>
      <c r="L1297" s="3" t="n">
        <v>2.45</v>
      </c>
      <c r="M1297" s="12" t="n">
        <f aca="false">Z1297-W1297</f>
        <v>-0.221756</v>
      </c>
      <c r="N1297" s="12" t="n">
        <f aca="false">IFERROR((Z1297-J1297)/L1297,"")</f>
        <v>0.0187934693877551</v>
      </c>
      <c r="O1297" s="3" t="n">
        <v>19</v>
      </c>
      <c r="P1297" s="13" t="b">
        <f aca="false">FALSE()</f>
        <v>0</v>
      </c>
      <c r="Q1297" s="3" t="s">
        <v>201</v>
      </c>
      <c r="R1297" s="12" t="n">
        <v>0.3143</v>
      </c>
      <c r="S1297" s="12" t="n">
        <v>0.2349</v>
      </c>
      <c r="T1297" s="3" t="n">
        <v>0.1171</v>
      </c>
      <c r="U1297" s="12" t="n">
        <v>0.0769</v>
      </c>
      <c r="V1297" s="12" t="n">
        <v>0.4707</v>
      </c>
      <c r="W1297" s="12" t="n">
        <v>0.4337</v>
      </c>
      <c r="X1297" s="3" t="n">
        <v>0</v>
      </c>
      <c r="Y1297" s="3" t="n">
        <v>0.3084</v>
      </c>
      <c r="Z1297" s="14" t="n">
        <f aca="false">Assumptions!$B$3*R1297+Assumptions!$B$4*S1297+IF(AA1297=1,Assumptions!$B$11,Assumptions!$B$5)*X1297+IF(AA1297=1,Assumptions!$B$12,Assumptions!$B$6)*T1297+Assumptions!$B$7*U1297+Assumptions!$B$8*V1297+Assumptions!$B$9*Y1297</f>
        <v>0.211944</v>
      </c>
      <c r="AA1297" s="3" t="n">
        <v>1</v>
      </c>
    </row>
    <row r="1298" customFormat="false" ht="15" hidden="false" customHeight="false" outlineLevel="0" collapsed="false">
      <c r="A1298" s="3" t="s">
        <v>1483</v>
      </c>
      <c r="B1298" s="3" t="n">
        <v>200</v>
      </c>
      <c r="C1298" s="11" t="str">
        <f aca="false">IF(M1298&gt;=Assumptions!$B$17,"S+",IF(M1298&gt;=Assumptions!$B$18,"S",IF(M1298&gt;=Assumptions!$B$19,"A",IF(M1298&gt;=Assumptions!$B$20,"B",IF(M1298&gt;=Assumptions!$B$21,"C",IF(M1298&gt;=Assumptions!$B$22,"D","F"))))))</f>
        <v>F</v>
      </c>
      <c r="D1298" s="3" t="s">
        <v>173</v>
      </c>
      <c r="E1298" s="3" t="n">
        <v>1</v>
      </c>
      <c r="F1298" s="12" t="n">
        <v>0.3625</v>
      </c>
      <c r="G1298" s="12" t="n">
        <v>0.15</v>
      </c>
      <c r="H1298" s="12" t="n">
        <v>0.75</v>
      </c>
      <c r="I1298" s="12" t="n">
        <v>0.3082</v>
      </c>
      <c r="J1298" s="12" t="n">
        <v>0.1659</v>
      </c>
      <c r="K1298" s="12" t="n">
        <v>0.2119</v>
      </c>
      <c r="L1298" s="3" t="n">
        <v>2.45</v>
      </c>
      <c r="M1298" s="12" t="n">
        <f aca="false">Z1298-W1298</f>
        <v>-0.221756</v>
      </c>
      <c r="N1298" s="12" t="n">
        <f aca="false">IFERROR((Z1298-J1298)/L1298,"")</f>
        <v>0.0187934693877551</v>
      </c>
      <c r="O1298" s="3" t="n">
        <v>19</v>
      </c>
      <c r="P1298" s="13" t="b">
        <f aca="false">FALSE()</f>
        <v>0</v>
      </c>
      <c r="Q1298" s="3" t="s">
        <v>201</v>
      </c>
      <c r="R1298" s="12" t="n">
        <v>0.3143</v>
      </c>
      <c r="S1298" s="12" t="n">
        <v>0.2349</v>
      </c>
      <c r="T1298" s="3" t="n">
        <v>0.1171</v>
      </c>
      <c r="U1298" s="12" t="n">
        <v>0.0769</v>
      </c>
      <c r="V1298" s="12" t="n">
        <v>0.4707</v>
      </c>
      <c r="W1298" s="12" t="n">
        <v>0.4337</v>
      </c>
      <c r="X1298" s="3" t="n">
        <v>0</v>
      </c>
      <c r="Y1298" s="3" t="n">
        <v>0.3084</v>
      </c>
      <c r="Z1298" s="14" t="n">
        <f aca="false">Assumptions!$B$3*R1298+Assumptions!$B$4*S1298+IF(AA1298=1,Assumptions!$B$11,Assumptions!$B$5)*X1298+IF(AA1298=1,Assumptions!$B$12,Assumptions!$B$6)*T1298+Assumptions!$B$7*U1298+Assumptions!$B$8*V1298+Assumptions!$B$9*Y1298</f>
        <v>0.211944</v>
      </c>
      <c r="AA1298" s="3" t="n">
        <v>1</v>
      </c>
    </row>
    <row r="1299" customFormat="false" ht="15" hidden="false" customHeight="false" outlineLevel="0" collapsed="false">
      <c r="A1299" s="3" t="s">
        <v>1484</v>
      </c>
      <c r="B1299" s="3" t="n">
        <v>200</v>
      </c>
      <c r="C1299" s="11" t="str">
        <f aca="false">IF(M1299&gt;=Assumptions!$B$17,"S+",IF(M1299&gt;=Assumptions!$B$18,"S",IF(M1299&gt;=Assumptions!$B$19,"A",IF(M1299&gt;=Assumptions!$B$20,"B",IF(M1299&gt;=Assumptions!$B$21,"C",IF(M1299&gt;=Assumptions!$B$22,"D","F"))))))</f>
        <v>F</v>
      </c>
      <c r="D1299" s="3" t="s">
        <v>173</v>
      </c>
      <c r="E1299" s="3" t="n">
        <v>1</v>
      </c>
      <c r="F1299" s="12" t="n">
        <v>0.3625</v>
      </c>
      <c r="G1299" s="12" t="n">
        <v>0.15</v>
      </c>
      <c r="H1299" s="12" t="n">
        <v>0.75</v>
      </c>
      <c r="I1299" s="12" t="n">
        <v>0.3082</v>
      </c>
      <c r="J1299" s="12" t="n">
        <v>0.1659</v>
      </c>
      <c r="K1299" s="12" t="n">
        <v>0.2119</v>
      </c>
      <c r="L1299" s="3" t="n">
        <v>2.45</v>
      </c>
      <c r="M1299" s="12" t="n">
        <f aca="false">Z1299-W1299</f>
        <v>-0.221756</v>
      </c>
      <c r="N1299" s="12" t="n">
        <f aca="false">IFERROR((Z1299-J1299)/L1299,"")</f>
        <v>0.0187934693877551</v>
      </c>
      <c r="O1299" s="3" t="n">
        <v>19</v>
      </c>
      <c r="P1299" s="13" t="b">
        <f aca="false">FALSE()</f>
        <v>0</v>
      </c>
      <c r="Q1299" s="3" t="s">
        <v>201</v>
      </c>
      <c r="R1299" s="12" t="n">
        <v>0.3143</v>
      </c>
      <c r="S1299" s="12" t="n">
        <v>0.2349</v>
      </c>
      <c r="T1299" s="3" t="n">
        <v>0.1171</v>
      </c>
      <c r="U1299" s="12" t="n">
        <v>0.0769</v>
      </c>
      <c r="V1299" s="12" t="n">
        <v>0.4707</v>
      </c>
      <c r="W1299" s="12" t="n">
        <v>0.4337</v>
      </c>
      <c r="X1299" s="3" t="n">
        <v>0</v>
      </c>
      <c r="Y1299" s="3" t="n">
        <v>0.3084</v>
      </c>
      <c r="Z1299" s="14" t="n">
        <f aca="false">Assumptions!$B$3*R1299+Assumptions!$B$4*S1299+IF(AA1299=1,Assumptions!$B$11,Assumptions!$B$5)*X1299+IF(AA1299=1,Assumptions!$B$12,Assumptions!$B$6)*T1299+Assumptions!$B$7*U1299+Assumptions!$B$8*V1299+Assumptions!$B$9*Y1299</f>
        <v>0.211944</v>
      </c>
      <c r="AA1299" s="3" t="n">
        <v>1</v>
      </c>
    </row>
    <row r="1300" customFormat="false" ht="15" hidden="false" customHeight="false" outlineLevel="0" collapsed="false">
      <c r="A1300" s="3" t="s">
        <v>1485</v>
      </c>
      <c r="B1300" s="3" t="n">
        <v>200</v>
      </c>
      <c r="C1300" s="11" t="str">
        <f aca="false">IF(M1300&gt;=Assumptions!$B$17,"S+",IF(M1300&gt;=Assumptions!$B$18,"S",IF(M1300&gt;=Assumptions!$B$19,"A",IF(M1300&gt;=Assumptions!$B$20,"B",IF(M1300&gt;=Assumptions!$B$21,"C",IF(M1300&gt;=Assumptions!$B$22,"D","F"))))))</f>
        <v>F</v>
      </c>
      <c r="D1300" s="3" t="s">
        <v>173</v>
      </c>
      <c r="E1300" s="3" t="n">
        <v>1</v>
      </c>
      <c r="F1300" s="12" t="n">
        <v>0.3625</v>
      </c>
      <c r="G1300" s="12" t="n">
        <v>0.15</v>
      </c>
      <c r="H1300" s="12" t="n">
        <v>0.75</v>
      </c>
      <c r="I1300" s="12" t="n">
        <v>0.3082</v>
      </c>
      <c r="J1300" s="12" t="n">
        <v>0.1659</v>
      </c>
      <c r="K1300" s="12" t="n">
        <v>0.2119</v>
      </c>
      <c r="L1300" s="3" t="n">
        <v>2.45</v>
      </c>
      <c r="M1300" s="12" t="n">
        <f aca="false">Z1300-W1300</f>
        <v>-0.221756</v>
      </c>
      <c r="N1300" s="12" t="n">
        <f aca="false">IFERROR((Z1300-J1300)/L1300,"")</f>
        <v>0.0187934693877551</v>
      </c>
      <c r="O1300" s="3" t="n">
        <v>19</v>
      </c>
      <c r="P1300" s="13" t="b">
        <f aca="false">FALSE()</f>
        <v>0</v>
      </c>
      <c r="Q1300" s="3" t="s">
        <v>201</v>
      </c>
      <c r="R1300" s="12" t="n">
        <v>0.3143</v>
      </c>
      <c r="S1300" s="12" t="n">
        <v>0.2349</v>
      </c>
      <c r="T1300" s="3" t="n">
        <v>0.1171</v>
      </c>
      <c r="U1300" s="12" t="n">
        <v>0.0769</v>
      </c>
      <c r="V1300" s="12" t="n">
        <v>0.4707</v>
      </c>
      <c r="W1300" s="12" t="n">
        <v>0.4337</v>
      </c>
      <c r="X1300" s="3" t="n">
        <v>0</v>
      </c>
      <c r="Y1300" s="3" t="n">
        <v>0.3084</v>
      </c>
      <c r="Z1300" s="14" t="n">
        <f aca="false">Assumptions!$B$3*R1300+Assumptions!$B$4*S1300+IF(AA1300=1,Assumptions!$B$11,Assumptions!$B$5)*X1300+IF(AA1300=1,Assumptions!$B$12,Assumptions!$B$6)*T1300+Assumptions!$B$7*U1300+Assumptions!$B$8*V1300+Assumptions!$B$9*Y1300</f>
        <v>0.211944</v>
      </c>
      <c r="AA1300" s="3" t="n">
        <v>1</v>
      </c>
    </row>
    <row r="1301" customFormat="false" ht="15" hidden="false" customHeight="false" outlineLevel="0" collapsed="false">
      <c r="A1301" s="3" t="s">
        <v>1486</v>
      </c>
      <c r="B1301" s="3" t="n">
        <v>200</v>
      </c>
      <c r="C1301" s="11" t="str">
        <f aca="false">IF(M1301&gt;=Assumptions!$B$17,"S+",IF(M1301&gt;=Assumptions!$B$18,"S",IF(M1301&gt;=Assumptions!$B$19,"A",IF(M1301&gt;=Assumptions!$B$20,"B",IF(M1301&gt;=Assumptions!$B$21,"C",IF(M1301&gt;=Assumptions!$B$22,"D","F"))))))</f>
        <v>F</v>
      </c>
      <c r="D1301" s="3" t="s">
        <v>173</v>
      </c>
      <c r="E1301" s="3" t="n">
        <v>1</v>
      </c>
      <c r="F1301" s="12" t="n">
        <v>0.3625</v>
      </c>
      <c r="G1301" s="12" t="n">
        <v>0.15</v>
      </c>
      <c r="H1301" s="12" t="n">
        <v>0.75</v>
      </c>
      <c r="I1301" s="12" t="n">
        <v>0.3082</v>
      </c>
      <c r="J1301" s="12" t="n">
        <v>0.1659</v>
      </c>
      <c r="K1301" s="12" t="n">
        <v>0.2119</v>
      </c>
      <c r="L1301" s="3" t="n">
        <v>2.45</v>
      </c>
      <c r="M1301" s="12" t="n">
        <f aca="false">Z1301-W1301</f>
        <v>-0.221756</v>
      </c>
      <c r="N1301" s="12" t="n">
        <f aca="false">IFERROR((Z1301-J1301)/L1301,"")</f>
        <v>0.0187934693877551</v>
      </c>
      <c r="O1301" s="3" t="n">
        <v>19</v>
      </c>
      <c r="P1301" s="13" t="b">
        <f aca="false">FALSE()</f>
        <v>0</v>
      </c>
      <c r="Q1301" s="3" t="s">
        <v>166</v>
      </c>
      <c r="R1301" s="12" t="n">
        <v>0.3143</v>
      </c>
      <c r="S1301" s="12" t="n">
        <v>0.2349</v>
      </c>
      <c r="T1301" s="3" t="n">
        <v>0.1171</v>
      </c>
      <c r="U1301" s="12" t="n">
        <v>0.0769</v>
      </c>
      <c r="V1301" s="12" t="n">
        <v>0.4707</v>
      </c>
      <c r="W1301" s="12" t="n">
        <v>0.4337</v>
      </c>
      <c r="X1301" s="3" t="n">
        <v>0</v>
      </c>
      <c r="Y1301" s="3" t="n">
        <v>0.3084</v>
      </c>
      <c r="Z1301" s="14" t="n">
        <f aca="false">Assumptions!$B$3*R1301+Assumptions!$B$4*S1301+IF(AA1301=1,Assumptions!$B$11,Assumptions!$B$5)*X1301+IF(AA1301=1,Assumptions!$B$12,Assumptions!$B$6)*T1301+Assumptions!$B$7*U1301+Assumptions!$B$8*V1301+Assumptions!$B$9*Y1301</f>
        <v>0.211944</v>
      </c>
      <c r="AA1301" s="3" t="n">
        <v>1</v>
      </c>
    </row>
    <row r="1302" customFormat="false" ht="15" hidden="false" customHeight="false" outlineLevel="0" collapsed="false">
      <c r="A1302" s="3" t="s">
        <v>1487</v>
      </c>
      <c r="B1302" s="3" t="n">
        <v>200</v>
      </c>
      <c r="C1302" s="11" t="str">
        <f aca="false">IF(M1302&gt;=Assumptions!$B$17,"S+",IF(M1302&gt;=Assumptions!$B$18,"S",IF(M1302&gt;=Assumptions!$B$19,"A",IF(M1302&gt;=Assumptions!$B$20,"B",IF(M1302&gt;=Assumptions!$B$21,"C",IF(M1302&gt;=Assumptions!$B$22,"D","F"))))))</f>
        <v>F</v>
      </c>
      <c r="D1302" s="3" t="s">
        <v>173</v>
      </c>
      <c r="E1302" s="3" t="n">
        <v>1</v>
      </c>
      <c r="F1302" s="12" t="n">
        <v>0.3625</v>
      </c>
      <c r="G1302" s="12" t="n">
        <v>0.15</v>
      </c>
      <c r="H1302" s="12" t="n">
        <v>0.75</v>
      </c>
      <c r="I1302" s="12" t="n">
        <v>0.3082</v>
      </c>
      <c r="J1302" s="12" t="n">
        <v>0.1659</v>
      </c>
      <c r="K1302" s="12" t="n">
        <v>0.2119</v>
      </c>
      <c r="L1302" s="3" t="n">
        <v>2.45</v>
      </c>
      <c r="M1302" s="12" t="n">
        <f aca="false">Z1302-W1302</f>
        <v>-0.221756</v>
      </c>
      <c r="N1302" s="12" t="n">
        <f aca="false">IFERROR((Z1302-J1302)/L1302,"")</f>
        <v>0.0187934693877551</v>
      </c>
      <c r="O1302" s="3" t="n">
        <v>19</v>
      </c>
      <c r="P1302" s="13" t="b">
        <f aca="false">FALSE()</f>
        <v>0</v>
      </c>
      <c r="Q1302" s="3" t="s">
        <v>201</v>
      </c>
      <c r="R1302" s="12" t="n">
        <v>0.3143</v>
      </c>
      <c r="S1302" s="12" t="n">
        <v>0.2349</v>
      </c>
      <c r="T1302" s="3" t="n">
        <v>0.1171</v>
      </c>
      <c r="U1302" s="12" t="n">
        <v>0.0769</v>
      </c>
      <c r="V1302" s="12" t="n">
        <v>0.4707</v>
      </c>
      <c r="W1302" s="12" t="n">
        <v>0.4337</v>
      </c>
      <c r="X1302" s="3" t="n">
        <v>0</v>
      </c>
      <c r="Y1302" s="3" t="n">
        <v>0.3084</v>
      </c>
      <c r="Z1302" s="14" t="n">
        <f aca="false">Assumptions!$B$3*R1302+Assumptions!$B$4*S1302+IF(AA1302=1,Assumptions!$B$11,Assumptions!$B$5)*X1302+IF(AA1302=1,Assumptions!$B$12,Assumptions!$B$6)*T1302+Assumptions!$B$7*U1302+Assumptions!$B$8*V1302+Assumptions!$B$9*Y1302</f>
        <v>0.211944</v>
      </c>
      <c r="AA1302" s="3" t="n">
        <v>1</v>
      </c>
    </row>
    <row r="1303" customFormat="false" ht="15" hidden="false" customHeight="false" outlineLevel="0" collapsed="false">
      <c r="A1303" s="3" t="s">
        <v>1488</v>
      </c>
      <c r="B1303" s="3" t="n">
        <v>200</v>
      </c>
      <c r="C1303" s="11" t="str">
        <f aca="false">IF(M1303&gt;=Assumptions!$B$17,"S+",IF(M1303&gt;=Assumptions!$B$18,"S",IF(M1303&gt;=Assumptions!$B$19,"A",IF(M1303&gt;=Assumptions!$B$20,"B",IF(M1303&gt;=Assumptions!$B$21,"C",IF(M1303&gt;=Assumptions!$B$22,"D","F"))))))</f>
        <v>F</v>
      </c>
      <c r="D1303" s="3" t="s">
        <v>173</v>
      </c>
      <c r="E1303" s="3" t="n">
        <v>1</v>
      </c>
      <c r="F1303" s="12" t="n">
        <v>0.3625</v>
      </c>
      <c r="G1303" s="12" t="n">
        <v>0.15</v>
      </c>
      <c r="H1303" s="12" t="n">
        <v>0.75</v>
      </c>
      <c r="I1303" s="12" t="n">
        <v>0.3082</v>
      </c>
      <c r="J1303" s="12" t="n">
        <v>0.1659</v>
      </c>
      <c r="K1303" s="12" t="n">
        <v>0.2119</v>
      </c>
      <c r="L1303" s="3" t="n">
        <v>2.45</v>
      </c>
      <c r="M1303" s="12" t="n">
        <f aca="false">Z1303-W1303</f>
        <v>-0.221756</v>
      </c>
      <c r="N1303" s="12" t="n">
        <f aca="false">IFERROR((Z1303-J1303)/L1303,"")</f>
        <v>0.0187934693877551</v>
      </c>
      <c r="O1303" s="3" t="n">
        <v>19</v>
      </c>
      <c r="P1303" s="13" t="b">
        <f aca="false">FALSE()</f>
        <v>0</v>
      </c>
      <c r="Q1303" s="3" t="s">
        <v>201</v>
      </c>
      <c r="R1303" s="12" t="n">
        <v>0.3143</v>
      </c>
      <c r="S1303" s="12" t="n">
        <v>0.2349</v>
      </c>
      <c r="T1303" s="3" t="n">
        <v>0.1171</v>
      </c>
      <c r="U1303" s="12" t="n">
        <v>0.0769</v>
      </c>
      <c r="V1303" s="12" t="n">
        <v>0.4707</v>
      </c>
      <c r="W1303" s="12" t="n">
        <v>0.4337</v>
      </c>
      <c r="X1303" s="3" t="n">
        <v>0</v>
      </c>
      <c r="Y1303" s="3" t="n">
        <v>0.3084</v>
      </c>
      <c r="Z1303" s="14" t="n">
        <f aca="false">Assumptions!$B$3*R1303+Assumptions!$B$4*S1303+IF(AA1303=1,Assumptions!$B$11,Assumptions!$B$5)*X1303+IF(AA1303=1,Assumptions!$B$12,Assumptions!$B$6)*T1303+Assumptions!$B$7*U1303+Assumptions!$B$8*V1303+Assumptions!$B$9*Y1303</f>
        <v>0.211944</v>
      </c>
      <c r="AA1303" s="3" t="n">
        <v>1</v>
      </c>
    </row>
    <row r="1304" customFormat="false" ht="15" hidden="false" customHeight="false" outlineLevel="0" collapsed="false">
      <c r="A1304" s="3" t="s">
        <v>1489</v>
      </c>
      <c r="B1304" s="3" t="n">
        <v>260</v>
      </c>
      <c r="C1304" s="11" t="str">
        <f aca="false">IF(M1304&gt;=Assumptions!$B$17,"S+",IF(M1304&gt;=Assumptions!$B$18,"S",IF(M1304&gt;=Assumptions!$B$19,"A",IF(M1304&gt;=Assumptions!$B$20,"B",IF(M1304&gt;=Assumptions!$B$21,"C",IF(M1304&gt;=Assumptions!$B$22,"D","F"))))))</f>
        <v>F</v>
      </c>
      <c r="D1304" s="3" t="s">
        <v>203</v>
      </c>
      <c r="E1304" s="3" t="n">
        <v>3</v>
      </c>
      <c r="F1304" s="12" t="n">
        <v>0.0879</v>
      </c>
      <c r="G1304" s="12" t="n">
        <v>0.2</v>
      </c>
      <c r="H1304" s="12" t="n">
        <v>0.75</v>
      </c>
      <c r="I1304" s="12" t="n">
        <v>0.2764</v>
      </c>
      <c r="J1304" s="12" t="n">
        <v>0.1552</v>
      </c>
      <c r="K1304" s="12" t="n">
        <v>0.2446</v>
      </c>
      <c r="L1304" s="3" t="n">
        <v>4.32</v>
      </c>
      <c r="M1304" s="12" t="n">
        <f aca="false">Z1304-W1304</f>
        <v>-0.231944</v>
      </c>
      <c r="N1304" s="12" t="n">
        <f aca="false">IFERROR((Z1304-J1304)/L1304,"")</f>
        <v>0.0207074074074074</v>
      </c>
      <c r="O1304" s="3" t="n">
        <v>17</v>
      </c>
      <c r="P1304" s="13" t="b">
        <f aca="false">FALSE()</f>
        <v>0</v>
      </c>
      <c r="Q1304" s="3" t="s">
        <v>166</v>
      </c>
      <c r="R1304" s="12" t="n">
        <v>0.4362</v>
      </c>
      <c r="S1304" s="12" t="n">
        <v>0.2329</v>
      </c>
      <c r="T1304" s="3" t="n">
        <v>0.0626</v>
      </c>
      <c r="U1304" s="12" t="n">
        <v>0.1538</v>
      </c>
      <c r="V1304" s="12" t="n">
        <v>0.4247</v>
      </c>
      <c r="W1304" s="12" t="n">
        <v>0.4766</v>
      </c>
      <c r="X1304" s="3" t="n">
        <v>0</v>
      </c>
      <c r="Y1304" s="3" t="n">
        <v>0.267</v>
      </c>
      <c r="Z1304" s="14" t="n">
        <f aca="false">Assumptions!$B$3*R1304+Assumptions!$B$4*S1304+IF(AA1304=1,Assumptions!$B$11,Assumptions!$B$5)*X1304+IF(AA1304=1,Assumptions!$B$12,Assumptions!$B$6)*T1304+Assumptions!$B$7*U1304+Assumptions!$B$8*V1304+Assumptions!$B$9*Y1304</f>
        <v>0.244656</v>
      </c>
      <c r="AA1304" s="3" t="n">
        <v>0</v>
      </c>
    </row>
    <row r="1305" customFormat="false" ht="15" hidden="false" customHeight="false" outlineLevel="0" collapsed="false">
      <c r="A1305" s="3" t="s">
        <v>1490</v>
      </c>
      <c r="B1305" s="3" t="n">
        <v>260</v>
      </c>
      <c r="C1305" s="11" t="str">
        <f aca="false">IF(M1305&gt;=Assumptions!$B$17,"S+",IF(M1305&gt;=Assumptions!$B$18,"S",IF(M1305&gt;=Assumptions!$B$19,"A",IF(M1305&gt;=Assumptions!$B$20,"B",IF(M1305&gt;=Assumptions!$B$21,"C",IF(M1305&gt;=Assumptions!$B$22,"D","F"))))))</f>
        <v>F</v>
      </c>
      <c r="D1305" s="3" t="s">
        <v>171</v>
      </c>
      <c r="E1305" s="3" t="n">
        <v>4</v>
      </c>
      <c r="F1305" s="12" t="n">
        <v>0.6482</v>
      </c>
      <c r="G1305" s="12" t="n">
        <v>0</v>
      </c>
      <c r="H1305" s="12" t="n">
        <v>0.25</v>
      </c>
      <c r="I1305" s="12" t="n">
        <v>0.1667</v>
      </c>
      <c r="J1305" s="12" t="n">
        <v>0.1223</v>
      </c>
      <c r="K1305" s="12" t="n">
        <v>0.1552</v>
      </c>
      <c r="L1305" s="3" t="n">
        <v>2</v>
      </c>
      <c r="M1305" s="12" t="n">
        <f aca="false">Z1305-W1305</f>
        <v>-0.245192</v>
      </c>
      <c r="N1305" s="12" t="n">
        <f aca="false">IFERROR((Z1305-J1305)/L1305,"")</f>
        <v>0.016454</v>
      </c>
      <c r="O1305" s="3" t="n">
        <v>16</v>
      </c>
      <c r="P1305" s="13" t="b">
        <f aca="false">FALSE()</f>
        <v>0</v>
      </c>
      <c r="Q1305" s="3" t="s">
        <v>166</v>
      </c>
      <c r="R1305" s="12" t="n">
        <v>0.0308</v>
      </c>
      <c r="S1305" s="12" t="n">
        <v>0.5245</v>
      </c>
      <c r="T1305" s="3" t="n">
        <v>0.0131</v>
      </c>
      <c r="U1305" s="12" t="n">
        <v>0</v>
      </c>
      <c r="V1305" s="12" t="n">
        <v>0.4651</v>
      </c>
      <c r="W1305" s="12" t="n">
        <v>0.4004</v>
      </c>
      <c r="X1305" s="3" t="n">
        <v>0</v>
      </c>
      <c r="Y1305" s="3" t="n">
        <v>0.1684</v>
      </c>
      <c r="Z1305" s="14" t="n">
        <f aca="false">Assumptions!$B$3*R1305+Assumptions!$B$4*S1305+IF(AA1305=1,Assumptions!$B$11,Assumptions!$B$5)*X1305+IF(AA1305=1,Assumptions!$B$12,Assumptions!$B$6)*T1305+Assumptions!$B$7*U1305+Assumptions!$B$8*V1305+Assumptions!$B$9*Y1305</f>
        <v>0.155208</v>
      </c>
      <c r="AA1305" s="3" t="n">
        <v>1</v>
      </c>
    </row>
    <row r="1306" customFormat="false" ht="15" hidden="false" customHeight="false" outlineLevel="0" collapsed="false">
      <c r="A1306" s="3" t="s">
        <v>1491</v>
      </c>
      <c r="B1306" s="3" t="n">
        <v>400</v>
      </c>
      <c r="C1306" s="11" t="str">
        <f aca="false">IF(M1306&gt;=Assumptions!$B$17,"S+",IF(M1306&gt;=Assumptions!$B$18,"S",IF(M1306&gt;=Assumptions!$B$19,"A",IF(M1306&gt;=Assumptions!$B$20,"B",IF(M1306&gt;=Assumptions!$B$21,"C",IF(M1306&gt;=Assumptions!$B$22,"D","F"))))))</f>
        <v>F</v>
      </c>
      <c r="D1306" s="3" t="s">
        <v>200</v>
      </c>
      <c r="E1306" s="3" t="n">
        <v>7</v>
      </c>
      <c r="F1306" s="12" t="n">
        <v>0.8116</v>
      </c>
      <c r="G1306" s="12" t="n">
        <v>0.15</v>
      </c>
      <c r="H1306" s="12" t="n">
        <v>0.4722</v>
      </c>
      <c r="I1306" s="12" t="n">
        <v>0.3798</v>
      </c>
      <c r="J1306" s="12" t="n">
        <v>0.1744</v>
      </c>
      <c r="K1306" s="12" t="n">
        <v>0.2068</v>
      </c>
      <c r="L1306" s="3" t="n">
        <v>2.42</v>
      </c>
      <c r="M1306" s="12" t="n">
        <f aca="false">Z1306-W1306</f>
        <v>-0.287454</v>
      </c>
      <c r="N1306" s="12" t="n">
        <f aca="false">IFERROR((Z1306-J1306)/L1306,"")</f>
        <v>0.0134074380165289</v>
      </c>
      <c r="O1306" s="3" t="n">
        <v>13</v>
      </c>
      <c r="P1306" s="13" t="b">
        <f aca="false">FALSE()</f>
        <v>0</v>
      </c>
      <c r="Q1306" s="3" t="s">
        <v>166</v>
      </c>
      <c r="R1306" s="12" t="n">
        <v>0</v>
      </c>
      <c r="S1306" s="12" t="n">
        <v>0.7153</v>
      </c>
      <c r="T1306" s="3" t="n">
        <v>0.0361</v>
      </c>
      <c r="U1306" s="12" t="n">
        <v>0.0769</v>
      </c>
      <c r="V1306" s="12" t="n">
        <v>0.4757</v>
      </c>
      <c r="W1306" s="12" t="n">
        <v>0.4943</v>
      </c>
      <c r="X1306" s="3" t="n">
        <v>0</v>
      </c>
      <c r="Y1306" s="3" t="n">
        <v>0.3809</v>
      </c>
      <c r="Z1306" s="14" t="n">
        <f aca="false">Assumptions!$B$3*R1306+Assumptions!$B$4*S1306+IF(AA1306=1,Assumptions!$B$11,Assumptions!$B$5)*X1306+IF(AA1306=1,Assumptions!$B$12,Assumptions!$B$6)*T1306+Assumptions!$B$7*U1306+Assumptions!$B$8*V1306+Assumptions!$B$9*Y1306</f>
        <v>0.206846</v>
      </c>
      <c r="AA1306" s="3" t="n">
        <v>1</v>
      </c>
    </row>
    <row r="1307" customFormat="false" ht="15" hidden="false" customHeight="false" outlineLevel="0" collapsed="false">
      <c r="A1307" s="3" t="s">
        <v>1492</v>
      </c>
      <c r="B1307" s="3" t="n">
        <v>244</v>
      </c>
      <c r="C1307" s="11" t="str">
        <f aca="false">IF(M1307&gt;=Assumptions!$B$17,"S+",IF(M1307&gt;=Assumptions!$B$18,"S",IF(M1307&gt;=Assumptions!$B$19,"A",IF(M1307&gt;=Assumptions!$B$20,"B",IF(M1307&gt;=Assumptions!$B$21,"C",IF(M1307&gt;=Assumptions!$B$22,"D","F"))))))</f>
        <v>F</v>
      </c>
      <c r="D1307" s="3" t="s">
        <v>188</v>
      </c>
      <c r="E1307" s="3" t="n">
        <v>3</v>
      </c>
      <c r="F1307" s="12" t="n">
        <v>0.7195</v>
      </c>
      <c r="G1307" s="12" t="n">
        <v>0.15</v>
      </c>
      <c r="H1307" s="12" t="n">
        <v>0.75</v>
      </c>
      <c r="I1307" s="12" t="n">
        <v>0.3554</v>
      </c>
      <c r="J1307" s="12" t="n">
        <v>0.1441</v>
      </c>
      <c r="K1307" s="12" t="n">
        <v>0.2197</v>
      </c>
      <c r="L1307" s="3" t="n">
        <v>3.24</v>
      </c>
      <c r="M1307" s="12" t="n">
        <f aca="false">Z1307-W1307</f>
        <v>-0.290232</v>
      </c>
      <c r="N1307" s="12" t="n">
        <f aca="false">IFERROR((Z1307-J1307)/L1307,"")</f>
        <v>0.0233234567901235</v>
      </c>
      <c r="O1307" s="3" t="n">
        <v>17</v>
      </c>
      <c r="P1307" s="13" t="b">
        <f aca="false">FALSE()</f>
        <v>0</v>
      </c>
      <c r="Q1307" s="3" t="s">
        <v>166</v>
      </c>
      <c r="R1307" s="12" t="n">
        <v>0.3909</v>
      </c>
      <c r="S1307" s="12" t="n">
        <v>0.0924</v>
      </c>
      <c r="T1307" s="3" t="n">
        <v>0.3429</v>
      </c>
      <c r="U1307" s="12" t="n">
        <v>0.0317</v>
      </c>
      <c r="V1307" s="12" t="n">
        <v>0.408</v>
      </c>
      <c r="W1307" s="12" t="n">
        <v>0.5099</v>
      </c>
      <c r="X1307" s="3" t="n">
        <v>0.0021</v>
      </c>
      <c r="Y1307" s="3" t="n">
        <v>0.1464</v>
      </c>
      <c r="Z1307" s="14" t="n">
        <f aca="false">Assumptions!$B$3*R1307+Assumptions!$B$4*S1307+IF(AA1307=1,Assumptions!$B$11,Assumptions!$B$5)*X1307+IF(AA1307=1,Assumptions!$B$12,Assumptions!$B$6)*T1307+Assumptions!$B$7*U1307+Assumptions!$B$8*V1307+Assumptions!$B$9*Y1307</f>
        <v>0.219668</v>
      </c>
      <c r="AA1307" s="3" t="n">
        <v>0</v>
      </c>
    </row>
    <row r="1308" customFormat="false" ht="15" hidden="false" customHeight="false" outlineLevel="0" collapsed="false">
      <c r="A1308" s="3" t="s">
        <v>1493</v>
      </c>
      <c r="B1308" s="3" t="n">
        <v>200</v>
      </c>
      <c r="C1308" s="11" t="str">
        <f aca="false">IF(M1308&gt;=Assumptions!$B$17,"S+",IF(M1308&gt;=Assumptions!$B$18,"S",IF(M1308&gt;=Assumptions!$B$19,"A",IF(M1308&gt;=Assumptions!$B$20,"B",IF(M1308&gt;=Assumptions!$B$21,"C",IF(M1308&gt;=Assumptions!$B$22,"D","F"))))))</f>
        <v>F</v>
      </c>
      <c r="D1308" s="3" t="s">
        <v>115</v>
      </c>
      <c r="E1308" s="3" t="n">
        <v>1</v>
      </c>
      <c r="F1308" s="12"/>
      <c r="G1308" s="12"/>
      <c r="H1308" s="12"/>
      <c r="I1308" s="12" t="n">
        <v>0</v>
      </c>
      <c r="J1308" s="12" t="n">
        <v>0.1228</v>
      </c>
      <c r="K1308" s="12" t="n">
        <v>0.2161</v>
      </c>
      <c r="L1308" s="3" t="n">
        <v>2.18</v>
      </c>
      <c r="M1308" s="12" t="n">
        <f aca="false">Z1308-W1308</f>
        <v>-0.378785</v>
      </c>
      <c r="N1308" s="12" t="n">
        <f aca="false">IFERROR((Z1308-J1308)/L1308,"")</f>
        <v>0.0428050458715596</v>
      </c>
      <c r="O1308" s="3" t="n">
        <v>19</v>
      </c>
      <c r="P1308" s="13" t="b">
        <f aca="false">FALSE()</f>
        <v>0</v>
      </c>
      <c r="Q1308" s="3" t="s">
        <v>166</v>
      </c>
      <c r="R1308" s="12" t="n">
        <v>0.3013</v>
      </c>
      <c r="S1308" s="12" t="n">
        <v>0.2028</v>
      </c>
      <c r="T1308" s="3" t="n">
        <v>0.4376</v>
      </c>
      <c r="U1308" s="12" t="n">
        <v>0</v>
      </c>
      <c r="V1308" s="12" t="n">
        <v>0.4905</v>
      </c>
      <c r="W1308" s="12" t="n">
        <v>0.5949</v>
      </c>
      <c r="X1308" s="3" t="n">
        <v>0</v>
      </c>
      <c r="Y1308" s="3" t="n">
        <v>0.0089</v>
      </c>
      <c r="Z1308" s="14" t="n">
        <f aca="false">Assumptions!$B$3*R1308+Assumptions!$B$4*S1308+IF(AA1308=1,Assumptions!$B$11,Assumptions!$B$5)*X1308+IF(AA1308=1,Assumptions!$B$12,Assumptions!$B$6)*T1308+Assumptions!$B$7*U1308+Assumptions!$B$8*V1308+Assumptions!$B$9*Y1308</f>
        <v>0.216115</v>
      </c>
      <c r="AA1308" s="3" t="n">
        <v>0</v>
      </c>
    </row>
    <row r="1309" customFormat="false" ht="15" hidden="false" customHeight="false" outlineLevel="0" collapsed="false">
      <c r="A1309" s="3" t="s">
        <v>1494</v>
      </c>
      <c r="B1309" s="3" t="n">
        <v>224</v>
      </c>
      <c r="C1309" s="11" t="str">
        <f aca="false">IF(M1309&gt;=Assumptions!$B$17,"S+",IF(M1309&gt;=Assumptions!$B$18,"S",IF(M1309&gt;=Assumptions!$B$19,"A",IF(M1309&gt;=Assumptions!$B$20,"B",IF(M1309&gt;=Assumptions!$B$21,"C",IF(M1309&gt;=Assumptions!$B$22,"D","F"))))))</f>
        <v>F</v>
      </c>
      <c r="D1309" s="3" t="s">
        <v>115</v>
      </c>
      <c r="E1309" s="3" t="n">
        <v>1</v>
      </c>
      <c r="F1309" s="12"/>
      <c r="G1309" s="12"/>
      <c r="H1309" s="12"/>
      <c r="I1309" s="12" t="n">
        <v>0</v>
      </c>
      <c r="J1309" s="12" t="n">
        <v>0.1583</v>
      </c>
      <c r="K1309" s="12" t="n">
        <v>0.2159</v>
      </c>
      <c r="L1309" s="3" t="n">
        <v>2.84</v>
      </c>
      <c r="M1309" s="12" t="n">
        <f aca="false">Z1309-W1309</f>
        <v>-0.38023</v>
      </c>
      <c r="N1309" s="12" t="n">
        <f aca="false">IFERROR((Z1309-J1309)/L1309,"")</f>
        <v>0.0202711267605634</v>
      </c>
      <c r="O1309" s="3" t="n">
        <v>19</v>
      </c>
      <c r="P1309" s="13" t="b">
        <f aca="false">FALSE()</f>
        <v>0</v>
      </c>
      <c r="Q1309" s="3" t="s">
        <v>166</v>
      </c>
      <c r="R1309" s="12" t="n">
        <v>0.4522</v>
      </c>
      <c r="S1309" s="12" t="n">
        <v>0.2183</v>
      </c>
      <c r="T1309" s="3" t="n">
        <v>0.1148</v>
      </c>
      <c r="U1309" s="12" t="n">
        <v>0</v>
      </c>
      <c r="V1309" s="12" t="n">
        <v>0.4707</v>
      </c>
      <c r="W1309" s="12" t="n">
        <v>0.5961</v>
      </c>
      <c r="X1309" s="3" t="n">
        <v>0</v>
      </c>
      <c r="Y1309" s="3" t="n">
        <v>0</v>
      </c>
      <c r="Z1309" s="14" t="n">
        <f aca="false">Assumptions!$B$3*R1309+Assumptions!$B$4*S1309+IF(AA1309=1,Assumptions!$B$11,Assumptions!$B$5)*X1309+IF(AA1309=1,Assumptions!$B$12,Assumptions!$B$6)*T1309+Assumptions!$B$7*U1309+Assumptions!$B$8*V1309+Assumptions!$B$9*Y1309</f>
        <v>0.21587</v>
      </c>
      <c r="AA1309" s="3" t="n">
        <v>0</v>
      </c>
    </row>
    <row r="1310" customFormat="false" ht="15" hidden="false" customHeight="false" outlineLevel="0" collapsed="false">
      <c r="A1310" s="3" t="s">
        <v>1495</v>
      </c>
      <c r="B1310" s="3" t="n">
        <v>250</v>
      </c>
      <c r="C1310" s="11" t="str">
        <f aca="false">IF(M1310&gt;=Assumptions!$B$17,"S+",IF(M1310&gt;=Assumptions!$B$18,"S",IF(M1310&gt;=Assumptions!$B$19,"A",IF(M1310&gt;=Assumptions!$B$20,"B",IF(M1310&gt;=Assumptions!$B$21,"C",IF(M1310&gt;=Assumptions!$B$22,"D","F"))))))</f>
        <v>F</v>
      </c>
      <c r="D1310" s="3" t="s">
        <v>115</v>
      </c>
      <c r="E1310" s="3" t="n">
        <v>2</v>
      </c>
      <c r="F1310" s="12"/>
      <c r="G1310" s="12"/>
      <c r="H1310" s="12"/>
      <c r="I1310" s="12" t="n">
        <v>0</v>
      </c>
      <c r="J1310" s="12" t="n">
        <v>0.0998</v>
      </c>
      <c r="K1310" s="12" t="n">
        <v>0.1379</v>
      </c>
      <c r="L1310" s="3" t="n">
        <v>2.78</v>
      </c>
      <c r="M1310" s="12" t="n">
        <f aca="false">Z1310-W1310</f>
        <v>-0.456615</v>
      </c>
      <c r="N1310" s="12" t="n">
        <f aca="false">IFERROR((Z1310-J1310)/L1310,"")</f>
        <v>0.0136996402877698</v>
      </c>
      <c r="O1310" s="3" t="n">
        <v>18</v>
      </c>
      <c r="P1310" s="13" t="b">
        <f aca="false">FALSE()</f>
        <v>0</v>
      </c>
      <c r="Q1310" s="3" t="s">
        <v>166</v>
      </c>
      <c r="R1310" s="12" t="n">
        <v>0</v>
      </c>
      <c r="S1310" s="12" t="n">
        <v>0.3516</v>
      </c>
      <c r="T1310" s="3" t="n">
        <v>0.2898</v>
      </c>
      <c r="U1310" s="12" t="n">
        <v>0</v>
      </c>
      <c r="V1310" s="12" t="n">
        <v>0.4579</v>
      </c>
      <c r="W1310" s="12" t="n">
        <v>0.5945</v>
      </c>
      <c r="X1310" s="3" t="n">
        <v>0</v>
      </c>
      <c r="Y1310" s="3" t="n">
        <v>0</v>
      </c>
      <c r="Z1310" s="14" t="n">
        <f aca="false">Assumptions!$B$3*R1310+Assumptions!$B$4*S1310+IF(AA1310=1,Assumptions!$B$11,Assumptions!$B$5)*X1310+IF(AA1310=1,Assumptions!$B$12,Assumptions!$B$6)*T1310+Assumptions!$B$7*U1310+Assumptions!$B$8*V1310+Assumptions!$B$9*Y1310</f>
        <v>0.137885</v>
      </c>
      <c r="AA1310" s="3" t="n">
        <v>0</v>
      </c>
    </row>
    <row r="1311" customFormat="false" ht="15" hidden="false" customHeight="false" outlineLevel="0" collapsed="false">
      <c r="A1311" s="3" t="s">
        <v>1496</v>
      </c>
      <c r="B1311" s="3" t="n">
        <v>288</v>
      </c>
      <c r="C1311" s="11" t="str">
        <f aca="false">IF(M1311&gt;=Assumptions!$B$17,"S+",IF(M1311&gt;=Assumptions!$B$18,"S",IF(M1311&gt;=Assumptions!$B$19,"A",IF(M1311&gt;=Assumptions!$B$20,"B",IF(M1311&gt;=Assumptions!$B$21,"C",IF(M1311&gt;=Assumptions!$B$22,"D","F"))))))</f>
        <v>F</v>
      </c>
      <c r="D1311" s="3" t="s">
        <v>115</v>
      </c>
      <c r="E1311" s="3" t="n">
        <v>4</v>
      </c>
      <c r="F1311" s="12"/>
      <c r="G1311" s="12"/>
      <c r="H1311" s="12"/>
      <c r="I1311" s="12" t="n">
        <v>0</v>
      </c>
      <c r="J1311" s="12" t="n">
        <v>0.0809</v>
      </c>
      <c r="K1311" s="12" t="n">
        <v>0.1145</v>
      </c>
      <c r="L1311" s="3" t="n">
        <v>1.94</v>
      </c>
      <c r="M1311" s="12" t="n">
        <f aca="false">Z1311-W1311</f>
        <v>-0.482007</v>
      </c>
      <c r="N1311" s="12" t="n">
        <f aca="false">IFERROR((Z1311-J1311)/L1311,"")</f>
        <v>0.0173159793814433</v>
      </c>
      <c r="O1311" s="3" t="n">
        <v>16</v>
      </c>
      <c r="P1311" s="13" t="b">
        <f aca="false">FALSE()</f>
        <v>0</v>
      </c>
      <c r="Q1311" s="3" t="s">
        <v>166</v>
      </c>
      <c r="R1311" s="12" t="n">
        <v>0</v>
      </c>
      <c r="S1311" s="12" t="n">
        <v>0.355</v>
      </c>
      <c r="T1311" s="3" t="n">
        <v>0.0853</v>
      </c>
      <c r="U1311" s="12" t="n">
        <v>0</v>
      </c>
      <c r="V1311" s="12" t="n">
        <v>0.4637</v>
      </c>
      <c r="W1311" s="12" t="n">
        <v>0.5965</v>
      </c>
      <c r="X1311" s="3" t="n">
        <v>0</v>
      </c>
      <c r="Y1311" s="3" t="n">
        <v>0</v>
      </c>
      <c r="Z1311" s="14" t="n">
        <f aca="false">Assumptions!$B$3*R1311+Assumptions!$B$4*S1311+IF(AA1311=1,Assumptions!$B$11,Assumptions!$B$5)*X1311+IF(AA1311=1,Assumptions!$B$12,Assumptions!$B$6)*T1311+Assumptions!$B$7*U1311+Assumptions!$B$8*V1311+Assumptions!$B$9*Y1311</f>
        <v>0.114493</v>
      </c>
      <c r="AA1311" s="3" t="n">
        <v>0</v>
      </c>
    </row>
    <row r="1312" customFormat="false" ht="15" hidden="false" customHeight="false" outlineLevel="0" collapsed="false">
      <c r="A1312" s="3" t="s">
        <v>1497</v>
      </c>
      <c r="B1312" s="3" t="n">
        <v>200</v>
      </c>
      <c r="C1312" s="11" t="str">
        <f aca="false">IF(M1312&gt;=Assumptions!$B$17,"S+",IF(M1312&gt;=Assumptions!$B$18,"S",IF(M1312&gt;=Assumptions!$B$19,"A",IF(M1312&gt;=Assumptions!$B$20,"B",IF(M1312&gt;=Assumptions!$B$21,"C",IF(M1312&gt;=Assumptions!$B$22,"D","F"))))))</f>
        <v>F</v>
      </c>
      <c r="D1312" s="3" t="s">
        <v>115</v>
      </c>
      <c r="E1312" s="3" t="n">
        <v>7</v>
      </c>
      <c r="F1312" s="12"/>
      <c r="G1312" s="12"/>
      <c r="H1312" s="12"/>
      <c r="I1312" s="12" t="n">
        <v>0</v>
      </c>
      <c r="J1312" s="12" t="n">
        <v>0.072</v>
      </c>
      <c r="K1312" s="12" t="n">
        <v>0.0948</v>
      </c>
      <c r="L1312" s="3" t="n">
        <v>2.42</v>
      </c>
      <c r="M1312" s="12" t="n">
        <f aca="false">Z1312-W1312</f>
        <v>-0.487177</v>
      </c>
      <c r="N1312" s="12" t="n">
        <f aca="false">IFERROR((Z1312-J1312)/L1312,"")</f>
        <v>0.0094309917355372</v>
      </c>
      <c r="O1312" s="3" t="n">
        <v>13</v>
      </c>
      <c r="P1312" s="13" t="b">
        <f aca="false">FALSE()</f>
        <v>0</v>
      </c>
      <c r="Q1312" s="3" t="s">
        <v>166</v>
      </c>
      <c r="R1312" s="12" t="n">
        <v>0</v>
      </c>
      <c r="S1312" s="12" t="n">
        <v>0.1826</v>
      </c>
      <c r="T1312" s="3" t="n">
        <v>0.0618</v>
      </c>
      <c r="U1312" s="12" t="n">
        <v>0.0769</v>
      </c>
      <c r="V1312" s="12" t="n">
        <v>0.4757</v>
      </c>
      <c r="W1312" s="12" t="n">
        <v>0.582</v>
      </c>
      <c r="X1312" s="3" t="n">
        <v>0</v>
      </c>
      <c r="Y1312" s="3" t="n">
        <v>0</v>
      </c>
      <c r="Z1312" s="14" t="n">
        <f aca="false">Assumptions!$B$3*R1312+Assumptions!$B$4*S1312+IF(AA1312=1,Assumptions!$B$11,Assumptions!$B$5)*X1312+IF(AA1312=1,Assumptions!$B$12,Assumptions!$B$6)*T1312+Assumptions!$B$7*U1312+Assumptions!$B$8*V1312+Assumptions!$B$9*Y1312</f>
        <v>0.094823</v>
      </c>
      <c r="AA1312" s="3"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46"/>
    <col collapsed="false" customWidth="true" hidden="false" outlineLevel="0" max="4" min="4" style="0" width="12"/>
    <col collapsed="false" customWidth="true" hidden="false" outlineLevel="0" max="5" min="5" style="0" width="10"/>
    <col collapsed="false" customWidth="true" hidden="false" outlineLevel="0" max="6" min="6" style="0" width="62"/>
  </cols>
  <sheetData>
    <row r="1" customFormat="false" ht="15" hidden="false" customHeight="false" outlineLevel="0" collapsed="false">
      <c r="A1" s="4" t="s">
        <v>1498</v>
      </c>
      <c r="B1" s="4" t="s">
        <v>1499</v>
      </c>
      <c r="C1" s="4" t="s">
        <v>1500</v>
      </c>
      <c r="D1" s="4" t="s">
        <v>1501</v>
      </c>
      <c r="E1" s="4" t="s">
        <v>1502</v>
      </c>
      <c r="F1" s="4" t="s">
        <v>1503</v>
      </c>
    </row>
    <row r="2" customFormat="false" ht="15" hidden="false" customHeight="false" outlineLevel="0" collapsed="false">
      <c r="A2" s="2" t="n">
        <v>4</v>
      </c>
      <c r="B2" s="2" t="s">
        <v>1504</v>
      </c>
      <c r="C2" s="2" t="s">
        <v>1505</v>
      </c>
      <c r="D2" s="2" t="s">
        <v>1506</v>
      </c>
      <c r="E2" s="2" t="n">
        <v>0</v>
      </c>
      <c r="F2" s="2" t="s">
        <v>1507</v>
      </c>
    </row>
    <row r="3" customFormat="false" ht="15" hidden="false" customHeight="false" outlineLevel="0" collapsed="false">
      <c r="A3" s="2" t="n">
        <v>4</v>
      </c>
      <c r="B3" s="2" t="s">
        <v>7</v>
      </c>
      <c r="C3" s="2" t="s">
        <v>1508</v>
      </c>
      <c r="D3" s="2" t="s">
        <v>1506</v>
      </c>
      <c r="E3" s="2" t="n">
        <v>0</v>
      </c>
      <c r="F3" s="2" t="s">
        <v>1509</v>
      </c>
    </row>
    <row r="4" customFormat="false" ht="15" hidden="false" customHeight="false" outlineLevel="0" collapsed="false">
      <c r="A4" s="2" t="n">
        <v>4</v>
      </c>
      <c r="B4" s="2" t="s">
        <v>1510</v>
      </c>
      <c r="C4" s="2" t="s">
        <v>1511</v>
      </c>
      <c r="D4" s="15" t="s">
        <v>1512</v>
      </c>
      <c r="E4" s="2" t="n">
        <v>1</v>
      </c>
      <c r="F4" s="2" t="s">
        <v>1513</v>
      </c>
    </row>
    <row r="5" customFormat="false" ht="23.85" hidden="false" customHeight="false" outlineLevel="0" collapsed="false">
      <c r="A5" s="2" t="n">
        <v>4</v>
      </c>
      <c r="B5" s="2" t="s">
        <v>1514</v>
      </c>
      <c r="C5" s="2" t="s">
        <v>1515</v>
      </c>
      <c r="D5" s="2" t="s">
        <v>1506</v>
      </c>
      <c r="E5" s="2" t="n">
        <v>0</v>
      </c>
      <c r="F5" s="2" t="s">
        <v>1516</v>
      </c>
    </row>
    <row r="6" customFormat="false" ht="15" hidden="false" customHeight="false" outlineLevel="0" collapsed="false">
      <c r="A6" s="2" t="n">
        <v>4</v>
      </c>
      <c r="B6" s="2" t="s">
        <v>1517</v>
      </c>
      <c r="C6" s="2" t="s">
        <v>1518</v>
      </c>
      <c r="D6" s="2" t="s">
        <v>1506</v>
      </c>
      <c r="E6" s="2" t="n">
        <v>0</v>
      </c>
      <c r="F6" s="2" t="s">
        <v>1519</v>
      </c>
    </row>
    <row r="7" customFormat="false" ht="15" hidden="false" customHeight="false" outlineLevel="0" collapsed="false">
      <c r="A7" s="2" t="n">
        <v>4</v>
      </c>
      <c r="B7" s="2" t="s">
        <v>1520</v>
      </c>
      <c r="C7" s="2" t="s">
        <v>1521</v>
      </c>
      <c r="D7" s="2" t="s">
        <v>1506</v>
      </c>
      <c r="E7" s="2" t="n">
        <v>0</v>
      </c>
      <c r="F7" s="2" t="s">
        <v>1522</v>
      </c>
    </row>
    <row r="8" customFormat="false" ht="23.85" hidden="false" customHeight="false" outlineLevel="0" collapsed="false">
      <c r="A8" s="2" t="n">
        <v>4</v>
      </c>
      <c r="B8" s="2" t="s">
        <v>1523</v>
      </c>
      <c r="C8" s="2" t="s">
        <v>1524</v>
      </c>
      <c r="D8" s="15" t="s">
        <v>1512</v>
      </c>
      <c r="E8" s="2" t="n">
        <v>1</v>
      </c>
      <c r="F8" s="2" t="s">
        <v>1525</v>
      </c>
    </row>
    <row r="9" customFormat="false" ht="15" hidden="false" customHeight="false" outlineLevel="0" collapsed="false">
      <c r="A9" s="2" t="n">
        <v>4</v>
      </c>
      <c r="B9" s="2" t="s">
        <v>1526</v>
      </c>
      <c r="C9" s="2" t="s">
        <v>1527</v>
      </c>
      <c r="D9" s="2" t="s">
        <v>1506</v>
      </c>
      <c r="E9" s="2" t="n">
        <v>0</v>
      </c>
      <c r="F9" s="2" t="s">
        <v>1528</v>
      </c>
    </row>
    <row r="10" customFormat="false" ht="15" hidden="false" customHeight="false" outlineLevel="0" collapsed="false">
      <c r="A10" s="2" t="n">
        <v>4</v>
      </c>
      <c r="B10" s="2" t="s">
        <v>1529</v>
      </c>
      <c r="C10" s="2" t="s">
        <v>1530</v>
      </c>
      <c r="D10" s="2" t="s">
        <v>1506</v>
      </c>
      <c r="E10" s="2" t="n">
        <v>0</v>
      </c>
      <c r="F10" s="2" t="s">
        <v>1507</v>
      </c>
    </row>
    <row r="11" customFormat="false" ht="15" hidden="false" customHeight="false" outlineLevel="0" collapsed="false">
      <c r="A11" s="2" t="n">
        <v>4</v>
      </c>
      <c r="B11" s="2" t="s">
        <v>1531</v>
      </c>
      <c r="C11" s="2" t="s">
        <v>1532</v>
      </c>
      <c r="D11" s="15" t="s">
        <v>1512</v>
      </c>
      <c r="E11" s="2" t="n">
        <v>0</v>
      </c>
      <c r="F11" s="2" t="s">
        <v>1533</v>
      </c>
    </row>
    <row r="12" customFormat="false" ht="23.85" hidden="false" customHeight="false" outlineLevel="0" collapsed="false">
      <c r="A12" s="2" t="n">
        <v>4</v>
      </c>
      <c r="B12" s="2" t="s">
        <v>1534</v>
      </c>
      <c r="C12" s="2" t="s">
        <v>1535</v>
      </c>
      <c r="D12" s="15" t="s">
        <v>1512</v>
      </c>
      <c r="E12" s="2" t="n">
        <v>0</v>
      </c>
      <c r="F12" s="2" t="s">
        <v>1536</v>
      </c>
    </row>
    <row r="13" customFormat="false" ht="15" hidden="false" customHeight="false" outlineLevel="0" collapsed="false">
      <c r="A13" s="2" t="n">
        <v>4</v>
      </c>
      <c r="B13" s="2" t="s">
        <v>1537</v>
      </c>
      <c r="C13" s="2" t="s">
        <v>1538</v>
      </c>
      <c r="D13" s="2" t="s">
        <v>1506</v>
      </c>
      <c r="E13" s="2" t="n">
        <v>0</v>
      </c>
      <c r="F13" s="2" t="s">
        <v>1539</v>
      </c>
    </row>
    <row r="14" customFormat="false" ht="35.05" hidden="false" customHeight="false" outlineLevel="0" collapsed="false">
      <c r="A14" s="2" t="n">
        <v>4</v>
      </c>
      <c r="B14" s="2" t="s">
        <v>1540</v>
      </c>
      <c r="C14" s="2" t="s">
        <v>1541</v>
      </c>
      <c r="D14" s="15" t="s">
        <v>1512</v>
      </c>
      <c r="E14" s="2" t="n">
        <v>472</v>
      </c>
      <c r="F14" s="2" t="s">
        <v>1542</v>
      </c>
    </row>
    <row r="15" customFormat="false" ht="15" hidden="false" customHeight="false" outlineLevel="0" collapsed="false">
      <c r="A15" s="2" t="n">
        <v>4</v>
      </c>
      <c r="B15" s="2" t="s">
        <v>1543</v>
      </c>
      <c r="C15" s="2" t="s">
        <v>1544</v>
      </c>
      <c r="D15" s="2" t="s">
        <v>1506</v>
      </c>
      <c r="E15" s="2" t="n">
        <v>0</v>
      </c>
      <c r="F15" s="2" t="s">
        <v>1545</v>
      </c>
    </row>
    <row r="16" customFormat="false" ht="15" hidden="false" customHeight="false" outlineLevel="0" collapsed="false">
      <c r="A16" s="2" t="n">
        <v>4</v>
      </c>
      <c r="B16" s="2" t="s">
        <v>1546</v>
      </c>
      <c r="C16" s="2" t="s">
        <v>1547</v>
      </c>
      <c r="D16" s="2" t="s">
        <v>1506</v>
      </c>
      <c r="E16" s="2" t="n">
        <v>0</v>
      </c>
      <c r="F16" s="2" t="s">
        <v>1548</v>
      </c>
    </row>
    <row r="17" customFormat="false" ht="15" hidden="false" customHeight="false" outlineLevel="0" collapsed="false">
      <c r="A17" s="2" t="n">
        <v>4</v>
      </c>
      <c r="B17" s="2" t="s">
        <v>1549</v>
      </c>
      <c r="C17" s="2" t="s">
        <v>1550</v>
      </c>
      <c r="D17" s="2" t="s">
        <v>1506</v>
      </c>
      <c r="E17" s="2" t="n">
        <v>0</v>
      </c>
      <c r="F17" s="2" t="s">
        <v>1551</v>
      </c>
    </row>
    <row r="18" customFormat="false" ht="23.85" hidden="false" customHeight="false" outlineLevel="0" collapsed="false">
      <c r="A18" s="2" t="n">
        <v>4</v>
      </c>
      <c r="B18" s="2" t="s">
        <v>1552</v>
      </c>
      <c r="C18" s="2" t="s">
        <v>1553</v>
      </c>
      <c r="D18" s="15" t="s">
        <v>1512</v>
      </c>
      <c r="E18" s="2" t="n">
        <v>3</v>
      </c>
      <c r="F18" s="2" t="s">
        <v>1554</v>
      </c>
    </row>
    <row r="19" customFormat="false" ht="15" hidden="false" customHeight="false" outlineLevel="0" collapsed="false">
      <c r="A19" s="2" t="n">
        <v>4</v>
      </c>
      <c r="B19" s="2" t="s">
        <v>1555</v>
      </c>
      <c r="C19" s="2" t="s">
        <v>1556</v>
      </c>
      <c r="D19" s="15" t="s">
        <v>1512</v>
      </c>
      <c r="E19" s="2" t="n">
        <v>3</v>
      </c>
      <c r="F19" s="2" t="s">
        <v>1557</v>
      </c>
    </row>
    <row r="20" customFormat="false" ht="15" hidden="false" customHeight="false" outlineLevel="0" collapsed="false">
      <c r="A20" s="2" t="n">
        <v>4</v>
      </c>
      <c r="B20" s="2" t="s">
        <v>1558</v>
      </c>
      <c r="C20" s="2" t="s">
        <v>1559</v>
      </c>
      <c r="D20" s="2" t="s">
        <v>1506</v>
      </c>
      <c r="E20" s="2" t="n">
        <v>0</v>
      </c>
      <c r="F20" s="2" t="s">
        <v>1560</v>
      </c>
    </row>
    <row r="21" customFormat="false" ht="15" hidden="false" customHeight="false" outlineLevel="0" collapsed="false">
      <c r="A21" s="2" t="n">
        <v>4</v>
      </c>
      <c r="B21" s="2" t="s">
        <v>1561</v>
      </c>
      <c r="C21" s="2" t="s">
        <v>1562</v>
      </c>
      <c r="D21" s="2" t="s">
        <v>1506</v>
      </c>
      <c r="E21" s="2" t="n">
        <v>2033</v>
      </c>
      <c r="F21" s="2" t="s">
        <v>1563</v>
      </c>
    </row>
    <row r="22" customFormat="false" ht="15" hidden="false" customHeight="false" outlineLevel="0" collapsed="false">
      <c r="A22" s="2" t="n">
        <v>4</v>
      </c>
      <c r="B22" s="2" t="s">
        <v>1564</v>
      </c>
      <c r="C22" s="2" t="s">
        <v>1565</v>
      </c>
      <c r="D22" s="15" t="s">
        <v>1512</v>
      </c>
      <c r="E22" s="2" t="n">
        <v>223</v>
      </c>
      <c r="F22" s="2" t="s">
        <v>1566</v>
      </c>
    </row>
    <row r="23" customFormat="false" ht="15" hidden="false" customHeight="false" outlineLevel="0" collapsed="false">
      <c r="A23" s="2" t="n">
        <v>4</v>
      </c>
      <c r="B23" s="2" t="s">
        <v>1567</v>
      </c>
      <c r="C23" s="2" t="s">
        <v>1568</v>
      </c>
      <c r="D23" s="15" t="s">
        <v>1512</v>
      </c>
      <c r="E23" s="2" t="n">
        <v>0</v>
      </c>
      <c r="F23" s="2" t="s">
        <v>1569</v>
      </c>
    </row>
    <row r="24" customFormat="false" ht="23.85" hidden="false" customHeight="false" outlineLevel="0" collapsed="false">
      <c r="A24" s="2" t="n">
        <v>4</v>
      </c>
      <c r="B24" s="2" t="s">
        <v>1570</v>
      </c>
      <c r="C24" s="2" t="s">
        <v>1571</v>
      </c>
      <c r="D24" s="15" t="s">
        <v>201</v>
      </c>
      <c r="E24" s="2" t="n">
        <v>7</v>
      </c>
      <c r="F24" s="2" t="s">
        <v>1572</v>
      </c>
    </row>
    <row r="25" customFormat="false" ht="15" hidden="false" customHeight="false" outlineLevel="0" collapsed="false">
      <c r="A25" s="2" t="n">
        <v>4</v>
      </c>
      <c r="B25" s="2" t="s">
        <v>1573</v>
      </c>
      <c r="C25" s="2" t="s">
        <v>1574</v>
      </c>
      <c r="D25" s="15" t="s">
        <v>201</v>
      </c>
      <c r="E25" s="2" t="n">
        <v>1</v>
      </c>
      <c r="F25" s="2" t="s">
        <v>1575</v>
      </c>
    </row>
    <row r="26" customFormat="false" ht="15" hidden="false" customHeight="false" outlineLevel="0" collapsed="false">
      <c r="A26" s="2" t="n">
        <v>4</v>
      </c>
      <c r="B26" s="2" t="s">
        <v>1576</v>
      </c>
      <c r="C26" s="2" t="s">
        <v>1577</v>
      </c>
      <c r="D26" s="2" t="s">
        <v>1506</v>
      </c>
      <c r="E26" s="2" t="n">
        <v>0</v>
      </c>
      <c r="F26" s="2" t="s">
        <v>1578</v>
      </c>
    </row>
    <row r="27" customFormat="false" ht="15" hidden="false" customHeight="false" outlineLevel="0" collapsed="false">
      <c r="A27" s="2" t="n">
        <v>4</v>
      </c>
      <c r="B27" s="2" t="s">
        <v>1579</v>
      </c>
      <c r="C27" s="2" t="s">
        <v>1580</v>
      </c>
      <c r="D27" s="2" t="s">
        <v>1506</v>
      </c>
      <c r="E27" s="2" t="n">
        <v>38</v>
      </c>
      <c r="F27" s="2" t="s">
        <v>1581</v>
      </c>
    </row>
    <row r="28" customFormat="false" ht="35.05" hidden="false" customHeight="false" outlineLevel="0" collapsed="false">
      <c r="A28" s="2" t="n">
        <v>4</v>
      </c>
      <c r="B28" s="2" t="s">
        <v>1582</v>
      </c>
      <c r="C28" s="2" t="s">
        <v>1583</v>
      </c>
      <c r="D28" s="15" t="s">
        <v>1512</v>
      </c>
      <c r="E28" s="2" t="n">
        <v>0</v>
      </c>
      <c r="F28" s="2" t="s">
        <v>1584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0"/>
  </cols>
  <sheetData>
    <row r="1" customFormat="false" ht="15" hidden="false" customHeight="false" outlineLevel="0" collapsed="false">
      <c r="B1" s="16" t="s">
        <v>1585</v>
      </c>
    </row>
    <row r="2" customFormat="false" ht="15" hidden="false" customHeight="false" outlineLevel="0" collapsed="false">
      <c r="B2" s="2"/>
    </row>
    <row r="3" customFormat="false" ht="15" hidden="false" customHeight="false" outlineLevel="0" collapsed="false">
      <c r="B3" s="16" t="s">
        <v>1586</v>
      </c>
    </row>
    <row r="4" customFormat="false" ht="23.85" hidden="false" customHeight="false" outlineLevel="0" collapsed="false">
      <c r="B4" s="2" t="s">
        <v>1587</v>
      </c>
    </row>
    <row r="5" customFormat="false" ht="23.85" hidden="false" customHeight="false" outlineLevel="0" collapsed="false">
      <c r="B5" s="2" t="s">
        <v>1588</v>
      </c>
    </row>
    <row r="6" customFormat="false" ht="23.85" hidden="false" customHeight="false" outlineLevel="0" collapsed="false">
      <c r="B6" s="2" t="s">
        <v>1589</v>
      </c>
    </row>
    <row r="7" customFormat="false" ht="23.85" hidden="false" customHeight="false" outlineLevel="0" collapsed="false">
      <c r="B7" s="2" t="s">
        <v>1590</v>
      </c>
    </row>
    <row r="8" customFormat="false" ht="35.05" hidden="false" customHeight="false" outlineLevel="0" collapsed="false">
      <c r="B8" s="2" t="s">
        <v>1591</v>
      </c>
    </row>
    <row r="9" customFormat="false" ht="15" hidden="false" customHeight="false" outlineLevel="0" collapsed="false">
      <c r="B9" s="2"/>
    </row>
    <row r="10" customFormat="false" ht="15" hidden="false" customHeight="false" outlineLevel="0" collapsed="false">
      <c r="B10" s="16" t="s">
        <v>1592</v>
      </c>
    </row>
    <row r="11" customFormat="false" ht="35.05" hidden="false" customHeight="false" outlineLevel="0" collapsed="false">
      <c r="B11" s="2" t="s">
        <v>1593</v>
      </c>
    </row>
    <row r="12" customFormat="false" ht="15" hidden="false" customHeight="false" outlineLevel="0" collapsed="false">
      <c r="B12" s="2"/>
    </row>
    <row r="13" customFormat="false" ht="15" hidden="false" customHeight="false" outlineLevel="0" collapsed="false">
      <c r="B13" s="16" t="s">
        <v>1594</v>
      </c>
    </row>
    <row r="14" customFormat="false" ht="23.85" hidden="false" customHeight="false" outlineLevel="0" collapsed="false">
      <c r="B14" s="2" t="s">
        <v>1595</v>
      </c>
    </row>
    <row r="15" customFormat="false" ht="46.25" hidden="false" customHeight="false" outlineLevel="0" collapsed="false">
      <c r="B15" s="2" t="s">
        <v>1596</v>
      </c>
    </row>
    <row r="16" customFormat="false" ht="23.85" hidden="false" customHeight="false" outlineLevel="0" collapsed="false">
      <c r="B16" s="2" t="s">
        <v>1597</v>
      </c>
    </row>
    <row r="17" customFormat="false" ht="35.05" hidden="false" customHeight="false" outlineLevel="0" collapsed="false">
      <c r="B17" s="2" t="s">
        <v>1598</v>
      </c>
    </row>
    <row r="18" customFormat="false" ht="35.05" hidden="false" customHeight="false" outlineLevel="0" collapsed="false">
      <c r="B18" s="2" t="s">
        <v>1599</v>
      </c>
    </row>
    <row r="19" customFormat="false" ht="15" hidden="false" customHeight="false" outlineLevel="0" collapsed="false">
      <c r="B19" s="2" t="s">
        <v>1600</v>
      </c>
    </row>
    <row r="20" customFormat="false" ht="15" hidden="false" customHeight="false" outlineLevel="0" collapsed="false">
      <c r="B20" s="2" t="s">
        <v>1601</v>
      </c>
    </row>
    <row r="21" customFormat="false" ht="23.85" hidden="false" customHeight="false" outlineLevel="0" collapsed="false">
      <c r="B21" s="2" t="s">
        <v>1602</v>
      </c>
    </row>
    <row r="22" customFormat="false" ht="23.85" hidden="false" customHeight="false" outlineLevel="0" collapsed="false">
      <c r="B22" s="2" t="s">
        <v>1603</v>
      </c>
    </row>
    <row r="23" customFormat="false" ht="15" hidden="false" customHeight="false" outlineLevel="0" collapsed="false">
      <c r="B23" s="2" t="s">
        <v>1604</v>
      </c>
    </row>
    <row r="24" customFormat="false" ht="15" hidden="false" customHeight="false" outlineLevel="0" collapsed="false">
      <c r="B24" s="2" t="s">
        <v>1605</v>
      </c>
    </row>
    <row r="25" customFormat="false" ht="15" hidden="false" customHeight="false" outlineLevel="0" collapsed="false">
      <c r="B25" s="2"/>
    </row>
    <row r="26" customFormat="false" ht="15" hidden="false" customHeight="false" outlineLevel="0" collapsed="false">
      <c r="B26" s="16" t="s">
        <v>1606</v>
      </c>
    </row>
    <row r="27" customFormat="false" ht="23.85" hidden="false" customHeight="false" outlineLevel="0" collapsed="false">
      <c r="B27" s="2" t="s">
        <v>1607</v>
      </c>
    </row>
    <row r="28" customFormat="false" ht="15" hidden="false" customHeight="false" outlineLevel="0" collapsed="false">
      <c r="B28" s="2" t="s">
        <v>1608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53</v>
      </c>
      <c r="B1" s="1" t="s">
        <v>1609</v>
      </c>
    </row>
    <row r="2" customFormat="false" ht="15" hidden="false" customHeight="false" outlineLevel="0" collapsed="false">
      <c r="A2" s="3" t="s">
        <v>56</v>
      </c>
      <c r="B2" s="3" t="n">
        <v>9</v>
      </c>
    </row>
    <row r="3" customFormat="false" ht="15" hidden="false" customHeight="false" outlineLevel="0" collapsed="false">
      <c r="A3" s="3" t="s">
        <v>57</v>
      </c>
      <c r="B3" s="3" t="n">
        <v>39</v>
      </c>
    </row>
    <row r="4" customFormat="false" ht="15" hidden="false" customHeight="false" outlineLevel="0" collapsed="false">
      <c r="A4" s="3" t="s">
        <v>58</v>
      </c>
      <c r="B4" s="3" t="n">
        <v>100</v>
      </c>
    </row>
    <row r="5" customFormat="false" ht="15" hidden="false" customHeight="false" outlineLevel="0" collapsed="false">
      <c r="A5" s="3" t="s">
        <v>59</v>
      </c>
      <c r="B5" s="3" t="n">
        <v>190</v>
      </c>
    </row>
    <row r="6" customFormat="false" ht="15" hidden="false" customHeight="false" outlineLevel="0" collapsed="false">
      <c r="A6" s="3" t="s">
        <v>60</v>
      </c>
      <c r="B6" s="3" t="n">
        <v>286</v>
      </c>
    </row>
    <row r="7" customFormat="false" ht="15" hidden="false" customHeight="false" outlineLevel="0" collapsed="false">
      <c r="A7" s="3" t="s">
        <v>61</v>
      </c>
      <c r="B7" s="3" t="n">
        <v>268</v>
      </c>
    </row>
    <row r="8" customFormat="false" ht="15" hidden="false" customHeight="false" outlineLevel="0" collapsed="false">
      <c r="A8" s="3" t="s">
        <v>62</v>
      </c>
      <c r="B8" s="3" t="n">
        <v>419</v>
      </c>
    </row>
    <row r="11" customFormat="false" ht="15" hidden="false" customHeight="false" outlineLevel="0" collapsed="false">
      <c r="A11" s="1" t="s">
        <v>1610</v>
      </c>
      <c r="B11" s="1" t="s">
        <v>1611</v>
      </c>
      <c r="C11" s="1" t="s">
        <v>1612</v>
      </c>
      <c r="D11" s="1" t="s">
        <v>1613</v>
      </c>
    </row>
    <row r="12" customFormat="false" ht="15" hidden="false" customHeight="false" outlineLevel="0" collapsed="false">
      <c r="A12" s="3" t="n">
        <v>1</v>
      </c>
      <c r="B12" s="3" t="n">
        <v>423</v>
      </c>
      <c r="C12" s="3" t="n">
        <v>3</v>
      </c>
      <c r="D12" s="3" t="n">
        <v>15</v>
      </c>
    </row>
    <row r="13" customFormat="false" ht="15" hidden="false" customHeight="false" outlineLevel="0" collapsed="false">
      <c r="A13" s="3" t="n">
        <v>2</v>
      </c>
      <c r="B13" s="3" t="n">
        <v>556</v>
      </c>
      <c r="C13" s="3" t="n">
        <v>7</v>
      </c>
      <c r="D13" s="3" t="n">
        <v>20</v>
      </c>
    </row>
    <row r="14" customFormat="false" ht="15" hidden="false" customHeight="false" outlineLevel="0" collapsed="false">
      <c r="A14" s="3" t="n">
        <v>3</v>
      </c>
      <c r="B14" s="3" t="n">
        <v>705</v>
      </c>
      <c r="C14" s="3" t="n">
        <v>17</v>
      </c>
      <c r="D14" s="3" t="n">
        <v>25</v>
      </c>
    </row>
    <row r="15" customFormat="false" ht="15" hidden="false" customHeight="false" outlineLevel="0" collapsed="false">
      <c r="A15" s="3" t="n">
        <v>4</v>
      </c>
      <c r="B15" s="3" t="n">
        <v>869</v>
      </c>
      <c r="C15" s="3" t="n">
        <v>20</v>
      </c>
      <c r="D15" s="3" t="n">
        <v>30</v>
      </c>
    </row>
    <row r="16" customFormat="false" ht="15" hidden="false" customHeight="false" outlineLevel="0" collapsed="false">
      <c r="A16" s="3" t="n">
        <v>5</v>
      </c>
      <c r="B16" s="3" t="n">
        <v>883</v>
      </c>
      <c r="C16" s="3" t="n">
        <v>38</v>
      </c>
      <c r="D16" s="3" t="n">
        <v>32</v>
      </c>
    </row>
    <row r="17" customFormat="false" ht="15" hidden="false" customHeight="false" outlineLevel="0" collapsed="false">
      <c r="A17" s="3" t="n">
        <v>6</v>
      </c>
      <c r="B17" s="3" t="n">
        <v>964</v>
      </c>
      <c r="C17" s="3" t="n">
        <v>74</v>
      </c>
      <c r="D17" s="3" t="n">
        <v>34</v>
      </c>
    </row>
    <row r="18" customFormat="false" ht="15" hidden="false" customHeight="false" outlineLevel="0" collapsed="false">
      <c r="A18" s="3" t="n">
        <v>7</v>
      </c>
      <c r="B18" s="3" t="n">
        <v>1211</v>
      </c>
      <c r="C18" s="3" t="n">
        <v>90</v>
      </c>
      <c r="D18" s="3" t="n">
        <v>44</v>
      </c>
    </row>
    <row r="19" customFormat="false" ht="15" hidden="false" customHeight="false" outlineLevel="0" collapsed="false">
      <c r="A19" s="3" t="n">
        <v>8</v>
      </c>
      <c r="B19" s="3" t="n">
        <v>1221</v>
      </c>
      <c r="C19" s="3" t="n">
        <v>101</v>
      </c>
      <c r="D19" s="3" t="n">
        <v>47</v>
      </c>
    </row>
    <row r="20" customFormat="false" ht="15" hidden="false" customHeight="false" outlineLevel="0" collapsed="false">
      <c r="A20" s="3" t="n">
        <v>9</v>
      </c>
      <c r="B20" s="3" t="n">
        <v>1257</v>
      </c>
      <c r="C20" s="3" t="n">
        <v>135</v>
      </c>
      <c r="D20" s="3" t="n">
        <v>56</v>
      </c>
    </row>
    <row r="21" customFormat="false" ht="15" hidden="false" customHeight="false" outlineLevel="0" collapsed="false">
      <c r="A21" s="3" t="n">
        <v>10</v>
      </c>
      <c r="B21" s="3" t="n">
        <v>1259</v>
      </c>
      <c r="C21" s="3" t="n">
        <v>135</v>
      </c>
      <c r="D21" s="3" t="n">
        <v>59</v>
      </c>
    </row>
    <row r="22" customFormat="false" ht="15" hidden="false" customHeight="false" outlineLevel="0" collapsed="false">
      <c r="A22" s="3" t="n">
        <v>11</v>
      </c>
      <c r="B22" s="3" t="n">
        <v>1266</v>
      </c>
      <c r="C22" s="3" t="n">
        <v>145</v>
      </c>
      <c r="D22" s="3" t="n">
        <v>64</v>
      </c>
    </row>
    <row r="23" customFormat="false" ht="15" hidden="false" customHeight="false" outlineLevel="0" collapsed="false">
      <c r="A23" s="3" t="n">
        <v>12</v>
      </c>
      <c r="B23" s="3" t="n">
        <v>1272</v>
      </c>
      <c r="C23" s="3" t="n">
        <v>149</v>
      </c>
      <c r="D23" s="3" t="n">
        <v>68</v>
      </c>
    </row>
    <row r="24" customFormat="false" ht="15" hidden="false" customHeight="false" outlineLevel="0" collapsed="false">
      <c r="A24" s="3" t="n">
        <v>13</v>
      </c>
      <c r="B24" s="3" t="n">
        <v>1302</v>
      </c>
      <c r="C24" s="3" t="n">
        <v>157</v>
      </c>
      <c r="D24" s="3" t="n">
        <v>71</v>
      </c>
    </row>
    <row r="25" customFormat="false" ht="15" hidden="false" customHeight="false" outlineLevel="0" collapsed="false">
      <c r="A25" s="3" t="n">
        <v>14</v>
      </c>
      <c r="B25" s="3" t="n">
        <v>1302</v>
      </c>
      <c r="C25" s="3" t="n">
        <v>157</v>
      </c>
      <c r="D25" s="3" t="n">
        <v>74</v>
      </c>
    </row>
    <row r="26" customFormat="false" ht="15" hidden="false" customHeight="false" outlineLevel="0" collapsed="false">
      <c r="A26" s="3" t="n">
        <v>15</v>
      </c>
      <c r="B26" s="3" t="n">
        <v>1302</v>
      </c>
      <c r="C26" s="3" t="n">
        <v>158</v>
      </c>
      <c r="D26" s="3" t="n">
        <v>76</v>
      </c>
    </row>
    <row r="27" customFormat="false" ht="15" hidden="false" customHeight="false" outlineLevel="0" collapsed="false">
      <c r="A27" s="3" t="n">
        <v>16</v>
      </c>
      <c r="B27" s="3" t="n">
        <v>1302</v>
      </c>
      <c r="C27" s="3" t="n">
        <v>164</v>
      </c>
      <c r="D27" s="3" t="n">
        <v>80</v>
      </c>
    </row>
    <row r="28" customFormat="false" ht="15" hidden="false" customHeight="false" outlineLevel="0" collapsed="false">
      <c r="A28" s="3" t="n">
        <v>17</v>
      </c>
      <c r="B28" s="3" t="n">
        <v>1302</v>
      </c>
      <c r="C28" s="3" t="n">
        <v>164</v>
      </c>
      <c r="D28" s="3" t="n">
        <v>82</v>
      </c>
    </row>
    <row r="29" customFormat="false" ht="15" hidden="false" customHeight="false" outlineLevel="0" collapsed="false">
      <c r="A29" s="3" t="n">
        <v>18</v>
      </c>
      <c r="B29" s="3" t="n">
        <v>1308</v>
      </c>
      <c r="C29" s="3" t="n">
        <v>170</v>
      </c>
      <c r="D29" s="3" t="n">
        <v>84</v>
      </c>
    </row>
    <row r="30" customFormat="false" ht="15" hidden="false" customHeight="false" outlineLevel="0" collapsed="false">
      <c r="A30" s="3" t="n">
        <v>19</v>
      </c>
      <c r="B30" s="3" t="n">
        <v>1311</v>
      </c>
      <c r="C30" s="3" t="n">
        <v>174</v>
      </c>
      <c r="D30" s="3" t="n">
        <v>85</v>
      </c>
    </row>
    <row r="34" customFormat="false" ht="15" hidden="false" customHeight="false" outlineLevel="0" collapsed="false">
      <c r="A34" s="1" t="s">
        <v>138</v>
      </c>
      <c r="B34" s="1" t="s">
        <v>1614</v>
      </c>
    </row>
    <row r="35" customFormat="false" ht="15" hidden="false" customHeight="false" outlineLevel="0" collapsed="false">
      <c r="A35" s="3" t="n">
        <v>510</v>
      </c>
      <c r="B35" s="3" t="n">
        <v>0.8084</v>
      </c>
    </row>
    <row r="36" customFormat="false" ht="15" hidden="false" customHeight="false" outlineLevel="0" collapsed="false">
      <c r="A36" s="3" t="n">
        <v>525</v>
      </c>
      <c r="B36" s="3" t="n">
        <v>0.5581</v>
      </c>
    </row>
    <row r="37" customFormat="false" ht="15" hidden="false" customHeight="false" outlineLevel="0" collapsed="false">
      <c r="A37" s="3" t="n">
        <v>509</v>
      </c>
      <c r="B37" s="3" t="n">
        <v>0.7012</v>
      </c>
    </row>
    <row r="38" customFormat="false" ht="15" hidden="false" customHeight="false" outlineLevel="0" collapsed="false">
      <c r="A38" s="3" t="n">
        <v>420</v>
      </c>
      <c r="B38" s="3" t="n">
        <v>0.6462</v>
      </c>
    </row>
    <row r="39" customFormat="false" ht="15" hidden="false" customHeight="false" outlineLevel="0" collapsed="false">
      <c r="A39" s="3" t="n">
        <v>525</v>
      </c>
      <c r="B39" s="3" t="n">
        <v>0.7941</v>
      </c>
    </row>
    <row r="40" customFormat="false" ht="15" hidden="false" customHeight="false" outlineLevel="0" collapsed="false">
      <c r="A40" s="3" t="n">
        <v>210</v>
      </c>
      <c r="B40" s="3" t="n">
        <v>0.5948</v>
      </c>
    </row>
    <row r="41" customFormat="false" ht="15" hidden="false" customHeight="false" outlineLevel="0" collapsed="false">
      <c r="A41" s="3" t="n">
        <v>290</v>
      </c>
      <c r="B41" s="3" t="n">
        <v>0.607</v>
      </c>
    </row>
    <row r="42" customFormat="false" ht="15" hidden="false" customHeight="false" outlineLevel="0" collapsed="false">
      <c r="A42" s="3" t="n">
        <v>460</v>
      </c>
      <c r="B42" s="3" t="n">
        <v>0.6881</v>
      </c>
    </row>
    <row r="43" customFormat="false" ht="15" hidden="false" customHeight="false" outlineLevel="0" collapsed="false">
      <c r="A43" s="3" t="n">
        <v>341</v>
      </c>
      <c r="B43" s="3" t="n">
        <v>0.6383</v>
      </c>
    </row>
    <row r="44" customFormat="false" ht="15" hidden="false" customHeight="false" outlineLevel="0" collapsed="false">
      <c r="A44" s="3" t="n">
        <v>314</v>
      </c>
      <c r="B44" s="3" t="n">
        <v>0.5716</v>
      </c>
    </row>
    <row r="45" customFormat="false" ht="15" hidden="false" customHeight="false" outlineLevel="0" collapsed="false">
      <c r="A45" s="3" t="n">
        <v>270</v>
      </c>
      <c r="B45" s="3" t="n">
        <v>0.5072</v>
      </c>
    </row>
    <row r="46" customFormat="false" ht="15" hidden="false" customHeight="false" outlineLevel="0" collapsed="false">
      <c r="A46" s="3" t="n">
        <v>534</v>
      </c>
      <c r="B46" s="3" t="n">
        <v>0.7257</v>
      </c>
    </row>
    <row r="47" customFormat="false" ht="15" hidden="false" customHeight="false" outlineLevel="0" collapsed="false">
      <c r="A47" s="3" t="n">
        <v>213</v>
      </c>
      <c r="B47" s="3" t="n">
        <v>0.1753</v>
      </c>
    </row>
    <row r="48" customFormat="false" ht="15" hidden="false" customHeight="false" outlineLevel="0" collapsed="false">
      <c r="A48" s="3" t="n">
        <v>530</v>
      </c>
      <c r="B48" s="3" t="n">
        <v>0.7249</v>
      </c>
    </row>
    <row r="49" customFormat="false" ht="15" hidden="false" customHeight="false" outlineLevel="0" collapsed="false">
      <c r="A49" s="3" t="n">
        <v>411</v>
      </c>
      <c r="B49" s="3" t="n">
        <v>0.6146</v>
      </c>
    </row>
    <row r="50" customFormat="false" ht="15" hidden="false" customHeight="false" outlineLevel="0" collapsed="false">
      <c r="A50" s="3" t="n">
        <v>635</v>
      </c>
      <c r="B50" s="3" t="n">
        <v>0.7427</v>
      </c>
    </row>
    <row r="51" customFormat="false" ht="15" hidden="false" customHeight="false" outlineLevel="0" collapsed="false">
      <c r="A51" s="3" t="n">
        <v>330</v>
      </c>
      <c r="B51" s="3" t="n">
        <v>0.607</v>
      </c>
    </row>
    <row r="52" customFormat="false" ht="15" hidden="false" customHeight="false" outlineLevel="0" collapsed="false">
      <c r="A52" s="3" t="n">
        <v>213</v>
      </c>
      <c r="B52" s="3" t="n">
        <v>0.1753</v>
      </c>
    </row>
    <row r="53" customFormat="false" ht="15" hidden="false" customHeight="false" outlineLevel="0" collapsed="false">
      <c r="A53" s="3" t="n">
        <v>490</v>
      </c>
      <c r="B53" s="3" t="n">
        <v>0.7424</v>
      </c>
    </row>
    <row r="54" customFormat="false" ht="15" hidden="false" customHeight="false" outlineLevel="0" collapsed="false">
      <c r="A54" s="3" t="n">
        <v>405</v>
      </c>
      <c r="B54" s="3" t="n">
        <v>0.8236</v>
      </c>
    </row>
    <row r="55" customFormat="false" ht="15" hidden="false" customHeight="false" outlineLevel="0" collapsed="false">
      <c r="A55" s="3" t="n">
        <v>455</v>
      </c>
      <c r="B55" s="3" t="n">
        <v>0.564</v>
      </c>
    </row>
    <row r="56" customFormat="false" ht="15" hidden="false" customHeight="false" outlineLevel="0" collapsed="false">
      <c r="A56" s="3" t="n">
        <v>245</v>
      </c>
      <c r="B56" s="3" t="n">
        <v>0.5115</v>
      </c>
    </row>
    <row r="57" customFormat="false" ht="15" hidden="false" customHeight="false" outlineLevel="0" collapsed="false">
      <c r="A57" s="3" t="n">
        <v>490</v>
      </c>
      <c r="B57" s="3" t="n">
        <v>0.779</v>
      </c>
    </row>
    <row r="58" customFormat="false" ht="15" hidden="false" customHeight="false" outlineLevel="0" collapsed="false">
      <c r="A58" s="3" t="n">
        <v>350</v>
      </c>
      <c r="B58" s="3" t="n">
        <v>0.6014</v>
      </c>
    </row>
    <row r="59" customFormat="false" ht="15" hidden="false" customHeight="false" outlineLevel="0" collapsed="false">
      <c r="A59" s="3" t="n">
        <v>305</v>
      </c>
      <c r="B59" s="3" t="n">
        <v>0.4773</v>
      </c>
    </row>
    <row r="60" customFormat="false" ht="15" hidden="false" customHeight="false" outlineLevel="0" collapsed="false">
      <c r="A60" s="3" t="n">
        <v>440</v>
      </c>
      <c r="B60" s="3" t="n">
        <v>0.6535</v>
      </c>
    </row>
    <row r="61" customFormat="false" ht="15" hidden="false" customHeight="false" outlineLevel="0" collapsed="false">
      <c r="A61" s="3" t="n">
        <v>350</v>
      </c>
      <c r="B61" s="3" t="n">
        <v>0.6074</v>
      </c>
    </row>
    <row r="62" customFormat="false" ht="15" hidden="false" customHeight="false" outlineLevel="0" collapsed="false">
      <c r="A62" s="3" t="n">
        <v>240</v>
      </c>
      <c r="B62" s="3" t="n">
        <v>0.5169</v>
      </c>
    </row>
    <row r="63" customFormat="false" ht="15" hidden="false" customHeight="false" outlineLevel="0" collapsed="false">
      <c r="A63" s="3" t="n">
        <v>570</v>
      </c>
      <c r="B63" s="3" t="n">
        <v>0.8478</v>
      </c>
    </row>
    <row r="64" customFormat="false" ht="15" hidden="false" customHeight="false" outlineLevel="0" collapsed="false">
      <c r="A64" s="3" t="n">
        <v>400</v>
      </c>
      <c r="B64" s="3" t="n">
        <v>0.3798</v>
      </c>
    </row>
    <row r="65" customFormat="false" ht="15" hidden="false" customHeight="false" outlineLevel="0" collapsed="false">
      <c r="A65" s="3" t="n">
        <v>384</v>
      </c>
      <c r="B65" s="3" t="n">
        <v>0.3676</v>
      </c>
    </row>
    <row r="66" customFormat="false" ht="15" hidden="false" customHeight="false" outlineLevel="0" collapsed="false">
      <c r="A66" s="3" t="n">
        <v>265</v>
      </c>
      <c r="B66" s="3" t="n">
        <v>0.7926</v>
      </c>
    </row>
    <row r="67" customFormat="false" ht="15" hidden="false" customHeight="false" outlineLevel="0" collapsed="false">
      <c r="A67" s="3" t="n">
        <v>213</v>
      </c>
      <c r="B67" s="3" t="n">
        <v>0.1753</v>
      </c>
    </row>
    <row r="68" customFormat="false" ht="15" hidden="false" customHeight="false" outlineLevel="0" collapsed="false">
      <c r="A68" s="3" t="n">
        <v>360</v>
      </c>
      <c r="B68" s="3" t="n">
        <v>0.6101</v>
      </c>
    </row>
    <row r="69" customFormat="false" ht="15" hidden="false" customHeight="false" outlineLevel="0" collapsed="false">
      <c r="A69" s="3" t="n">
        <v>495</v>
      </c>
      <c r="B69" s="3" t="n">
        <v>0.6163</v>
      </c>
    </row>
    <row r="70" customFormat="false" ht="15" hidden="false" customHeight="false" outlineLevel="0" collapsed="false">
      <c r="A70" s="3" t="n">
        <v>435</v>
      </c>
      <c r="B70" s="3" t="n">
        <v>0.7944</v>
      </c>
    </row>
    <row r="71" customFormat="false" ht="15" hidden="false" customHeight="false" outlineLevel="0" collapsed="false">
      <c r="A71" s="3" t="n">
        <v>494</v>
      </c>
      <c r="B71" s="3" t="n">
        <v>0.6438</v>
      </c>
    </row>
    <row r="72" customFormat="false" ht="15" hidden="false" customHeight="false" outlineLevel="0" collapsed="false">
      <c r="A72" s="3" t="n">
        <v>580</v>
      </c>
      <c r="B72" s="3" t="n">
        <v>0.8238</v>
      </c>
    </row>
    <row r="73" customFormat="false" ht="15" hidden="false" customHeight="false" outlineLevel="0" collapsed="false">
      <c r="A73" s="3" t="n">
        <v>495</v>
      </c>
      <c r="B73" s="3" t="n">
        <v>0.6163</v>
      </c>
    </row>
    <row r="74" customFormat="false" ht="15" hidden="false" customHeight="false" outlineLevel="0" collapsed="false">
      <c r="A74" s="3" t="n">
        <v>495</v>
      </c>
      <c r="B74" s="3" t="n">
        <v>0.7873</v>
      </c>
    </row>
    <row r="75" customFormat="false" ht="15" hidden="false" customHeight="false" outlineLevel="0" collapsed="false">
      <c r="A75" s="3" t="n">
        <v>490</v>
      </c>
      <c r="B75" s="3" t="n">
        <v>0.7443</v>
      </c>
    </row>
    <row r="76" customFormat="false" ht="15" hidden="false" customHeight="false" outlineLevel="0" collapsed="false">
      <c r="A76" s="3" t="n">
        <v>534</v>
      </c>
      <c r="B76" s="3" t="n">
        <v>0.7123</v>
      </c>
    </row>
    <row r="77" customFormat="false" ht="15" hidden="false" customHeight="false" outlineLevel="0" collapsed="false">
      <c r="A77" s="3" t="n">
        <v>500</v>
      </c>
      <c r="B77" s="3" t="n">
        <v>0.6857</v>
      </c>
    </row>
    <row r="78" customFormat="false" ht="15" hidden="false" customHeight="false" outlineLevel="0" collapsed="false">
      <c r="A78" s="3" t="n">
        <v>420</v>
      </c>
      <c r="B78" s="3" t="n">
        <v>0.6718</v>
      </c>
    </row>
    <row r="79" customFormat="false" ht="15" hidden="false" customHeight="false" outlineLevel="0" collapsed="false">
      <c r="A79" s="3" t="n">
        <v>410</v>
      </c>
      <c r="B79" s="3" t="n">
        <v>0.5544</v>
      </c>
    </row>
    <row r="80" customFormat="false" ht="15" hidden="false" customHeight="false" outlineLevel="0" collapsed="false">
      <c r="A80" s="3" t="n">
        <v>428</v>
      </c>
      <c r="B80" s="3" t="n">
        <v>0.8165</v>
      </c>
    </row>
    <row r="81" customFormat="false" ht="15" hidden="false" customHeight="false" outlineLevel="0" collapsed="false">
      <c r="A81" s="3" t="n">
        <v>525</v>
      </c>
      <c r="B81" s="3" t="n">
        <v>0.7285</v>
      </c>
    </row>
    <row r="82" customFormat="false" ht="15" hidden="false" customHeight="false" outlineLevel="0" collapsed="false">
      <c r="A82" s="3" t="n">
        <v>570</v>
      </c>
      <c r="B82" s="3" t="n">
        <v>0.7491</v>
      </c>
    </row>
    <row r="83" customFormat="false" ht="15" hidden="false" customHeight="false" outlineLevel="0" collapsed="false">
      <c r="A83" s="3" t="n">
        <v>480</v>
      </c>
      <c r="B83" s="3" t="n">
        <v>0.6222</v>
      </c>
    </row>
    <row r="84" customFormat="false" ht="15" hidden="false" customHeight="false" outlineLevel="0" collapsed="false">
      <c r="A84" s="3" t="n">
        <v>670</v>
      </c>
      <c r="B84" s="3" t="n">
        <v>0.645</v>
      </c>
    </row>
    <row r="85" customFormat="false" ht="15" hidden="false" customHeight="false" outlineLevel="0" collapsed="false">
      <c r="A85" s="3" t="n">
        <v>334</v>
      </c>
      <c r="B85" s="3" t="n">
        <v>0.8054</v>
      </c>
    </row>
    <row r="86" customFormat="false" ht="15" hidden="false" customHeight="false" outlineLevel="0" collapsed="false">
      <c r="A86" s="3" t="n">
        <v>295</v>
      </c>
      <c r="B86" s="3" t="n">
        <v>0.7315</v>
      </c>
    </row>
    <row r="87" customFormat="false" ht="15" hidden="false" customHeight="false" outlineLevel="0" collapsed="false">
      <c r="A87" s="3" t="n">
        <v>320</v>
      </c>
      <c r="B87" s="3" t="n">
        <v>0.6277</v>
      </c>
    </row>
    <row r="88" customFormat="false" ht="15" hidden="false" customHeight="false" outlineLevel="0" collapsed="false">
      <c r="A88" s="3" t="n">
        <v>520</v>
      </c>
      <c r="B88" s="3" t="n">
        <v>0.5668</v>
      </c>
    </row>
    <row r="89" customFormat="false" ht="15" hidden="false" customHeight="false" outlineLevel="0" collapsed="false">
      <c r="A89" s="3" t="n">
        <v>340</v>
      </c>
      <c r="B89" s="3" t="n">
        <v>0.6732</v>
      </c>
    </row>
    <row r="90" customFormat="false" ht="15" hidden="false" customHeight="false" outlineLevel="0" collapsed="false">
      <c r="A90" s="3" t="n">
        <v>495</v>
      </c>
      <c r="B90" s="3" t="n">
        <v>0.6163</v>
      </c>
    </row>
    <row r="91" customFormat="false" ht="15" hidden="false" customHeight="false" outlineLevel="0" collapsed="false">
      <c r="A91" s="3" t="n">
        <v>600</v>
      </c>
      <c r="B91" s="3" t="n">
        <v>0.6933</v>
      </c>
    </row>
    <row r="92" customFormat="false" ht="15" hidden="false" customHeight="false" outlineLevel="0" collapsed="false">
      <c r="A92" s="3" t="n">
        <v>420</v>
      </c>
      <c r="B92" s="3" t="n">
        <v>0.6517</v>
      </c>
    </row>
    <row r="93" customFormat="false" ht="15" hidden="false" customHeight="false" outlineLevel="0" collapsed="false">
      <c r="A93" s="3" t="n">
        <v>500</v>
      </c>
      <c r="B93" s="3" t="n">
        <v>0.7322</v>
      </c>
    </row>
    <row r="94" customFormat="false" ht="15" hidden="false" customHeight="false" outlineLevel="0" collapsed="false">
      <c r="A94" s="3" t="n">
        <v>218</v>
      </c>
      <c r="B94" s="3" t="n">
        <v>0.7289</v>
      </c>
    </row>
    <row r="95" customFormat="false" ht="15" hidden="false" customHeight="false" outlineLevel="0" collapsed="false">
      <c r="A95" s="3" t="n">
        <v>410</v>
      </c>
      <c r="B95" s="3" t="n">
        <v>0.6292</v>
      </c>
    </row>
    <row r="96" customFormat="false" ht="15" hidden="false" customHeight="false" outlineLevel="0" collapsed="false">
      <c r="A96" s="3" t="n">
        <v>340</v>
      </c>
      <c r="B96" s="3" t="n">
        <v>0.4466</v>
      </c>
    </row>
    <row r="97" customFormat="false" ht="15" hidden="false" customHeight="false" outlineLevel="0" collapsed="false">
      <c r="A97" s="3" t="n">
        <v>525</v>
      </c>
      <c r="B97" s="3" t="n">
        <v>0.6991</v>
      </c>
    </row>
    <row r="98" customFormat="false" ht="15" hidden="false" customHeight="false" outlineLevel="0" collapsed="false">
      <c r="A98" s="3" t="n">
        <v>262</v>
      </c>
      <c r="B98" s="3" t="n">
        <v>0.6045</v>
      </c>
    </row>
    <row r="99" customFormat="false" ht="15" hidden="false" customHeight="false" outlineLevel="0" collapsed="false">
      <c r="A99" s="3" t="n">
        <v>600</v>
      </c>
      <c r="B99" s="3" t="n">
        <v>0.7143</v>
      </c>
    </row>
    <row r="100" customFormat="false" ht="15" hidden="false" customHeight="false" outlineLevel="0" collapsed="false">
      <c r="A100" s="3" t="n">
        <v>380</v>
      </c>
      <c r="B100" s="3" t="n">
        <v>0.6473</v>
      </c>
    </row>
    <row r="101" customFormat="false" ht="15" hidden="false" customHeight="false" outlineLevel="0" collapsed="false">
      <c r="A101" s="3" t="n">
        <v>289</v>
      </c>
      <c r="B101" s="3" t="n">
        <v>0.809</v>
      </c>
    </row>
    <row r="102" customFormat="false" ht="15" hidden="false" customHeight="false" outlineLevel="0" collapsed="false">
      <c r="A102" s="3" t="n">
        <v>420</v>
      </c>
      <c r="B102" s="3" t="n">
        <v>0.4767</v>
      </c>
    </row>
    <row r="103" customFormat="false" ht="15" hidden="false" customHeight="false" outlineLevel="0" collapsed="false">
      <c r="A103" s="3" t="n">
        <v>237</v>
      </c>
      <c r="B103" s="3" t="n">
        <v>0.6931</v>
      </c>
    </row>
    <row r="104" customFormat="false" ht="15" hidden="false" customHeight="false" outlineLevel="0" collapsed="false">
      <c r="A104" s="3" t="n">
        <v>411</v>
      </c>
      <c r="B104" s="3" t="n">
        <v>0.6146</v>
      </c>
    </row>
    <row r="105" customFormat="false" ht="15" hidden="false" customHeight="false" outlineLevel="0" collapsed="false">
      <c r="A105" s="3" t="n">
        <v>495</v>
      </c>
      <c r="B105" s="3" t="n">
        <v>0.877</v>
      </c>
    </row>
    <row r="106" customFormat="false" ht="15" hidden="false" customHeight="false" outlineLevel="0" collapsed="false">
      <c r="A106" s="3" t="n">
        <v>421</v>
      </c>
      <c r="B106" s="3" t="n">
        <v>0.6396</v>
      </c>
    </row>
    <row r="107" customFormat="false" ht="15" hidden="false" customHeight="false" outlineLevel="0" collapsed="false">
      <c r="A107" s="3" t="n">
        <v>417</v>
      </c>
      <c r="B107" s="3" t="n">
        <v>0.7826</v>
      </c>
    </row>
    <row r="108" customFormat="false" ht="15" hidden="false" customHeight="false" outlineLevel="0" collapsed="false">
      <c r="A108" s="3" t="n">
        <v>411</v>
      </c>
      <c r="B108" s="3" t="n">
        <v>0.6146</v>
      </c>
    </row>
    <row r="109" customFormat="false" ht="15" hidden="false" customHeight="false" outlineLevel="0" collapsed="false">
      <c r="A109" s="3" t="n">
        <v>495</v>
      </c>
      <c r="B109" s="3" t="n">
        <v>0.6163</v>
      </c>
    </row>
    <row r="110" customFormat="false" ht="15" hidden="false" customHeight="false" outlineLevel="0" collapsed="false">
      <c r="A110" s="3" t="n">
        <v>600</v>
      </c>
      <c r="B110" s="3" t="n">
        <v>0.7399</v>
      </c>
    </row>
    <row r="111" customFormat="false" ht="15" hidden="false" customHeight="false" outlineLevel="0" collapsed="false">
      <c r="A111" s="3" t="n">
        <v>335</v>
      </c>
      <c r="B111" s="3" t="n">
        <v>0.6874</v>
      </c>
    </row>
    <row r="112" customFormat="false" ht="15" hidden="false" customHeight="false" outlineLevel="0" collapsed="false">
      <c r="A112" s="3" t="n">
        <v>195</v>
      </c>
      <c r="B112" s="3" t="n">
        <v>0.3318</v>
      </c>
    </row>
    <row r="113" customFormat="false" ht="15" hidden="false" customHeight="false" outlineLevel="0" collapsed="false">
      <c r="A113" s="3" t="n">
        <v>525</v>
      </c>
      <c r="B113" s="3" t="n">
        <v>0.7555</v>
      </c>
    </row>
    <row r="114" customFormat="false" ht="15" hidden="false" customHeight="false" outlineLevel="0" collapsed="false">
      <c r="A114" s="3" t="n">
        <v>620</v>
      </c>
      <c r="B114" s="3" t="n">
        <v>0.9185</v>
      </c>
    </row>
    <row r="115" customFormat="false" ht="15" hidden="false" customHeight="false" outlineLevel="0" collapsed="false">
      <c r="A115" s="3" t="n">
        <v>428</v>
      </c>
      <c r="B115" s="3" t="n">
        <v>0.7811</v>
      </c>
    </row>
    <row r="116" customFormat="false" ht="15" hidden="false" customHeight="false" outlineLevel="0" collapsed="false">
      <c r="A116" s="3" t="n">
        <v>420</v>
      </c>
      <c r="B116" s="3" t="n">
        <v>0.5502</v>
      </c>
    </row>
    <row r="117" customFormat="false" ht="15" hidden="false" customHeight="false" outlineLevel="0" collapsed="false">
      <c r="A117" s="3" t="n">
        <v>371</v>
      </c>
      <c r="B117" s="3" t="n">
        <v>0.7557</v>
      </c>
    </row>
    <row r="118" customFormat="false" ht="15" hidden="false" customHeight="false" outlineLevel="0" collapsed="false">
      <c r="A118" s="3" t="n">
        <v>630</v>
      </c>
      <c r="B118" s="3" t="n">
        <v>0.7516</v>
      </c>
    </row>
    <row r="119" customFormat="false" ht="15" hidden="false" customHeight="false" outlineLevel="0" collapsed="false">
      <c r="A119" s="3" t="n">
        <v>470</v>
      </c>
      <c r="B119" s="3" t="n">
        <v>0.708</v>
      </c>
    </row>
    <row r="120" customFormat="false" ht="15" hidden="false" customHeight="false" outlineLevel="0" collapsed="false">
      <c r="A120" s="3" t="n">
        <v>515</v>
      </c>
      <c r="B120" s="3" t="n">
        <v>0.9295</v>
      </c>
    </row>
    <row r="121" customFormat="false" ht="15" hidden="false" customHeight="false" outlineLevel="0" collapsed="false">
      <c r="A121" s="3" t="n">
        <v>500</v>
      </c>
      <c r="B121" s="3" t="n">
        <v>0.7256</v>
      </c>
    </row>
    <row r="122" customFormat="false" ht="15" hidden="false" customHeight="false" outlineLevel="0" collapsed="false">
      <c r="A122" s="3" t="n">
        <v>200</v>
      </c>
      <c r="B122" s="3" t="n">
        <v>0.3082</v>
      </c>
    </row>
    <row r="123" customFormat="false" ht="15" hidden="false" customHeight="false" outlineLevel="0" collapsed="false">
      <c r="A123" s="3" t="n">
        <v>455</v>
      </c>
      <c r="B123" s="3" t="n">
        <v>0.7245</v>
      </c>
    </row>
    <row r="124" customFormat="false" ht="15" hidden="false" customHeight="false" outlineLevel="0" collapsed="false">
      <c r="A124" s="3" t="n">
        <v>625</v>
      </c>
      <c r="B124" s="3" t="n">
        <v>0.7259</v>
      </c>
    </row>
    <row r="125" customFormat="false" ht="15" hidden="false" customHeight="false" outlineLevel="0" collapsed="false">
      <c r="A125" s="3" t="n">
        <v>500</v>
      </c>
      <c r="B125" s="3" t="n">
        <v>0.8048</v>
      </c>
    </row>
    <row r="126" customFormat="false" ht="15" hidden="false" customHeight="false" outlineLevel="0" collapsed="false">
      <c r="A126" s="3" t="n">
        <v>330</v>
      </c>
      <c r="B126" s="3" t="n">
        <v>0.5678</v>
      </c>
    </row>
    <row r="127" customFormat="false" ht="15" hidden="false" customHeight="false" outlineLevel="0" collapsed="false">
      <c r="A127" s="3" t="n">
        <v>224</v>
      </c>
      <c r="B127" s="3" t="n">
        <v>0.2937</v>
      </c>
    </row>
    <row r="128" customFormat="false" ht="15" hidden="false" customHeight="false" outlineLevel="0" collapsed="false">
      <c r="A128" s="3" t="n">
        <v>628</v>
      </c>
      <c r="B128" s="3" t="n">
        <v>0.7274</v>
      </c>
    </row>
    <row r="129" customFormat="false" ht="15" hidden="false" customHeight="false" outlineLevel="0" collapsed="false">
      <c r="A129" s="3" t="n">
        <v>495</v>
      </c>
      <c r="B129" s="3" t="n">
        <v>0.6163</v>
      </c>
    </row>
    <row r="130" customFormat="false" ht="15" hidden="false" customHeight="false" outlineLevel="0" collapsed="false">
      <c r="A130" s="3" t="n">
        <v>405</v>
      </c>
      <c r="B130" s="3" t="n">
        <v>0.5691</v>
      </c>
    </row>
    <row r="131" customFormat="false" ht="15" hidden="false" customHeight="false" outlineLevel="0" collapsed="false">
      <c r="A131" s="3" t="n">
        <v>304</v>
      </c>
      <c r="B131" s="3" t="n">
        <v>0.6588</v>
      </c>
    </row>
    <row r="132" customFormat="false" ht="15" hidden="false" customHeight="false" outlineLevel="0" collapsed="false">
      <c r="A132" s="3" t="n">
        <v>390</v>
      </c>
      <c r="B132" s="3" t="n">
        <v>0.7803</v>
      </c>
    </row>
    <row r="133" customFormat="false" ht="15" hidden="false" customHeight="false" outlineLevel="0" collapsed="false">
      <c r="A133" s="3" t="n">
        <v>535</v>
      </c>
      <c r="B133" s="3" t="n">
        <v>0.6411</v>
      </c>
    </row>
    <row r="134" customFormat="false" ht="15" hidden="false" customHeight="false" outlineLevel="0" collapsed="false">
      <c r="A134" s="3" t="n">
        <v>490</v>
      </c>
      <c r="B134" s="3" t="n">
        <v>0.6481</v>
      </c>
    </row>
    <row r="135" customFormat="false" ht="15" hidden="false" customHeight="false" outlineLevel="0" collapsed="false">
      <c r="A135" s="3" t="n">
        <v>269</v>
      </c>
      <c r="B135" s="3" t="n">
        <v>0.793</v>
      </c>
    </row>
    <row r="136" customFormat="false" ht="15" hidden="false" customHeight="false" outlineLevel="0" collapsed="false">
      <c r="A136" s="3" t="n">
        <v>306</v>
      </c>
      <c r="B136" s="3" t="n">
        <v>0.6057</v>
      </c>
    </row>
    <row r="137" customFormat="false" ht="15" hidden="false" customHeight="false" outlineLevel="0" collapsed="false">
      <c r="A137" s="3" t="n">
        <v>250</v>
      </c>
      <c r="B137" s="3" t="n">
        <v>0.6031</v>
      </c>
    </row>
    <row r="138" customFormat="false" ht="15" hidden="false" customHeight="false" outlineLevel="0" collapsed="false">
      <c r="A138" s="3" t="n">
        <v>454</v>
      </c>
      <c r="B138" s="3" t="n">
        <v>0.6852</v>
      </c>
    </row>
    <row r="139" customFormat="false" ht="15" hidden="false" customHeight="false" outlineLevel="0" collapsed="false">
      <c r="A139" s="3" t="n">
        <v>555</v>
      </c>
      <c r="B139" s="3" t="n">
        <v>0.649</v>
      </c>
    </row>
    <row r="140" customFormat="false" ht="15" hidden="false" customHeight="false" outlineLevel="0" collapsed="false">
      <c r="A140" s="3" t="n">
        <v>634</v>
      </c>
      <c r="B140" s="3" t="n">
        <v>0.7507</v>
      </c>
    </row>
    <row r="141" customFormat="false" ht="15" hidden="false" customHeight="false" outlineLevel="0" collapsed="false">
      <c r="A141" s="3" t="n">
        <v>200</v>
      </c>
      <c r="B141" s="3" t="n">
        <v>0.4624</v>
      </c>
    </row>
    <row r="142" customFormat="false" ht="15" hidden="false" customHeight="false" outlineLevel="0" collapsed="false">
      <c r="A142" s="3" t="n">
        <v>600</v>
      </c>
      <c r="B142" s="3" t="n">
        <v>0.6267</v>
      </c>
    </row>
    <row r="143" customFormat="false" ht="15" hidden="false" customHeight="false" outlineLevel="0" collapsed="false">
      <c r="A143" s="3" t="n">
        <v>240</v>
      </c>
      <c r="B143" s="3" t="n">
        <v>0.7325</v>
      </c>
    </row>
    <row r="144" customFormat="false" ht="15" hidden="false" customHeight="false" outlineLevel="0" collapsed="false">
      <c r="A144" s="3" t="n">
        <v>534</v>
      </c>
      <c r="B144" s="3" t="n">
        <v>0.5893</v>
      </c>
    </row>
    <row r="145" customFormat="false" ht="15" hidden="false" customHeight="false" outlineLevel="0" collapsed="false">
      <c r="A145" s="3" t="n">
        <v>500</v>
      </c>
      <c r="B145" s="3" t="n">
        <v>0.8091</v>
      </c>
    </row>
    <row r="146" customFormat="false" ht="15" hidden="false" customHeight="false" outlineLevel="0" collapsed="false">
      <c r="A146" s="3" t="n">
        <v>495</v>
      </c>
      <c r="B146" s="3" t="n">
        <v>0.6163</v>
      </c>
    </row>
    <row r="147" customFormat="false" ht="15" hidden="false" customHeight="false" outlineLevel="0" collapsed="false">
      <c r="A147" s="3" t="n">
        <v>550</v>
      </c>
      <c r="B147" s="3" t="n">
        <v>0.7389</v>
      </c>
    </row>
    <row r="148" customFormat="false" ht="15" hidden="false" customHeight="false" outlineLevel="0" collapsed="false">
      <c r="A148" s="3" t="n">
        <v>410</v>
      </c>
      <c r="B148" s="3" t="n">
        <v>0.7586</v>
      </c>
    </row>
    <row r="149" customFormat="false" ht="15" hidden="false" customHeight="false" outlineLevel="0" collapsed="false">
      <c r="A149" s="3" t="n">
        <v>500</v>
      </c>
      <c r="B149" s="3" t="n">
        <v>0.679</v>
      </c>
    </row>
    <row r="150" customFormat="false" ht="15" hidden="false" customHeight="false" outlineLevel="0" collapsed="false">
      <c r="A150" s="3" t="n">
        <v>580</v>
      </c>
      <c r="B150" s="3" t="n">
        <v>0.8238</v>
      </c>
    </row>
    <row r="151" customFormat="false" ht="15" hidden="false" customHeight="false" outlineLevel="0" collapsed="false">
      <c r="A151" s="3" t="n">
        <v>480</v>
      </c>
      <c r="B151" s="3" t="n">
        <v>0.5941</v>
      </c>
    </row>
    <row r="152" customFormat="false" ht="15" hidden="false" customHeight="false" outlineLevel="0" collapsed="false">
      <c r="A152" s="3" t="n">
        <v>490</v>
      </c>
      <c r="B152" s="3" t="n">
        <v>0.7522</v>
      </c>
    </row>
    <row r="153" customFormat="false" ht="15" hidden="false" customHeight="false" outlineLevel="0" collapsed="false">
      <c r="A153" s="3" t="n">
        <v>510</v>
      </c>
      <c r="B153" s="3" t="n">
        <v>0.6295</v>
      </c>
    </row>
    <row r="154" customFormat="false" ht="15" hidden="false" customHeight="false" outlineLevel="0" collapsed="false">
      <c r="A154" s="3" t="n">
        <v>600</v>
      </c>
      <c r="B154" s="3" t="n">
        <v>0.8116</v>
      </c>
    </row>
    <row r="155" customFormat="false" ht="15" hidden="false" customHeight="false" outlineLevel="0" collapsed="false">
      <c r="A155" s="3" t="n">
        <v>487</v>
      </c>
      <c r="B155" s="3" t="n">
        <v>0.7537</v>
      </c>
    </row>
    <row r="156" customFormat="false" ht="15" hidden="false" customHeight="false" outlineLevel="0" collapsed="false">
      <c r="A156" s="3" t="n">
        <v>245</v>
      </c>
      <c r="B156" s="3" t="n">
        <v>0.5162</v>
      </c>
    </row>
    <row r="157" customFormat="false" ht="15" hidden="false" customHeight="false" outlineLevel="0" collapsed="false">
      <c r="A157" s="3" t="n">
        <v>205</v>
      </c>
      <c r="B157" s="3" t="n">
        <v>0.1819</v>
      </c>
    </row>
    <row r="158" customFormat="false" ht="15" hidden="false" customHeight="false" outlineLevel="0" collapsed="false">
      <c r="A158" s="3" t="n">
        <v>491</v>
      </c>
      <c r="B158" s="3" t="n">
        <v>0.9169</v>
      </c>
    </row>
    <row r="159" customFormat="false" ht="15" hidden="false" customHeight="false" outlineLevel="0" collapsed="false">
      <c r="A159" s="3" t="n">
        <v>495</v>
      </c>
      <c r="B159" s="3" t="n">
        <v>0.6163</v>
      </c>
    </row>
    <row r="160" customFormat="false" ht="15" hidden="false" customHeight="false" outlineLevel="0" collapsed="false">
      <c r="A160" s="3" t="n">
        <v>490</v>
      </c>
      <c r="B160" s="3" t="n">
        <v>0.7139</v>
      </c>
    </row>
    <row r="161" customFormat="false" ht="15" hidden="false" customHeight="false" outlineLevel="0" collapsed="false">
      <c r="A161" s="3" t="n">
        <v>330</v>
      </c>
      <c r="B161" s="3" t="n">
        <v>0.5353</v>
      </c>
    </row>
    <row r="162" customFormat="false" ht="15" hidden="false" customHeight="false" outlineLevel="0" collapsed="false">
      <c r="A162" s="3" t="n">
        <v>440</v>
      </c>
      <c r="B162" s="3" t="n">
        <v>0.7178</v>
      </c>
    </row>
    <row r="163" customFormat="false" ht="15" hidden="false" customHeight="false" outlineLevel="0" collapsed="false">
      <c r="A163" s="3" t="n">
        <v>520</v>
      </c>
      <c r="B163" s="3" t="n">
        <v>0.7588</v>
      </c>
    </row>
    <row r="164" customFormat="false" ht="15" hidden="false" customHeight="false" outlineLevel="0" collapsed="false">
      <c r="A164" s="3" t="n">
        <v>700</v>
      </c>
      <c r="B164" s="3" t="n">
        <v>0.6592</v>
      </c>
    </row>
    <row r="165" customFormat="false" ht="15" hidden="false" customHeight="false" outlineLevel="0" collapsed="false">
      <c r="A165" s="3" t="n">
        <v>288</v>
      </c>
      <c r="B165" s="3" t="n">
        <v>0.6052</v>
      </c>
    </row>
    <row r="166" customFormat="false" ht="15" hidden="false" customHeight="false" outlineLevel="0" collapsed="false">
      <c r="A166" s="3" t="n">
        <v>600</v>
      </c>
      <c r="B166" s="3" t="n">
        <v>0.8255</v>
      </c>
    </row>
    <row r="167" customFormat="false" ht="15" hidden="false" customHeight="false" outlineLevel="0" collapsed="false">
      <c r="A167" s="3" t="n">
        <v>490</v>
      </c>
      <c r="B167" s="3" t="n">
        <v>0.5516</v>
      </c>
    </row>
    <row r="168" customFormat="false" ht="15" hidden="false" customHeight="false" outlineLevel="0" collapsed="false">
      <c r="A168" s="3" t="n">
        <v>200</v>
      </c>
      <c r="B168" s="3" t="n">
        <v>0.3082</v>
      </c>
    </row>
    <row r="169" customFormat="false" ht="15" hidden="false" customHeight="false" outlineLevel="0" collapsed="false">
      <c r="A169" s="3" t="n">
        <v>309</v>
      </c>
      <c r="B169" s="3" t="n">
        <v>0.5996</v>
      </c>
    </row>
    <row r="170" customFormat="false" ht="15" hidden="false" customHeight="false" outlineLevel="0" collapsed="false">
      <c r="A170" s="3" t="n">
        <v>314</v>
      </c>
      <c r="B170" s="3" t="n">
        <v>0.7123</v>
      </c>
    </row>
    <row r="171" customFormat="false" ht="15" hidden="false" customHeight="false" outlineLevel="0" collapsed="false">
      <c r="A171" s="3" t="n">
        <v>411</v>
      </c>
      <c r="B171" s="3" t="n">
        <v>0.6146</v>
      </c>
    </row>
    <row r="172" customFormat="false" ht="15" hidden="false" customHeight="false" outlineLevel="0" collapsed="false">
      <c r="A172" s="3" t="n">
        <v>485</v>
      </c>
      <c r="B172" s="3" t="n">
        <v>0.7436</v>
      </c>
    </row>
    <row r="173" customFormat="false" ht="15" hidden="false" customHeight="false" outlineLevel="0" collapsed="false">
      <c r="A173" s="3" t="n">
        <v>290</v>
      </c>
      <c r="B173" s="3" t="n">
        <v>0.7246</v>
      </c>
    </row>
    <row r="174" customFormat="false" ht="15" hidden="false" customHeight="false" outlineLevel="0" collapsed="false">
      <c r="A174" s="3" t="n">
        <v>213</v>
      </c>
      <c r="B174" s="3" t="n">
        <v>0.1753</v>
      </c>
    </row>
    <row r="175" customFormat="false" ht="15" hidden="false" customHeight="false" outlineLevel="0" collapsed="false">
      <c r="A175" s="3" t="n">
        <v>210</v>
      </c>
      <c r="B175" s="3" t="n">
        <v>0.6084</v>
      </c>
    </row>
    <row r="176" customFormat="false" ht="15" hidden="false" customHeight="false" outlineLevel="0" collapsed="false">
      <c r="A176" s="3" t="n">
        <v>475</v>
      </c>
      <c r="B176" s="3" t="n">
        <v>0.9352</v>
      </c>
    </row>
    <row r="177" customFormat="false" ht="15" hidden="false" customHeight="false" outlineLevel="0" collapsed="false">
      <c r="A177" s="3" t="n">
        <v>483</v>
      </c>
      <c r="B177" s="3" t="n">
        <v>0.5613</v>
      </c>
    </row>
    <row r="178" customFormat="false" ht="15" hidden="false" customHeight="false" outlineLevel="0" collapsed="false">
      <c r="A178" s="3" t="n">
        <v>425</v>
      </c>
      <c r="B178" s="3" t="n">
        <v>0.5505</v>
      </c>
    </row>
    <row r="179" customFormat="false" ht="15" hidden="false" customHeight="false" outlineLevel="0" collapsed="false">
      <c r="A179" s="3" t="n">
        <v>510</v>
      </c>
      <c r="B179" s="3" t="n">
        <v>0.9175</v>
      </c>
    </row>
    <row r="180" customFormat="false" ht="15" hidden="false" customHeight="false" outlineLevel="0" collapsed="false">
      <c r="A180" s="3" t="n">
        <v>320</v>
      </c>
      <c r="B180" s="3" t="n">
        <v>0.5458</v>
      </c>
    </row>
    <row r="181" customFormat="false" ht="15" hidden="false" customHeight="false" outlineLevel="0" collapsed="false">
      <c r="A181" s="3" t="n">
        <v>570</v>
      </c>
      <c r="B181" s="3" t="n">
        <v>0.9379</v>
      </c>
    </row>
    <row r="182" customFormat="false" ht="15" hidden="false" customHeight="false" outlineLevel="0" collapsed="false">
      <c r="A182" s="3" t="n">
        <v>590</v>
      </c>
      <c r="B182" s="3" t="n">
        <v>0.9136</v>
      </c>
    </row>
    <row r="183" customFormat="false" ht="15" hidden="false" customHeight="false" outlineLevel="0" collapsed="false">
      <c r="A183" s="3" t="n">
        <v>465</v>
      </c>
      <c r="B183" s="3" t="n">
        <v>0.6442</v>
      </c>
    </row>
    <row r="184" customFormat="false" ht="15" hidden="false" customHeight="false" outlineLevel="0" collapsed="false">
      <c r="A184" s="3" t="n">
        <v>520</v>
      </c>
      <c r="B184" s="3" t="n">
        <v>0.8729</v>
      </c>
    </row>
    <row r="185" customFormat="false" ht="15" hidden="false" customHeight="false" outlineLevel="0" collapsed="false">
      <c r="A185" s="3" t="n">
        <v>300</v>
      </c>
      <c r="B185" s="3" t="n">
        <v>0.5132</v>
      </c>
    </row>
    <row r="186" customFormat="false" ht="15" hidden="false" customHeight="false" outlineLevel="0" collapsed="false">
      <c r="A186" s="3" t="n">
        <v>495</v>
      </c>
      <c r="B186" s="3" t="n">
        <v>0.6163</v>
      </c>
    </row>
    <row r="187" customFormat="false" ht="15" hidden="false" customHeight="false" outlineLevel="0" collapsed="false">
      <c r="A187" s="3" t="n">
        <v>500</v>
      </c>
      <c r="B187" s="3" t="n">
        <v>0.76</v>
      </c>
    </row>
    <row r="188" customFormat="false" ht="15" hidden="false" customHeight="false" outlineLevel="0" collapsed="false">
      <c r="A188" s="3" t="n">
        <v>329</v>
      </c>
      <c r="B188" s="3" t="n">
        <v>0.5365</v>
      </c>
    </row>
    <row r="189" customFormat="false" ht="15" hidden="false" customHeight="false" outlineLevel="0" collapsed="false">
      <c r="A189" s="3" t="n">
        <v>480</v>
      </c>
      <c r="B189" s="3" t="n">
        <v>0.6475</v>
      </c>
    </row>
    <row r="190" customFormat="false" ht="15" hidden="false" customHeight="false" outlineLevel="0" collapsed="false">
      <c r="A190" s="3" t="n">
        <v>430</v>
      </c>
      <c r="B190" s="3" t="n">
        <v>0.6641</v>
      </c>
    </row>
    <row r="191" customFormat="false" ht="15" hidden="false" customHeight="false" outlineLevel="0" collapsed="false">
      <c r="A191" s="3" t="n">
        <v>384</v>
      </c>
      <c r="B191" s="3" t="n">
        <v>0.3676</v>
      </c>
    </row>
    <row r="192" customFormat="false" ht="15" hidden="false" customHeight="false" outlineLevel="0" collapsed="false">
      <c r="A192" s="3" t="n">
        <v>306</v>
      </c>
      <c r="B192" s="3" t="n">
        <v>0.6778</v>
      </c>
    </row>
    <row r="193" customFormat="false" ht="15" hidden="false" customHeight="false" outlineLevel="0" collapsed="false">
      <c r="A193" s="3" t="n">
        <v>365</v>
      </c>
      <c r="B193" s="3" t="n">
        <v>0.56</v>
      </c>
    </row>
    <row r="194" customFormat="false" ht="15" hidden="false" customHeight="false" outlineLevel="0" collapsed="false">
      <c r="A194" s="3" t="n">
        <v>480</v>
      </c>
      <c r="B194" s="3" t="n">
        <v>0.717</v>
      </c>
    </row>
    <row r="195" customFormat="false" ht="15" hidden="false" customHeight="false" outlineLevel="0" collapsed="false">
      <c r="A195" s="3" t="n">
        <v>400</v>
      </c>
      <c r="B195" s="3" t="n">
        <v>0.5418</v>
      </c>
    </row>
    <row r="196" customFormat="false" ht="15" hidden="false" customHeight="false" outlineLevel="0" collapsed="false">
      <c r="A196" s="3" t="n">
        <v>465</v>
      </c>
      <c r="B196" s="3" t="n">
        <v>0.8685</v>
      </c>
    </row>
    <row r="197" customFormat="false" ht="15" hidden="false" customHeight="false" outlineLevel="0" collapsed="false">
      <c r="A197" s="3" t="n">
        <v>430</v>
      </c>
      <c r="B197" s="3" t="n">
        <v>0.7408</v>
      </c>
    </row>
    <row r="198" customFormat="false" ht="15" hidden="false" customHeight="false" outlineLevel="0" collapsed="false">
      <c r="A198" s="3" t="n">
        <v>424</v>
      </c>
      <c r="B198" s="3" t="n">
        <v>0.6293</v>
      </c>
    </row>
    <row r="199" customFormat="false" ht="15" hidden="false" customHeight="false" outlineLevel="0" collapsed="false">
      <c r="A199" s="3" t="n">
        <v>680</v>
      </c>
      <c r="B199" s="3" t="n">
        <v>0.6196</v>
      </c>
    </row>
    <row r="200" customFormat="false" ht="15" hidden="false" customHeight="false" outlineLevel="0" collapsed="false">
      <c r="A200" s="3" t="n">
        <v>535</v>
      </c>
      <c r="B200" s="3" t="n">
        <v>0.7567</v>
      </c>
    </row>
    <row r="201" customFormat="false" ht="15" hidden="false" customHeight="false" outlineLevel="0" collapsed="false">
      <c r="A201" s="3" t="n">
        <v>365</v>
      </c>
      <c r="B201" s="3" t="n">
        <v>0.5339</v>
      </c>
    </row>
    <row r="202" customFormat="false" ht="15" hidden="false" customHeight="false" outlineLevel="0" collapsed="false">
      <c r="A202" s="3" t="n">
        <v>348</v>
      </c>
      <c r="B202" s="3" t="n">
        <v>0.8569</v>
      </c>
    </row>
    <row r="203" customFormat="false" ht="15" hidden="false" customHeight="false" outlineLevel="0" collapsed="false">
      <c r="A203" s="3" t="n">
        <v>480</v>
      </c>
      <c r="B203" s="3" t="n">
        <v>0.8696</v>
      </c>
    </row>
    <row r="204" customFormat="false" ht="15" hidden="false" customHeight="false" outlineLevel="0" collapsed="false">
      <c r="A204" s="3" t="n">
        <v>454</v>
      </c>
      <c r="B204" s="3" t="n">
        <v>0.581</v>
      </c>
    </row>
    <row r="205" customFormat="false" ht="15" hidden="false" customHeight="false" outlineLevel="0" collapsed="false">
      <c r="A205" s="3" t="n">
        <v>395</v>
      </c>
      <c r="B205" s="3" t="n">
        <v>0.6589</v>
      </c>
    </row>
    <row r="206" customFormat="false" ht="15" hidden="false" customHeight="false" outlineLevel="0" collapsed="false">
      <c r="A206" s="3" t="n">
        <v>325</v>
      </c>
      <c r="B206" s="3" t="n">
        <v>0.7926</v>
      </c>
    </row>
    <row r="207" customFormat="false" ht="15" hidden="false" customHeight="false" outlineLevel="0" collapsed="false">
      <c r="A207" s="3" t="n">
        <v>495</v>
      </c>
      <c r="B207" s="3" t="n">
        <v>0.6163</v>
      </c>
    </row>
    <row r="208" customFormat="false" ht="15" hidden="false" customHeight="false" outlineLevel="0" collapsed="false">
      <c r="A208" s="3" t="n">
        <v>520</v>
      </c>
      <c r="B208" s="3" t="n">
        <v>0.7231</v>
      </c>
    </row>
    <row r="209" customFormat="false" ht="15" hidden="false" customHeight="false" outlineLevel="0" collapsed="false">
      <c r="A209" s="3" t="n">
        <v>410</v>
      </c>
      <c r="B209" s="3" t="n">
        <v>0.7119</v>
      </c>
    </row>
    <row r="210" customFormat="false" ht="15" hidden="false" customHeight="false" outlineLevel="0" collapsed="false">
      <c r="A210" s="3" t="n">
        <v>303</v>
      </c>
      <c r="B210" s="3" t="n">
        <v>0.7335</v>
      </c>
    </row>
    <row r="211" customFormat="false" ht="15" hidden="false" customHeight="false" outlineLevel="0" collapsed="false">
      <c r="A211" s="3" t="n">
        <v>400</v>
      </c>
      <c r="B211" s="3" t="n">
        <v>0.624</v>
      </c>
    </row>
    <row r="212" customFormat="false" ht="15" hidden="false" customHeight="false" outlineLevel="0" collapsed="false">
      <c r="A212" s="3" t="n">
        <v>305</v>
      </c>
      <c r="B212" s="3" t="n">
        <v>0.8539</v>
      </c>
    </row>
    <row r="213" customFormat="false" ht="15" hidden="false" customHeight="false" outlineLevel="0" collapsed="false">
      <c r="A213" s="3" t="n">
        <v>530</v>
      </c>
      <c r="B213" s="3" t="n">
        <v>0.7381</v>
      </c>
    </row>
    <row r="214" customFormat="false" ht="15" hidden="false" customHeight="false" outlineLevel="0" collapsed="false">
      <c r="A214" s="3" t="n">
        <v>600</v>
      </c>
      <c r="B214" s="3" t="n">
        <v>0.6599</v>
      </c>
    </row>
    <row r="215" customFormat="false" ht="15" hidden="false" customHeight="false" outlineLevel="0" collapsed="false">
      <c r="A215" s="3" t="n">
        <v>600</v>
      </c>
      <c r="B215" s="3" t="n">
        <v>0.726</v>
      </c>
    </row>
    <row r="216" customFormat="false" ht="15" hidden="false" customHeight="false" outlineLevel="0" collapsed="false">
      <c r="A216" s="3" t="n">
        <v>362</v>
      </c>
      <c r="B216" s="3" t="n">
        <v>0.7652</v>
      </c>
    </row>
    <row r="217" customFormat="false" ht="15" hidden="false" customHeight="false" outlineLevel="0" collapsed="false">
      <c r="A217" s="3" t="n">
        <v>445</v>
      </c>
      <c r="B217" s="3" t="n">
        <v>0.7321</v>
      </c>
    </row>
    <row r="218" customFormat="false" ht="15" hidden="false" customHeight="false" outlineLevel="0" collapsed="false">
      <c r="A218" s="3" t="n">
        <v>485</v>
      </c>
      <c r="B218" s="3" t="n">
        <v>0.6122</v>
      </c>
    </row>
    <row r="219" customFormat="false" ht="15" hidden="false" customHeight="false" outlineLevel="0" collapsed="false">
      <c r="A219" s="3" t="n">
        <v>575</v>
      </c>
      <c r="B219" s="3" t="n">
        <v>0.7412</v>
      </c>
    </row>
    <row r="220" customFormat="false" ht="15" hidden="false" customHeight="false" outlineLevel="0" collapsed="false">
      <c r="A220" s="3" t="n">
        <v>495</v>
      </c>
      <c r="B220" s="3" t="n">
        <v>0.6163</v>
      </c>
    </row>
    <row r="221" customFormat="false" ht="15" hidden="false" customHeight="false" outlineLevel="0" collapsed="false">
      <c r="A221" s="3" t="n">
        <v>425</v>
      </c>
      <c r="B221" s="3" t="n">
        <v>0.8235</v>
      </c>
    </row>
    <row r="222" customFormat="false" ht="15" hidden="false" customHeight="false" outlineLevel="0" collapsed="false">
      <c r="A222" s="3" t="n">
        <v>484</v>
      </c>
      <c r="B222" s="3" t="n">
        <v>0.7422</v>
      </c>
    </row>
    <row r="223" customFormat="false" ht="15" hidden="false" customHeight="false" outlineLevel="0" collapsed="false">
      <c r="A223" s="3" t="n">
        <v>503</v>
      </c>
      <c r="B223" s="3" t="n">
        <v>0.868</v>
      </c>
    </row>
    <row r="224" customFormat="false" ht="15" hidden="false" customHeight="false" outlineLevel="0" collapsed="false">
      <c r="A224" s="3" t="n">
        <v>505</v>
      </c>
      <c r="B224" s="3" t="n">
        <v>0.689</v>
      </c>
    </row>
    <row r="225" customFormat="false" ht="15" hidden="false" customHeight="false" outlineLevel="0" collapsed="false">
      <c r="A225" s="3" t="n">
        <v>213</v>
      </c>
      <c r="B225" s="3" t="n">
        <v>0.1753</v>
      </c>
    </row>
    <row r="226" customFormat="false" ht="15" hidden="false" customHeight="false" outlineLevel="0" collapsed="false">
      <c r="A226" s="3" t="n">
        <v>464</v>
      </c>
      <c r="B226" s="3" t="n">
        <v>0.6564</v>
      </c>
    </row>
    <row r="227" customFormat="false" ht="15" hidden="false" customHeight="false" outlineLevel="0" collapsed="false">
      <c r="A227" s="3" t="n">
        <v>460</v>
      </c>
      <c r="B227" s="3" t="n">
        <v>0.9071</v>
      </c>
    </row>
    <row r="228" customFormat="false" ht="15" hidden="false" customHeight="false" outlineLevel="0" collapsed="false">
      <c r="A228" s="3" t="n">
        <v>355</v>
      </c>
      <c r="B228" s="3" t="n">
        <v>0.8559</v>
      </c>
    </row>
    <row r="229" customFormat="false" ht="15" hidden="false" customHeight="false" outlineLevel="0" collapsed="false">
      <c r="A229" s="3" t="n">
        <v>680</v>
      </c>
      <c r="B229" s="3" t="n">
        <v>0.7527</v>
      </c>
    </row>
    <row r="230" customFormat="false" ht="15" hidden="false" customHeight="false" outlineLevel="0" collapsed="false">
      <c r="A230" s="3" t="n">
        <v>446</v>
      </c>
      <c r="B230" s="3" t="n">
        <v>0.833</v>
      </c>
    </row>
    <row r="231" customFormat="false" ht="15" hidden="false" customHeight="false" outlineLevel="0" collapsed="false">
      <c r="A231" s="3" t="n">
        <v>390</v>
      </c>
      <c r="B231" s="3" t="n">
        <v>0.6686</v>
      </c>
    </row>
    <row r="232" customFormat="false" ht="15" hidden="false" customHeight="false" outlineLevel="0" collapsed="false">
      <c r="A232" s="3" t="n">
        <v>495</v>
      </c>
      <c r="B232" s="3" t="n">
        <v>0.6163</v>
      </c>
    </row>
    <row r="233" customFormat="false" ht="15" hidden="false" customHeight="false" outlineLevel="0" collapsed="false">
      <c r="A233" s="3" t="n">
        <v>213</v>
      </c>
      <c r="B233" s="3" t="n">
        <v>0.1753</v>
      </c>
    </row>
    <row r="234" customFormat="false" ht="15" hidden="false" customHeight="false" outlineLevel="0" collapsed="false">
      <c r="A234" s="3" t="n">
        <v>470</v>
      </c>
      <c r="B234" s="3" t="n">
        <v>0.6793</v>
      </c>
    </row>
    <row r="235" customFormat="false" ht="15" hidden="false" customHeight="false" outlineLevel="0" collapsed="false">
      <c r="A235" s="3" t="n">
        <v>320</v>
      </c>
      <c r="B235" s="3" t="n">
        <v>0.7757</v>
      </c>
    </row>
    <row r="236" customFormat="false" ht="15" hidden="false" customHeight="false" outlineLevel="0" collapsed="false">
      <c r="A236" s="3" t="n">
        <v>480</v>
      </c>
      <c r="B236" s="3" t="n">
        <v>0.5893</v>
      </c>
    </row>
    <row r="237" customFormat="false" ht="15" hidden="false" customHeight="false" outlineLevel="0" collapsed="false">
      <c r="A237" s="3" t="n">
        <v>460</v>
      </c>
      <c r="B237" s="3" t="n">
        <v>0.7566</v>
      </c>
    </row>
    <row r="238" customFormat="false" ht="15" hidden="false" customHeight="false" outlineLevel="0" collapsed="false">
      <c r="A238" s="3" t="n">
        <v>600</v>
      </c>
      <c r="B238" s="3" t="n">
        <v>0.646</v>
      </c>
    </row>
    <row r="239" customFormat="false" ht="15" hidden="false" customHeight="false" outlineLevel="0" collapsed="false">
      <c r="A239" s="3" t="n">
        <v>480</v>
      </c>
      <c r="B239" s="3" t="n">
        <v>0.6296</v>
      </c>
    </row>
    <row r="240" customFormat="false" ht="15" hidden="false" customHeight="false" outlineLevel="0" collapsed="false">
      <c r="A240" s="3" t="n">
        <v>530</v>
      </c>
      <c r="B240" s="3" t="n">
        <v>0.7389</v>
      </c>
    </row>
    <row r="241" customFormat="false" ht="15" hidden="false" customHeight="false" outlineLevel="0" collapsed="false">
      <c r="A241" s="3" t="n">
        <v>580</v>
      </c>
      <c r="B241" s="3" t="n">
        <v>0.64</v>
      </c>
    </row>
    <row r="242" customFormat="false" ht="15" hidden="false" customHeight="false" outlineLevel="0" collapsed="false">
      <c r="A242" s="3" t="n">
        <v>320</v>
      </c>
      <c r="B242" s="3" t="n">
        <v>0.6301</v>
      </c>
    </row>
    <row r="243" customFormat="false" ht="15" hidden="false" customHeight="false" outlineLevel="0" collapsed="false">
      <c r="A243" s="3" t="n">
        <v>200</v>
      </c>
      <c r="B243" s="3" t="n">
        <v>0.3082</v>
      </c>
    </row>
    <row r="244" customFormat="false" ht="15" hidden="false" customHeight="false" outlineLevel="0" collapsed="false">
      <c r="A244" s="3" t="n">
        <v>425</v>
      </c>
      <c r="B244" s="3" t="n">
        <v>0.8415</v>
      </c>
    </row>
    <row r="245" customFormat="false" ht="15" hidden="false" customHeight="false" outlineLevel="0" collapsed="false">
      <c r="A245" s="3" t="n">
        <v>385</v>
      </c>
      <c r="B245" s="3" t="n">
        <v>0.5601</v>
      </c>
    </row>
    <row r="246" customFormat="false" ht="15" hidden="false" customHeight="false" outlineLevel="0" collapsed="false">
      <c r="A246" s="3" t="n">
        <v>700</v>
      </c>
      <c r="B246" s="3" t="n">
        <v>0.7159</v>
      </c>
    </row>
    <row r="247" customFormat="false" ht="15" hidden="false" customHeight="false" outlineLevel="0" collapsed="false">
      <c r="A247" s="3" t="n">
        <v>284</v>
      </c>
      <c r="B247" s="3" t="n">
        <v>0.5256</v>
      </c>
    </row>
    <row r="248" customFormat="false" ht="15" hidden="false" customHeight="false" outlineLevel="0" collapsed="false">
      <c r="A248" s="3" t="n">
        <v>520</v>
      </c>
      <c r="B248" s="3" t="n">
        <v>0.6212</v>
      </c>
    </row>
    <row r="249" customFormat="false" ht="15" hidden="false" customHeight="false" outlineLevel="0" collapsed="false">
      <c r="A249" s="3" t="n">
        <v>330</v>
      </c>
      <c r="B249" s="3" t="n">
        <v>0.6649</v>
      </c>
    </row>
    <row r="250" customFormat="false" ht="15" hidden="false" customHeight="false" outlineLevel="0" collapsed="false">
      <c r="A250" s="3" t="n">
        <v>481</v>
      </c>
      <c r="B250" s="3" t="n">
        <v>0.8145</v>
      </c>
    </row>
    <row r="251" customFormat="false" ht="15" hidden="false" customHeight="false" outlineLevel="0" collapsed="false">
      <c r="A251" s="3" t="n">
        <v>390</v>
      </c>
      <c r="B251" s="3" t="n">
        <v>0.6943</v>
      </c>
    </row>
    <row r="252" customFormat="false" ht="15" hidden="false" customHeight="false" outlineLevel="0" collapsed="false">
      <c r="A252" s="3" t="n">
        <v>580</v>
      </c>
      <c r="B252" s="3" t="n">
        <v>0.6293</v>
      </c>
    </row>
    <row r="253" customFormat="false" ht="15" hidden="false" customHeight="false" outlineLevel="0" collapsed="false">
      <c r="A253" s="3" t="n">
        <v>370</v>
      </c>
      <c r="B253" s="3" t="n">
        <v>0.6051</v>
      </c>
    </row>
    <row r="254" customFormat="false" ht="15" hidden="false" customHeight="false" outlineLevel="0" collapsed="false">
      <c r="A254" s="3" t="n">
        <v>269</v>
      </c>
      <c r="B254" s="3" t="n">
        <v>0.6192</v>
      </c>
    </row>
    <row r="255" customFormat="false" ht="15" hidden="false" customHeight="false" outlineLevel="0" collapsed="false">
      <c r="A255" s="3" t="n">
        <v>384</v>
      </c>
      <c r="B255" s="3" t="n">
        <v>0.5328</v>
      </c>
    </row>
    <row r="256" customFormat="false" ht="15" hidden="false" customHeight="false" outlineLevel="0" collapsed="false">
      <c r="A256" s="3" t="n">
        <v>309</v>
      </c>
      <c r="B256" s="3" t="n">
        <v>0.6047</v>
      </c>
    </row>
    <row r="257" customFormat="false" ht="15" hidden="false" customHeight="false" outlineLevel="0" collapsed="false">
      <c r="A257" s="3" t="n">
        <v>480</v>
      </c>
      <c r="B257" s="3" t="n">
        <v>0.6296</v>
      </c>
    </row>
    <row r="258" customFormat="false" ht="15" hidden="false" customHeight="false" outlineLevel="0" collapsed="false">
      <c r="A258" s="3" t="n">
        <v>454</v>
      </c>
      <c r="B258" s="3" t="n">
        <v>0.581</v>
      </c>
    </row>
    <row r="259" customFormat="false" ht="15" hidden="false" customHeight="false" outlineLevel="0" collapsed="false">
      <c r="A259" s="3" t="n">
        <v>316</v>
      </c>
      <c r="B259" s="3" t="n">
        <v>0.5147</v>
      </c>
    </row>
    <row r="260" customFormat="false" ht="15" hidden="false" customHeight="false" outlineLevel="0" collapsed="false">
      <c r="A260" s="3" t="n">
        <v>509</v>
      </c>
      <c r="B260" s="3" t="n">
        <v>0.8816</v>
      </c>
    </row>
    <row r="261" customFormat="false" ht="15" hidden="false" customHeight="false" outlineLevel="0" collapsed="false">
      <c r="A261" s="3" t="n">
        <v>316</v>
      </c>
      <c r="B261" s="3" t="n">
        <v>0.5987</v>
      </c>
    </row>
    <row r="262" customFormat="false" ht="15" hidden="false" customHeight="false" outlineLevel="0" collapsed="false">
      <c r="A262" s="3" t="n">
        <v>495</v>
      </c>
      <c r="B262" s="3" t="n">
        <v>0.6962</v>
      </c>
    </row>
    <row r="263" customFormat="false" ht="15" hidden="false" customHeight="false" outlineLevel="0" collapsed="false">
      <c r="A263" s="3" t="n">
        <v>435</v>
      </c>
      <c r="B263" s="3" t="n">
        <v>0.566</v>
      </c>
    </row>
    <row r="264" customFormat="false" ht="15" hidden="false" customHeight="false" outlineLevel="0" collapsed="false">
      <c r="A264" s="3" t="n">
        <v>480</v>
      </c>
      <c r="B264" s="3" t="n">
        <v>0.6323</v>
      </c>
    </row>
    <row r="265" customFormat="false" ht="15" hidden="false" customHeight="false" outlineLevel="0" collapsed="false">
      <c r="A265" s="3" t="n">
        <v>318</v>
      </c>
      <c r="B265" s="3" t="n">
        <v>0.6177</v>
      </c>
    </row>
    <row r="266" customFormat="false" ht="15" hidden="false" customHeight="false" outlineLevel="0" collapsed="false">
      <c r="A266" s="3" t="n">
        <v>510</v>
      </c>
      <c r="B266" s="3" t="n">
        <v>0.8051</v>
      </c>
    </row>
    <row r="267" customFormat="false" ht="15" hidden="false" customHeight="false" outlineLevel="0" collapsed="false">
      <c r="A267" s="3" t="n">
        <v>305</v>
      </c>
      <c r="B267" s="3" t="n">
        <v>0.5411</v>
      </c>
    </row>
    <row r="268" customFormat="false" ht="15" hidden="false" customHeight="false" outlineLevel="0" collapsed="false">
      <c r="A268" s="3" t="n">
        <v>540</v>
      </c>
      <c r="B268" s="3" t="n">
        <v>0.7235</v>
      </c>
    </row>
    <row r="269" customFormat="false" ht="15" hidden="false" customHeight="false" outlineLevel="0" collapsed="false">
      <c r="A269" s="3" t="n">
        <v>419</v>
      </c>
      <c r="B269" s="3" t="n">
        <v>0.6718</v>
      </c>
    </row>
    <row r="270" customFormat="false" ht="15" hidden="false" customHeight="false" outlineLevel="0" collapsed="false">
      <c r="A270" s="3" t="n">
        <v>451</v>
      </c>
      <c r="B270" s="3" t="n">
        <v>0.7357</v>
      </c>
    </row>
    <row r="271" customFormat="false" ht="15" hidden="false" customHeight="false" outlineLevel="0" collapsed="false">
      <c r="A271" s="3" t="n">
        <v>615</v>
      </c>
      <c r="B271" s="3" t="n">
        <v>0.6933</v>
      </c>
    </row>
    <row r="272" customFormat="false" ht="15" hidden="false" customHeight="false" outlineLevel="0" collapsed="false">
      <c r="A272" s="3" t="n">
        <v>495</v>
      </c>
      <c r="B272" s="3" t="n">
        <v>0.9242</v>
      </c>
    </row>
    <row r="273" customFormat="false" ht="15" hidden="false" customHeight="false" outlineLevel="0" collapsed="false">
      <c r="A273" s="3" t="n">
        <v>250</v>
      </c>
      <c r="B273" s="3" t="n">
        <v>0.6185</v>
      </c>
    </row>
    <row r="274" customFormat="false" ht="15" hidden="false" customHeight="false" outlineLevel="0" collapsed="false">
      <c r="A274" s="3" t="n">
        <v>240</v>
      </c>
      <c r="B274" s="3" t="n">
        <v>0.569</v>
      </c>
    </row>
    <row r="275" customFormat="false" ht="15" hidden="false" customHeight="false" outlineLevel="0" collapsed="false">
      <c r="A275" s="3" t="n">
        <v>405</v>
      </c>
      <c r="B275" s="3" t="n">
        <v>0.7355</v>
      </c>
    </row>
    <row r="276" customFormat="false" ht="15" hidden="false" customHeight="false" outlineLevel="0" collapsed="false">
      <c r="A276" s="3" t="n">
        <v>580</v>
      </c>
      <c r="B276" s="3" t="n">
        <v>0.6875</v>
      </c>
    </row>
    <row r="277" customFormat="false" ht="15" hidden="false" customHeight="false" outlineLevel="0" collapsed="false">
      <c r="A277" s="3" t="n">
        <v>505</v>
      </c>
      <c r="B277" s="3" t="n">
        <v>0.6014</v>
      </c>
    </row>
    <row r="278" customFormat="false" ht="15" hidden="false" customHeight="false" outlineLevel="0" collapsed="false">
      <c r="A278" s="3" t="n">
        <v>600</v>
      </c>
      <c r="B278" s="3" t="n">
        <v>0.578</v>
      </c>
    </row>
    <row r="279" customFormat="false" ht="15" hidden="false" customHeight="false" outlineLevel="0" collapsed="false">
      <c r="A279" s="3" t="n">
        <v>482</v>
      </c>
      <c r="B279" s="3" t="n">
        <v>0.6626</v>
      </c>
    </row>
    <row r="280" customFormat="false" ht="15" hidden="false" customHeight="false" outlineLevel="0" collapsed="false">
      <c r="A280" s="3" t="n">
        <v>545</v>
      </c>
      <c r="B280" s="3" t="n">
        <v>0.8952</v>
      </c>
    </row>
    <row r="281" customFormat="false" ht="15" hidden="false" customHeight="false" outlineLevel="0" collapsed="false">
      <c r="A281" s="3" t="n">
        <v>530</v>
      </c>
      <c r="B281" s="3" t="n">
        <v>0.9063</v>
      </c>
    </row>
    <row r="282" customFormat="false" ht="15" hidden="false" customHeight="false" outlineLevel="0" collapsed="false">
      <c r="A282" s="3" t="n">
        <v>495</v>
      </c>
      <c r="B282" s="3" t="n">
        <v>0.6163</v>
      </c>
    </row>
    <row r="283" customFormat="false" ht="15" hidden="false" customHeight="false" outlineLevel="0" collapsed="false">
      <c r="A283" s="3" t="n">
        <v>481</v>
      </c>
      <c r="B283" s="3" t="n">
        <v>0.8067</v>
      </c>
    </row>
    <row r="284" customFormat="false" ht="15" hidden="false" customHeight="false" outlineLevel="0" collapsed="false">
      <c r="A284" s="3" t="n">
        <v>275</v>
      </c>
      <c r="B284" s="3" t="n">
        <v>0.5501</v>
      </c>
    </row>
    <row r="285" customFormat="false" ht="15" hidden="false" customHeight="false" outlineLevel="0" collapsed="false">
      <c r="A285" s="3" t="n">
        <v>440</v>
      </c>
      <c r="B285" s="3" t="n">
        <v>0.719</v>
      </c>
    </row>
    <row r="286" customFormat="false" ht="15" hidden="false" customHeight="false" outlineLevel="0" collapsed="false">
      <c r="A286" s="3" t="n">
        <v>290</v>
      </c>
      <c r="B286" s="3" t="n">
        <v>0.6833</v>
      </c>
    </row>
    <row r="287" customFormat="false" ht="15" hidden="false" customHeight="false" outlineLevel="0" collapsed="false">
      <c r="A287" s="3" t="n">
        <v>405</v>
      </c>
      <c r="B287" s="3" t="n">
        <v>0.5814</v>
      </c>
    </row>
    <row r="288" customFormat="false" ht="15" hidden="false" customHeight="false" outlineLevel="0" collapsed="false">
      <c r="A288" s="3" t="n">
        <v>312</v>
      </c>
      <c r="B288" s="3" t="n">
        <v>0.5043</v>
      </c>
    </row>
    <row r="289" customFormat="false" ht="15" hidden="false" customHeight="false" outlineLevel="0" collapsed="false">
      <c r="A289" s="3" t="n">
        <v>520</v>
      </c>
      <c r="B289" s="3" t="n">
        <v>0.6628</v>
      </c>
    </row>
    <row r="290" customFormat="false" ht="15" hidden="false" customHeight="false" outlineLevel="0" collapsed="false">
      <c r="A290" s="3" t="n">
        <v>460</v>
      </c>
      <c r="B290" s="3" t="n">
        <v>0.7185</v>
      </c>
    </row>
    <row r="291" customFormat="false" ht="15" hidden="false" customHeight="false" outlineLevel="0" collapsed="false">
      <c r="A291" s="3" t="n">
        <v>411</v>
      </c>
      <c r="B291" s="3" t="n">
        <v>0.6146</v>
      </c>
    </row>
    <row r="292" customFormat="false" ht="15" hidden="false" customHeight="false" outlineLevel="0" collapsed="false">
      <c r="A292" s="3" t="n">
        <v>495</v>
      </c>
      <c r="B292" s="3" t="n">
        <v>0.6163</v>
      </c>
    </row>
    <row r="293" customFormat="false" ht="15" hidden="false" customHeight="false" outlineLevel="0" collapsed="false">
      <c r="A293" s="3" t="n">
        <v>405</v>
      </c>
      <c r="B293" s="3" t="n">
        <v>0.6875</v>
      </c>
    </row>
    <row r="294" customFormat="false" ht="15" hidden="false" customHeight="false" outlineLevel="0" collapsed="false">
      <c r="A294" s="3" t="n">
        <v>570</v>
      </c>
      <c r="B294" s="3" t="n">
        <v>0.6784</v>
      </c>
    </row>
    <row r="295" customFormat="false" ht="15" hidden="false" customHeight="false" outlineLevel="0" collapsed="false">
      <c r="A295" s="3" t="n">
        <v>420</v>
      </c>
      <c r="B295" s="3" t="n">
        <v>0.6083</v>
      </c>
    </row>
    <row r="296" customFormat="false" ht="15" hidden="false" customHeight="false" outlineLevel="0" collapsed="false">
      <c r="A296" s="3" t="n">
        <v>510</v>
      </c>
      <c r="B296" s="3" t="n">
        <v>0.543</v>
      </c>
    </row>
    <row r="297" customFormat="false" ht="15" hidden="false" customHeight="false" outlineLevel="0" collapsed="false">
      <c r="A297" s="3" t="n">
        <v>579</v>
      </c>
      <c r="B297" s="3" t="n">
        <v>0.7642</v>
      </c>
    </row>
    <row r="298" customFormat="false" ht="15" hidden="false" customHeight="false" outlineLevel="0" collapsed="false">
      <c r="A298" s="3" t="n">
        <v>443</v>
      </c>
      <c r="B298" s="3" t="n">
        <v>0.6267</v>
      </c>
    </row>
    <row r="299" customFormat="false" ht="15" hidden="false" customHeight="false" outlineLevel="0" collapsed="false">
      <c r="A299" s="3" t="n">
        <v>490</v>
      </c>
      <c r="B299" s="3" t="n">
        <v>0.6923</v>
      </c>
    </row>
    <row r="300" customFormat="false" ht="15" hidden="false" customHeight="false" outlineLevel="0" collapsed="false">
      <c r="A300" s="3" t="n">
        <v>264</v>
      </c>
      <c r="B300" s="3" t="n">
        <v>0.5823</v>
      </c>
    </row>
    <row r="301" customFormat="false" ht="15" hidden="false" customHeight="false" outlineLevel="0" collapsed="false">
      <c r="A301" s="3" t="n">
        <v>570</v>
      </c>
      <c r="B301" s="3" t="n">
        <v>0.7606</v>
      </c>
    </row>
    <row r="302" customFormat="false" ht="15" hidden="false" customHeight="false" outlineLevel="0" collapsed="false">
      <c r="A302" s="3" t="n">
        <v>255</v>
      </c>
      <c r="B302" s="3" t="n">
        <v>0.7426</v>
      </c>
    </row>
    <row r="303" customFormat="false" ht="15" hidden="false" customHeight="false" outlineLevel="0" collapsed="false">
      <c r="A303" s="3" t="n">
        <v>600</v>
      </c>
      <c r="B303" s="3" t="n">
        <v>0.6937</v>
      </c>
    </row>
    <row r="304" customFormat="false" ht="15" hidden="false" customHeight="false" outlineLevel="0" collapsed="false">
      <c r="A304" s="3" t="n">
        <v>263</v>
      </c>
      <c r="B304" s="3" t="n">
        <v>0.8309</v>
      </c>
    </row>
    <row r="305" customFormat="false" ht="15" hidden="false" customHeight="false" outlineLevel="0" collapsed="false">
      <c r="A305" s="3" t="n">
        <v>508</v>
      </c>
      <c r="B305" s="3" t="n">
        <v>0.6382</v>
      </c>
    </row>
    <row r="306" customFormat="false" ht="15" hidden="false" customHeight="false" outlineLevel="0" collapsed="false">
      <c r="A306" s="3" t="n">
        <v>310</v>
      </c>
      <c r="B306" s="3" t="n">
        <v>0.6855</v>
      </c>
    </row>
    <row r="307" customFormat="false" ht="15" hidden="false" customHeight="false" outlineLevel="0" collapsed="false">
      <c r="A307" s="3" t="n">
        <v>525</v>
      </c>
      <c r="B307" s="3" t="n">
        <v>0.597</v>
      </c>
    </row>
    <row r="308" customFormat="false" ht="15" hidden="false" customHeight="false" outlineLevel="0" collapsed="false">
      <c r="A308" s="3" t="n">
        <v>505</v>
      </c>
      <c r="B308" s="3" t="n">
        <v>0.4755</v>
      </c>
    </row>
    <row r="309" customFormat="false" ht="15" hidden="false" customHeight="false" outlineLevel="0" collapsed="false">
      <c r="A309" s="3" t="n">
        <v>500</v>
      </c>
      <c r="B309" s="3" t="n">
        <v>0.9144</v>
      </c>
    </row>
    <row r="310" customFormat="false" ht="15" hidden="false" customHeight="false" outlineLevel="0" collapsed="false">
      <c r="A310" s="3" t="n">
        <v>351</v>
      </c>
      <c r="B310" s="3" t="n">
        <v>0.7622</v>
      </c>
    </row>
    <row r="311" customFormat="false" ht="15" hidden="false" customHeight="false" outlineLevel="0" collapsed="false">
      <c r="A311" s="3" t="n">
        <v>365</v>
      </c>
      <c r="B311" s="3" t="n">
        <v>0.654</v>
      </c>
    </row>
    <row r="312" customFormat="false" ht="15" hidden="false" customHeight="false" outlineLevel="0" collapsed="false">
      <c r="A312" s="3" t="n">
        <v>385</v>
      </c>
      <c r="B312" s="3" t="n">
        <v>0.7453</v>
      </c>
    </row>
    <row r="313" customFormat="false" ht="15" hidden="false" customHeight="false" outlineLevel="0" collapsed="false">
      <c r="A313" s="3" t="n">
        <v>260</v>
      </c>
      <c r="B313" s="3" t="n">
        <v>0.5787</v>
      </c>
    </row>
    <row r="314" customFormat="false" ht="15" hidden="false" customHeight="false" outlineLevel="0" collapsed="false">
      <c r="A314" s="3" t="n">
        <v>495</v>
      </c>
      <c r="B314" s="3" t="n">
        <v>0.6473</v>
      </c>
    </row>
    <row r="315" customFormat="false" ht="15" hidden="false" customHeight="false" outlineLevel="0" collapsed="false">
      <c r="A315" s="3" t="n">
        <v>580</v>
      </c>
      <c r="B315" s="3" t="n">
        <v>0.9112</v>
      </c>
    </row>
    <row r="316" customFormat="false" ht="15" hidden="false" customHeight="false" outlineLevel="0" collapsed="false">
      <c r="A316" s="3" t="n">
        <v>420</v>
      </c>
      <c r="B316" s="3" t="n">
        <v>0.6687</v>
      </c>
    </row>
    <row r="317" customFormat="false" ht="15" hidden="false" customHeight="false" outlineLevel="0" collapsed="false">
      <c r="A317" s="3" t="n">
        <v>465</v>
      </c>
      <c r="B317" s="3" t="n">
        <v>0.7219</v>
      </c>
    </row>
    <row r="318" customFormat="false" ht="15" hidden="false" customHeight="false" outlineLevel="0" collapsed="false">
      <c r="A318" s="3" t="n">
        <v>253</v>
      </c>
      <c r="B318" s="3" t="n">
        <v>0.7885</v>
      </c>
    </row>
    <row r="319" customFormat="false" ht="15" hidden="false" customHeight="false" outlineLevel="0" collapsed="false">
      <c r="A319" s="3" t="n">
        <v>460</v>
      </c>
      <c r="B319" s="3" t="n">
        <v>0.7497</v>
      </c>
    </row>
    <row r="320" customFormat="false" ht="15" hidden="false" customHeight="false" outlineLevel="0" collapsed="false">
      <c r="A320" s="3" t="n">
        <v>580</v>
      </c>
      <c r="B320" s="3" t="n">
        <v>0.7514</v>
      </c>
    </row>
    <row r="321" customFormat="false" ht="15" hidden="false" customHeight="false" outlineLevel="0" collapsed="false">
      <c r="A321" s="3" t="n">
        <v>600</v>
      </c>
      <c r="B321" s="3" t="n">
        <v>0.6069</v>
      </c>
    </row>
    <row r="322" customFormat="false" ht="15" hidden="false" customHeight="false" outlineLevel="0" collapsed="false">
      <c r="A322" s="3" t="n">
        <v>580</v>
      </c>
      <c r="B322" s="3" t="n">
        <v>0.6355</v>
      </c>
    </row>
    <row r="323" customFormat="false" ht="15" hidden="false" customHeight="false" outlineLevel="0" collapsed="false">
      <c r="A323" s="3" t="n">
        <v>510</v>
      </c>
      <c r="B323" s="3" t="n">
        <v>0.7707</v>
      </c>
    </row>
    <row r="324" customFormat="false" ht="15" hidden="false" customHeight="false" outlineLevel="0" collapsed="false">
      <c r="A324" s="3" t="n">
        <v>525</v>
      </c>
      <c r="B324" s="3" t="n">
        <v>0.6873</v>
      </c>
    </row>
    <row r="325" customFormat="false" ht="15" hidden="false" customHeight="false" outlineLevel="0" collapsed="false">
      <c r="A325" s="3" t="n">
        <v>440</v>
      </c>
      <c r="B325" s="3" t="n">
        <v>0.5929</v>
      </c>
    </row>
    <row r="326" customFormat="false" ht="15" hidden="false" customHeight="false" outlineLevel="0" collapsed="false">
      <c r="A326" s="3" t="n">
        <v>480</v>
      </c>
      <c r="B326" s="3" t="n">
        <v>0.801</v>
      </c>
    </row>
    <row r="327" customFormat="false" ht="15" hidden="false" customHeight="false" outlineLevel="0" collapsed="false">
      <c r="A327" s="3" t="n">
        <v>442</v>
      </c>
      <c r="B327" s="3" t="n">
        <v>0.62</v>
      </c>
    </row>
    <row r="328" customFormat="false" ht="15" hidden="false" customHeight="false" outlineLevel="0" collapsed="false">
      <c r="A328" s="3" t="n">
        <v>485</v>
      </c>
      <c r="B328" s="3" t="n">
        <v>0.6733</v>
      </c>
    </row>
    <row r="329" customFormat="false" ht="15" hidden="false" customHeight="false" outlineLevel="0" collapsed="false">
      <c r="A329" s="3" t="n">
        <v>520</v>
      </c>
      <c r="B329" s="3" t="n">
        <v>0.7886</v>
      </c>
    </row>
    <row r="330" customFormat="false" ht="15" hidden="false" customHeight="false" outlineLevel="0" collapsed="false">
      <c r="A330" s="3" t="n">
        <v>411</v>
      </c>
      <c r="B330" s="3" t="n">
        <v>0.6146</v>
      </c>
    </row>
    <row r="331" customFormat="false" ht="15" hidden="false" customHeight="false" outlineLevel="0" collapsed="false">
      <c r="A331" s="3" t="n">
        <v>486</v>
      </c>
      <c r="B331" s="3" t="n">
        <v>0.7813</v>
      </c>
    </row>
    <row r="332" customFormat="false" ht="15" hidden="false" customHeight="false" outlineLevel="0" collapsed="false">
      <c r="A332" s="3" t="n">
        <v>384</v>
      </c>
      <c r="B332" s="3" t="n">
        <v>0.3676</v>
      </c>
    </row>
    <row r="333" customFormat="false" ht="15" hidden="false" customHeight="false" outlineLevel="0" collapsed="false">
      <c r="A333" s="3" t="n">
        <v>490</v>
      </c>
      <c r="B333" s="3" t="n">
        <v>0.853</v>
      </c>
    </row>
    <row r="334" customFormat="false" ht="15" hidden="false" customHeight="false" outlineLevel="0" collapsed="false">
      <c r="A334" s="3" t="n">
        <v>555</v>
      </c>
      <c r="B334" s="3" t="n">
        <v>0.7237</v>
      </c>
    </row>
    <row r="335" customFormat="false" ht="15" hidden="false" customHeight="false" outlineLevel="0" collapsed="false">
      <c r="A335" s="3" t="n">
        <v>430</v>
      </c>
      <c r="B335" s="3" t="n">
        <v>0.7966</v>
      </c>
    </row>
    <row r="336" customFormat="false" ht="15" hidden="false" customHeight="false" outlineLevel="0" collapsed="false">
      <c r="A336" s="3" t="n">
        <v>520</v>
      </c>
      <c r="B336" s="3" t="n">
        <v>0.8591</v>
      </c>
    </row>
    <row r="337" customFormat="false" ht="15" hidden="false" customHeight="false" outlineLevel="0" collapsed="false">
      <c r="A337" s="3" t="n">
        <v>570</v>
      </c>
      <c r="B337" s="3" t="n">
        <v>0.8548</v>
      </c>
    </row>
    <row r="338" customFormat="false" ht="15" hidden="false" customHeight="false" outlineLevel="0" collapsed="false">
      <c r="A338" s="3" t="n">
        <v>330</v>
      </c>
      <c r="B338" s="3" t="n">
        <v>0.5678</v>
      </c>
    </row>
    <row r="339" customFormat="false" ht="15" hidden="false" customHeight="false" outlineLevel="0" collapsed="false">
      <c r="A339" s="3" t="n">
        <v>250</v>
      </c>
      <c r="B339" s="3" t="n">
        <v>0.6095</v>
      </c>
    </row>
    <row r="340" customFormat="false" ht="15" hidden="false" customHeight="false" outlineLevel="0" collapsed="false">
      <c r="A340" s="3" t="n">
        <v>250</v>
      </c>
      <c r="B340" s="3" t="n">
        <v>0</v>
      </c>
    </row>
    <row r="341" customFormat="false" ht="15" hidden="false" customHeight="false" outlineLevel="0" collapsed="false">
      <c r="A341" s="3" t="n">
        <v>470</v>
      </c>
      <c r="B341" s="3" t="n">
        <v>0.6579</v>
      </c>
    </row>
    <row r="342" customFormat="false" ht="15" hidden="false" customHeight="false" outlineLevel="0" collapsed="false">
      <c r="A342" s="3" t="n">
        <v>430</v>
      </c>
      <c r="B342" s="3" t="n">
        <v>0.7408</v>
      </c>
    </row>
    <row r="343" customFormat="false" ht="15" hidden="false" customHeight="false" outlineLevel="0" collapsed="false">
      <c r="A343" s="3" t="n">
        <v>365</v>
      </c>
      <c r="B343" s="3" t="n">
        <v>0.5603</v>
      </c>
    </row>
    <row r="344" customFormat="false" ht="15" hidden="false" customHeight="false" outlineLevel="0" collapsed="false">
      <c r="A344" s="3" t="n">
        <v>348</v>
      </c>
      <c r="B344" s="3" t="n">
        <v>0.7054</v>
      </c>
    </row>
    <row r="345" customFormat="false" ht="15" hidden="false" customHeight="false" outlineLevel="0" collapsed="false">
      <c r="A345" s="3" t="n">
        <v>482</v>
      </c>
      <c r="B345" s="3" t="n">
        <v>0.6626</v>
      </c>
    </row>
    <row r="346" customFormat="false" ht="15" hidden="false" customHeight="false" outlineLevel="0" collapsed="false">
      <c r="A346" s="3" t="n">
        <v>411</v>
      </c>
      <c r="B346" s="3" t="n">
        <v>0.6284</v>
      </c>
    </row>
    <row r="347" customFormat="false" ht="15" hidden="false" customHeight="false" outlineLevel="0" collapsed="false">
      <c r="A347" s="3" t="n">
        <v>500</v>
      </c>
      <c r="B347" s="3" t="n">
        <v>0.554</v>
      </c>
    </row>
    <row r="348" customFormat="false" ht="15" hidden="false" customHeight="false" outlineLevel="0" collapsed="false">
      <c r="A348" s="3" t="n">
        <v>318</v>
      </c>
      <c r="B348" s="3" t="n">
        <v>0.6566</v>
      </c>
    </row>
    <row r="349" customFormat="false" ht="15" hidden="false" customHeight="false" outlineLevel="0" collapsed="false">
      <c r="A349" s="3" t="n">
        <v>540</v>
      </c>
      <c r="B349" s="3" t="n">
        <v>0.8942</v>
      </c>
    </row>
    <row r="350" customFormat="false" ht="15" hidden="false" customHeight="false" outlineLevel="0" collapsed="false">
      <c r="A350" s="3" t="n">
        <v>340</v>
      </c>
      <c r="B350" s="3" t="n">
        <v>0.6714</v>
      </c>
    </row>
    <row r="351" customFormat="false" ht="15" hidden="false" customHeight="false" outlineLevel="0" collapsed="false">
      <c r="A351" s="3" t="n">
        <v>472</v>
      </c>
      <c r="B351" s="3" t="n">
        <v>0.7288</v>
      </c>
    </row>
    <row r="352" customFormat="false" ht="15" hidden="false" customHeight="false" outlineLevel="0" collapsed="false">
      <c r="A352" s="3" t="n">
        <v>670</v>
      </c>
      <c r="B352" s="3" t="n">
        <v>0.6455</v>
      </c>
    </row>
    <row r="353" customFormat="false" ht="15" hidden="false" customHeight="false" outlineLevel="0" collapsed="false">
      <c r="A353" s="3" t="n">
        <v>310</v>
      </c>
      <c r="B353" s="3" t="n">
        <v>0.8232</v>
      </c>
    </row>
    <row r="354" customFormat="false" ht="15" hidden="false" customHeight="false" outlineLevel="0" collapsed="false">
      <c r="A354" s="3" t="n">
        <v>535</v>
      </c>
      <c r="B354" s="3" t="n">
        <v>0.7496</v>
      </c>
    </row>
    <row r="355" customFormat="false" ht="15" hidden="false" customHeight="false" outlineLevel="0" collapsed="false">
      <c r="A355" s="3" t="n">
        <v>570</v>
      </c>
      <c r="B355" s="3" t="n">
        <v>0.5545</v>
      </c>
    </row>
    <row r="356" customFormat="false" ht="15" hidden="false" customHeight="false" outlineLevel="0" collapsed="false">
      <c r="A356" s="3" t="n">
        <v>480</v>
      </c>
      <c r="B356" s="3" t="n">
        <v>0.7374</v>
      </c>
    </row>
    <row r="357" customFormat="false" ht="15" hidden="false" customHeight="false" outlineLevel="0" collapsed="false">
      <c r="A357" s="3" t="n">
        <v>590</v>
      </c>
      <c r="B357" s="3" t="n">
        <v>0.8445</v>
      </c>
    </row>
    <row r="358" customFormat="false" ht="15" hidden="false" customHeight="false" outlineLevel="0" collapsed="false">
      <c r="A358" s="3" t="n">
        <v>465</v>
      </c>
      <c r="B358" s="3" t="n">
        <v>0.8045</v>
      </c>
    </row>
    <row r="359" customFormat="false" ht="15" hidden="false" customHeight="false" outlineLevel="0" collapsed="false">
      <c r="A359" s="3" t="n">
        <v>600</v>
      </c>
      <c r="B359" s="3" t="n">
        <v>0.7257</v>
      </c>
    </row>
    <row r="360" customFormat="false" ht="15" hidden="false" customHeight="false" outlineLevel="0" collapsed="false">
      <c r="A360" s="3" t="n">
        <v>310</v>
      </c>
      <c r="B360" s="3" t="n">
        <v>0.7246</v>
      </c>
    </row>
    <row r="361" customFormat="false" ht="15" hidden="false" customHeight="false" outlineLevel="0" collapsed="false">
      <c r="A361" s="3" t="n">
        <v>530</v>
      </c>
      <c r="B361" s="3" t="n">
        <v>0.6622</v>
      </c>
    </row>
    <row r="362" customFormat="false" ht="15" hidden="false" customHeight="false" outlineLevel="0" collapsed="false">
      <c r="A362" s="3" t="n">
        <v>515</v>
      </c>
      <c r="B362" s="3" t="n">
        <v>0.8136</v>
      </c>
    </row>
    <row r="363" customFormat="false" ht="15" hidden="false" customHeight="false" outlineLevel="0" collapsed="false">
      <c r="A363" s="3" t="n">
        <v>600</v>
      </c>
      <c r="B363" s="3" t="n">
        <v>0.7435</v>
      </c>
    </row>
    <row r="364" customFormat="false" ht="15" hidden="false" customHeight="false" outlineLevel="0" collapsed="false">
      <c r="A364" s="3" t="n">
        <v>320</v>
      </c>
      <c r="B364" s="3" t="n">
        <v>0.8811</v>
      </c>
    </row>
    <row r="365" customFormat="false" ht="15" hidden="false" customHeight="false" outlineLevel="0" collapsed="false">
      <c r="A365" s="3" t="n">
        <v>410</v>
      </c>
      <c r="B365" s="3" t="n">
        <v>0.6292</v>
      </c>
    </row>
    <row r="366" customFormat="false" ht="15" hidden="false" customHeight="false" outlineLevel="0" collapsed="false">
      <c r="A366" s="3" t="n">
        <v>477</v>
      </c>
      <c r="B366" s="3" t="n">
        <v>0.5406</v>
      </c>
    </row>
    <row r="367" customFormat="false" ht="15" hidden="false" customHeight="false" outlineLevel="0" collapsed="false">
      <c r="A367" s="3" t="n">
        <v>470</v>
      </c>
      <c r="B367" s="3" t="n">
        <v>0.7584</v>
      </c>
    </row>
    <row r="368" customFormat="false" ht="15" hidden="false" customHeight="false" outlineLevel="0" collapsed="false">
      <c r="A368" s="3" t="n">
        <v>476</v>
      </c>
      <c r="B368" s="3" t="n">
        <v>0.6175</v>
      </c>
    </row>
    <row r="369" customFormat="false" ht="15" hidden="false" customHeight="false" outlineLevel="0" collapsed="false">
      <c r="A369" s="3" t="n">
        <v>304</v>
      </c>
      <c r="B369" s="3" t="n">
        <v>0.633</v>
      </c>
    </row>
    <row r="370" customFormat="false" ht="15" hidden="false" customHeight="false" outlineLevel="0" collapsed="false">
      <c r="A370" s="3" t="n">
        <v>475</v>
      </c>
      <c r="B370" s="3" t="n">
        <v>0.6652</v>
      </c>
    </row>
    <row r="371" customFormat="false" ht="15" hidden="false" customHeight="false" outlineLevel="0" collapsed="false">
      <c r="A371" s="3" t="n">
        <v>390</v>
      </c>
      <c r="B371" s="3" t="n">
        <v>0.7044</v>
      </c>
    </row>
    <row r="372" customFormat="false" ht="15" hidden="false" customHeight="false" outlineLevel="0" collapsed="false">
      <c r="A372" s="3" t="n">
        <v>325</v>
      </c>
      <c r="B372" s="3" t="n">
        <v>0.7994</v>
      </c>
    </row>
    <row r="373" customFormat="false" ht="15" hidden="false" customHeight="false" outlineLevel="0" collapsed="false">
      <c r="A373" s="3" t="n">
        <v>480</v>
      </c>
      <c r="B373" s="3" t="n">
        <v>0.7194</v>
      </c>
    </row>
    <row r="374" customFormat="false" ht="15" hidden="false" customHeight="false" outlineLevel="0" collapsed="false">
      <c r="A374" s="3" t="n">
        <v>420</v>
      </c>
      <c r="B374" s="3" t="n">
        <v>0.586</v>
      </c>
    </row>
    <row r="375" customFormat="false" ht="15" hidden="false" customHeight="false" outlineLevel="0" collapsed="false">
      <c r="A375" s="3" t="n">
        <v>470</v>
      </c>
      <c r="B375" s="3" t="n">
        <v>0.7952</v>
      </c>
    </row>
    <row r="376" customFormat="false" ht="15" hidden="false" customHeight="false" outlineLevel="0" collapsed="false">
      <c r="A376" s="3" t="n">
        <v>360</v>
      </c>
      <c r="B376" s="3" t="n">
        <v>0.5552</v>
      </c>
    </row>
    <row r="377" customFormat="false" ht="15" hidden="false" customHeight="false" outlineLevel="0" collapsed="false">
      <c r="A377" s="3" t="n">
        <v>500</v>
      </c>
      <c r="B377" s="3" t="n">
        <v>0.6543</v>
      </c>
    </row>
    <row r="378" customFormat="false" ht="15" hidden="false" customHeight="false" outlineLevel="0" collapsed="false">
      <c r="A378" s="3" t="n">
        <v>465</v>
      </c>
      <c r="B378" s="3" t="n">
        <v>0.595</v>
      </c>
    </row>
    <row r="379" customFormat="false" ht="15" hidden="false" customHeight="false" outlineLevel="0" collapsed="false">
      <c r="A379" s="3" t="n">
        <v>220</v>
      </c>
      <c r="B379" s="3" t="n">
        <v>0.6624</v>
      </c>
    </row>
    <row r="380" customFormat="false" ht="15" hidden="false" customHeight="false" outlineLevel="0" collapsed="false">
      <c r="A380" s="3" t="n">
        <v>495</v>
      </c>
      <c r="B380" s="3" t="n">
        <v>0.6163</v>
      </c>
    </row>
    <row r="381" customFormat="false" ht="15" hidden="false" customHeight="false" outlineLevel="0" collapsed="false">
      <c r="A381" s="3" t="n">
        <v>320</v>
      </c>
      <c r="B381" s="3" t="n">
        <v>0.6618</v>
      </c>
    </row>
    <row r="382" customFormat="false" ht="15" hidden="false" customHeight="false" outlineLevel="0" collapsed="false">
      <c r="A382" s="3" t="n">
        <v>470</v>
      </c>
      <c r="B382" s="3" t="n">
        <v>0.5776</v>
      </c>
    </row>
    <row r="383" customFormat="false" ht="15" hidden="false" customHeight="false" outlineLevel="0" collapsed="false">
      <c r="A383" s="3" t="n">
        <v>520</v>
      </c>
      <c r="B383" s="3" t="n">
        <v>0.5668</v>
      </c>
    </row>
    <row r="384" customFormat="false" ht="15" hidden="false" customHeight="false" outlineLevel="0" collapsed="false">
      <c r="A384" s="3" t="n">
        <v>305</v>
      </c>
      <c r="B384" s="3" t="n">
        <v>0.54</v>
      </c>
    </row>
    <row r="385" customFormat="false" ht="15" hidden="false" customHeight="false" outlineLevel="0" collapsed="false">
      <c r="A385" s="3" t="n">
        <v>510</v>
      </c>
      <c r="B385" s="3" t="n">
        <v>0.6357</v>
      </c>
    </row>
    <row r="386" customFormat="false" ht="15" hidden="false" customHeight="false" outlineLevel="0" collapsed="false">
      <c r="A386" s="3" t="n">
        <v>498</v>
      </c>
      <c r="B386" s="3" t="n">
        <v>0.7121</v>
      </c>
    </row>
    <row r="387" customFormat="false" ht="15" hidden="false" customHeight="false" outlineLevel="0" collapsed="false">
      <c r="A387" s="3" t="n">
        <v>489</v>
      </c>
      <c r="B387" s="3" t="n">
        <v>0.6431</v>
      </c>
    </row>
    <row r="388" customFormat="false" ht="15" hidden="false" customHeight="false" outlineLevel="0" collapsed="false">
      <c r="A388" s="3" t="n">
        <v>405</v>
      </c>
      <c r="B388" s="3" t="n">
        <v>0.7462</v>
      </c>
    </row>
    <row r="389" customFormat="false" ht="15" hidden="false" customHeight="false" outlineLevel="0" collapsed="false">
      <c r="A389" s="3" t="n">
        <v>590</v>
      </c>
      <c r="B389" s="3" t="n">
        <v>0.7547</v>
      </c>
    </row>
    <row r="390" customFormat="false" ht="15" hidden="false" customHeight="false" outlineLevel="0" collapsed="false">
      <c r="A390" s="3" t="n">
        <v>508</v>
      </c>
      <c r="B390" s="3" t="n">
        <v>0.8415</v>
      </c>
    </row>
    <row r="391" customFormat="false" ht="15" hidden="false" customHeight="false" outlineLevel="0" collapsed="false">
      <c r="A391" s="3" t="n">
        <v>335</v>
      </c>
      <c r="B391" s="3" t="n">
        <v>0.4332</v>
      </c>
    </row>
    <row r="392" customFormat="false" ht="15" hidden="false" customHeight="false" outlineLevel="0" collapsed="false">
      <c r="A392" s="3" t="n">
        <v>425</v>
      </c>
      <c r="B392" s="3" t="n">
        <v>0.5505</v>
      </c>
    </row>
    <row r="393" customFormat="false" ht="15" hidden="false" customHeight="false" outlineLevel="0" collapsed="false">
      <c r="A393" s="3" t="n">
        <v>680</v>
      </c>
      <c r="B393" s="3" t="n">
        <v>0.6833</v>
      </c>
    </row>
    <row r="394" customFormat="false" ht="15" hidden="false" customHeight="false" outlineLevel="0" collapsed="false">
      <c r="A394" s="3" t="n">
        <v>213</v>
      </c>
      <c r="B394" s="3" t="n">
        <v>0.1753</v>
      </c>
    </row>
    <row r="395" customFormat="false" ht="15" hidden="false" customHeight="false" outlineLevel="0" collapsed="false">
      <c r="A395" s="3" t="n">
        <v>210</v>
      </c>
      <c r="B395" s="3" t="n">
        <v>0.7601</v>
      </c>
    </row>
    <row r="396" customFormat="false" ht="15" hidden="false" customHeight="false" outlineLevel="0" collapsed="false">
      <c r="A396" s="3" t="n">
        <v>310</v>
      </c>
      <c r="B396" s="3" t="n">
        <v>0.6407</v>
      </c>
    </row>
    <row r="397" customFormat="false" ht="15" hidden="false" customHeight="false" outlineLevel="0" collapsed="false">
      <c r="A397" s="3" t="n">
        <v>495</v>
      </c>
      <c r="B397" s="3" t="n">
        <v>0.7162</v>
      </c>
    </row>
    <row r="398" customFormat="false" ht="15" hidden="false" customHeight="false" outlineLevel="0" collapsed="false">
      <c r="A398" s="3" t="n">
        <v>360</v>
      </c>
      <c r="B398" s="3" t="n">
        <v>0.5751</v>
      </c>
    </row>
    <row r="399" customFormat="false" ht="15" hidden="false" customHeight="false" outlineLevel="0" collapsed="false">
      <c r="A399" s="3" t="n">
        <v>495</v>
      </c>
      <c r="B399" s="3" t="n">
        <v>0.6163</v>
      </c>
    </row>
    <row r="400" customFormat="false" ht="15" hidden="false" customHeight="false" outlineLevel="0" collapsed="false">
      <c r="A400" s="3" t="n">
        <v>495</v>
      </c>
      <c r="B400" s="3" t="n">
        <v>0.8712</v>
      </c>
    </row>
    <row r="401" customFormat="false" ht="15" hidden="false" customHeight="false" outlineLevel="0" collapsed="false">
      <c r="A401" s="3" t="n">
        <v>495</v>
      </c>
      <c r="B401" s="3" t="n">
        <v>0.6163</v>
      </c>
    </row>
    <row r="402" customFormat="false" ht="15" hidden="false" customHeight="false" outlineLevel="0" collapsed="false">
      <c r="A402" s="3" t="n">
        <v>308</v>
      </c>
      <c r="B402" s="3" t="n">
        <v>0.5898</v>
      </c>
    </row>
    <row r="403" customFormat="false" ht="15" hidden="false" customHeight="false" outlineLevel="0" collapsed="false">
      <c r="A403" s="3" t="n">
        <v>495</v>
      </c>
      <c r="B403" s="3" t="n">
        <v>0.6163</v>
      </c>
    </row>
    <row r="404" customFormat="false" ht="15" hidden="false" customHeight="false" outlineLevel="0" collapsed="false">
      <c r="A404" s="3" t="n">
        <v>410</v>
      </c>
      <c r="B404" s="3" t="n">
        <v>0.5485</v>
      </c>
    </row>
    <row r="405" customFormat="false" ht="15" hidden="false" customHeight="false" outlineLevel="0" collapsed="false">
      <c r="A405" s="3" t="n">
        <v>600</v>
      </c>
      <c r="B405" s="3" t="n">
        <v>0.747</v>
      </c>
    </row>
    <row r="406" customFormat="false" ht="15" hidden="false" customHeight="false" outlineLevel="0" collapsed="false">
      <c r="A406" s="3" t="n">
        <v>384</v>
      </c>
      <c r="B406" s="3" t="n">
        <v>0.3676</v>
      </c>
    </row>
    <row r="407" customFormat="false" ht="15" hidden="false" customHeight="false" outlineLevel="0" collapsed="false">
      <c r="A407" s="3" t="n">
        <v>523</v>
      </c>
      <c r="B407" s="3" t="n">
        <v>0.9081</v>
      </c>
    </row>
    <row r="408" customFormat="false" ht="15" hidden="false" customHeight="false" outlineLevel="0" collapsed="false">
      <c r="A408" s="3" t="n">
        <v>482</v>
      </c>
      <c r="B408" s="3" t="n">
        <v>0.5541</v>
      </c>
    </row>
    <row r="409" customFormat="false" ht="15" hidden="false" customHeight="false" outlineLevel="0" collapsed="false">
      <c r="A409" s="3" t="n">
        <v>600</v>
      </c>
      <c r="B409" s="3" t="n">
        <v>0.6705</v>
      </c>
    </row>
    <row r="410" customFormat="false" ht="15" hidden="false" customHeight="false" outlineLevel="0" collapsed="false">
      <c r="A410" s="3" t="n">
        <v>305</v>
      </c>
      <c r="B410" s="3" t="n">
        <v>0.7535</v>
      </c>
    </row>
    <row r="411" customFormat="false" ht="15" hidden="false" customHeight="false" outlineLevel="0" collapsed="false">
      <c r="A411" s="3" t="n">
        <v>580</v>
      </c>
      <c r="B411" s="3" t="n">
        <v>0.9076</v>
      </c>
    </row>
    <row r="412" customFormat="false" ht="15" hidden="false" customHeight="false" outlineLevel="0" collapsed="false">
      <c r="A412" s="3" t="n">
        <v>415</v>
      </c>
      <c r="B412" s="3" t="n">
        <v>0.6919</v>
      </c>
    </row>
    <row r="413" customFormat="false" ht="15" hidden="false" customHeight="false" outlineLevel="0" collapsed="false">
      <c r="A413" s="3" t="n">
        <v>480</v>
      </c>
      <c r="B413" s="3" t="n">
        <v>0.6658</v>
      </c>
    </row>
    <row r="414" customFormat="false" ht="15" hidden="false" customHeight="false" outlineLevel="0" collapsed="false">
      <c r="A414" s="3" t="n">
        <v>400</v>
      </c>
      <c r="B414" s="3" t="n">
        <v>0.5467</v>
      </c>
    </row>
    <row r="415" customFormat="false" ht="15" hidden="false" customHeight="false" outlineLevel="0" collapsed="false">
      <c r="A415" s="3" t="n">
        <v>470</v>
      </c>
      <c r="B415" s="3" t="n">
        <v>0.5909</v>
      </c>
    </row>
    <row r="416" customFormat="false" ht="15" hidden="false" customHeight="false" outlineLevel="0" collapsed="false">
      <c r="A416" s="3" t="n">
        <v>600</v>
      </c>
      <c r="B416" s="3" t="n">
        <v>0.6549</v>
      </c>
    </row>
    <row r="417" customFormat="false" ht="15" hidden="false" customHeight="false" outlineLevel="0" collapsed="false">
      <c r="A417" s="3" t="n">
        <v>580</v>
      </c>
      <c r="B417" s="3" t="n">
        <v>0.6634</v>
      </c>
    </row>
    <row r="418" customFormat="false" ht="15" hidden="false" customHeight="false" outlineLevel="0" collapsed="false">
      <c r="A418" s="3" t="n">
        <v>476</v>
      </c>
      <c r="B418" s="3" t="n">
        <v>0.6175</v>
      </c>
    </row>
    <row r="419" customFormat="false" ht="15" hidden="false" customHeight="false" outlineLevel="0" collapsed="false">
      <c r="A419" s="3" t="n">
        <v>526</v>
      </c>
      <c r="B419" s="3" t="n">
        <v>0.8047</v>
      </c>
    </row>
    <row r="420" customFormat="false" ht="15" hidden="false" customHeight="false" outlineLevel="0" collapsed="false">
      <c r="A420" s="3" t="n">
        <v>280</v>
      </c>
      <c r="B420" s="3" t="n">
        <v>0.5936</v>
      </c>
    </row>
    <row r="421" customFormat="false" ht="15" hidden="false" customHeight="false" outlineLevel="0" collapsed="false">
      <c r="A421" s="3" t="n">
        <v>430</v>
      </c>
      <c r="B421" s="3" t="n">
        <v>0.5661</v>
      </c>
    </row>
    <row r="422" customFormat="false" ht="15" hidden="false" customHeight="false" outlineLevel="0" collapsed="false">
      <c r="A422" s="3" t="n">
        <v>430</v>
      </c>
      <c r="B422" s="3" t="n">
        <v>0.8982</v>
      </c>
    </row>
    <row r="423" customFormat="false" ht="15" hidden="false" customHeight="false" outlineLevel="0" collapsed="false">
      <c r="A423" s="3" t="n">
        <v>265</v>
      </c>
      <c r="B423" s="3" t="n">
        <v>0.7791</v>
      </c>
    </row>
    <row r="424" customFormat="false" ht="15" hidden="false" customHeight="false" outlineLevel="0" collapsed="false">
      <c r="A424" s="3" t="n">
        <v>510</v>
      </c>
      <c r="B424" s="3" t="n">
        <v>0.751</v>
      </c>
    </row>
    <row r="425" customFormat="false" ht="15" hidden="false" customHeight="false" outlineLevel="0" collapsed="false">
      <c r="A425" s="3" t="n">
        <v>265</v>
      </c>
      <c r="B425" s="3" t="n">
        <v>0.6687</v>
      </c>
    </row>
    <row r="426" customFormat="false" ht="15" hidden="false" customHeight="false" outlineLevel="0" collapsed="false">
      <c r="A426" s="3" t="n">
        <v>670</v>
      </c>
      <c r="B426" s="3" t="n">
        <v>0.7415</v>
      </c>
    </row>
    <row r="427" customFormat="false" ht="15" hidden="false" customHeight="false" outlineLevel="0" collapsed="false">
      <c r="A427" s="3" t="n">
        <v>580</v>
      </c>
      <c r="B427" s="3" t="n">
        <v>0.6683</v>
      </c>
    </row>
    <row r="428" customFormat="false" ht="15" hidden="false" customHeight="false" outlineLevel="0" collapsed="false">
      <c r="A428" s="3" t="n">
        <v>530</v>
      </c>
      <c r="B428" s="3" t="n">
        <v>0.8662</v>
      </c>
    </row>
    <row r="429" customFormat="false" ht="15" hidden="false" customHeight="false" outlineLevel="0" collapsed="false">
      <c r="A429" s="3" t="n">
        <v>495</v>
      </c>
      <c r="B429" s="3" t="n">
        <v>0.5918</v>
      </c>
    </row>
    <row r="430" customFormat="false" ht="15" hidden="false" customHeight="false" outlineLevel="0" collapsed="false">
      <c r="A430" s="3" t="n">
        <v>253</v>
      </c>
      <c r="B430" s="3" t="n">
        <v>0.7523</v>
      </c>
    </row>
    <row r="431" customFormat="false" ht="15" hidden="false" customHeight="false" outlineLevel="0" collapsed="false">
      <c r="A431" s="3" t="n">
        <v>270</v>
      </c>
      <c r="B431" s="3" t="n">
        <v>0.6698</v>
      </c>
    </row>
    <row r="432" customFormat="false" ht="15" hidden="false" customHeight="false" outlineLevel="0" collapsed="false">
      <c r="A432" s="3" t="n">
        <v>310</v>
      </c>
      <c r="B432" s="3" t="n">
        <v>0.5398</v>
      </c>
    </row>
    <row r="433" customFormat="false" ht="15" hidden="false" customHeight="false" outlineLevel="0" collapsed="false">
      <c r="A433" s="3" t="n">
        <v>340</v>
      </c>
      <c r="B433" s="3" t="n">
        <v>0.6194</v>
      </c>
    </row>
    <row r="434" customFormat="false" ht="15" hidden="false" customHeight="false" outlineLevel="0" collapsed="false">
      <c r="A434" s="3" t="n">
        <v>600</v>
      </c>
      <c r="B434" s="3" t="n">
        <v>0.7106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2026-09-02T15:40:33Z</dcterms:created>
  <dc:creator>openpyxl</dc:creator>
  <dc:description/>
  <dc:language>en-US</dc:language>
  <cp:lastModifiedBy/>
  <dcterms:modified xsi:type="dcterms:W3CDTF">2026-09-02T15:40:36Z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